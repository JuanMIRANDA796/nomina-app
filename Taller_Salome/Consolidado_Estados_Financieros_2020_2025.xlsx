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\.gemini\antigravity\scratch\nomina_colombia\web\Taller_Salome\"/>
    </mc:Choice>
  </mc:AlternateContent>
  <xr:revisionPtr revIDLastSave="0" documentId="13_ncr:1_{70A91D36-79BB-4481-A555-CA0E40ECAD3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SF" sheetId="3" r:id="rId1"/>
    <sheet name="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4" i="4"/>
  <c r="C11" i="4" s="1"/>
  <c r="D15" i="4"/>
  <c r="E15" i="4"/>
  <c r="F15" i="4"/>
  <c r="G15" i="4"/>
  <c r="H15" i="4"/>
  <c r="D4" i="4"/>
  <c r="D11" i="4" s="1"/>
  <c r="D12" i="4" s="1"/>
  <c r="E4" i="4"/>
  <c r="F4" i="4"/>
  <c r="G4" i="4"/>
  <c r="H4" i="4"/>
  <c r="H11" i="4" s="1"/>
  <c r="H12" i="4" s="1"/>
  <c r="C15" i="4" l="1"/>
  <c r="G11" i="4"/>
  <c r="G12" i="4" s="1"/>
  <c r="F11" i="4"/>
  <c r="F12" i="4" s="1"/>
  <c r="E11" i="4"/>
  <c r="E12" i="4" s="1"/>
</calcChain>
</file>

<file path=xl/sharedStrings.xml><?xml version="1.0" encoding="utf-8"?>
<sst xmlns="http://schemas.openxmlformats.org/spreadsheetml/2006/main" count="81" uniqueCount="64">
  <si>
    <t>Concepto</t>
  </si>
  <si>
    <t>Notas</t>
  </si>
  <si>
    <t>ACTIVOS NO CORRIENTES</t>
  </si>
  <si>
    <t>Propiedades, planta y equipo, neto</t>
  </si>
  <si>
    <t>Activos intangibles, neto</t>
  </si>
  <si>
    <t>Cuentas por cobrar, neto</t>
  </si>
  <si>
    <t>Instrumentos financieros</t>
  </si>
  <si>
    <t>Operaciones con derivados</t>
  </si>
  <si>
    <t>-</t>
  </si>
  <si>
    <t>Efectivo restringido</t>
  </si>
  <si>
    <t>Otros activos</t>
  </si>
  <si>
    <t>Total Activos No Corrientes</t>
  </si>
  <si>
    <t>ACTIVOS CORRIENTES</t>
  </si>
  <si>
    <t>Inventarios</t>
  </si>
  <si>
    <t>Activos por impuestos</t>
  </si>
  <si>
    <t>Efectivo y equivalentes de efectivo</t>
  </si>
  <si>
    <t>Total Activos Corrientes</t>
  </si>
  <si>
    <t>TOTAL ACTIVOS</t>
  </si>
  <si>
    <t>PATRIMONIO</t>
  </si>
  <si>
    <t>Capital</t>
  </si>
  <si>
    <t>Reservas</t>
  </si>
  <si>
    <t>Superávit de capital</t>
  </si>
  <si>
    <t>Ganancias retenidas</t>
  </si>
  <si>
    <t>Otro resultado integral</t>
  </si>
  <si>
    <t>Resultado integral total periodo (Utilidad Neta)</t>
  </si>
  <si>
    <t>Total Patrimonio de los Accionistas</t>
  </si>
  <si>
    <t>PASIVOS NO CORRIENTES</t>
  </si>
  <si>
    <t>Operaciones de financiamiento</t>
  </si>
  <si>
    <t>Obligaciones con vinculados</t>
  </si>
  <si>
    <t>Impuestos, contribuciones y tasas</t>
  </si>
  <si>
    <t>Beneficios a empleados</t>
  </si>
  <si>
    <t>Provisiones</t>
  </si>
  <si>
    <t>Cuentas por pagar</t>
  </si>
  <si>
    <t>Total Pasivos No Corrientes</t>
  </si>
  <si>
    <t>PASIVOS CORRIENTES</t>
  </si>
  <si>
    <t>Otros pasivos</t>
  </si>
  <si>
    <t>Total Pasivos Corrientes</t>
  </si>
  <si>
    <t>TOTAL PASIVOS</t>
  </si>
  <si>
    <t>TOTAL PATRIMONIO Y PASIVOS</t>
  </si>
  <si>
    <t>Ingresos de contratos con clientes</t>
  </si>
  <si>
    <t>Costo de ventas</t>
  </si>
  <si>
    <t>Utilidad Bruta</t>
  </si>
  <si>
    <t>Otros ingresos</t>
  </si>
  <si>
    <t>Gastos de administración</t>
  </si>
  <si>
    <t>Otros gastos</t>
  </si>
  <si>
    <t>Ingresos financieros</t>
  </si>
  <si>
    <t>Gastos financieros</t>
  </si>
  <si>
    <t>Diferencia en cambio, neta</t>
  </si>
  <si>
    <t>Utilidad Antes de Impuestos</t>
  </si>
  <si>
    <t>Impuesto de renta - Corriente</t>
  </si>
  <si>
    <t>Impuesto de renta - Diferido</t>
  </si>
  <si>
    <t>Utilidad Neta del Periodo</t>
  </si>
  <si>
    <t>OTRO RESULTADO INTEGRAL (ORI)</t>
  </si>
  <si>
    <t>Ganancias actuariales (Beneficios definidos)</t>
  </si>
  <si>
    <t>Coberturas flujo de efectivo</t>
  </si>
  <si>
    <t>Total Otro Resultado Integral, neto</t>
  </si>
  <si>
    <t>RESULTADO INTEGRAL TOTAL</t>
  </si>
  <si>
    <t>Utilidad básica y diluida por acción ($)</t>
  </si>
  <si>
    <t>2025 (9 meses)</t>
  </si>
  <si>
    <t>Estado_Resultados</t>
  </si>
  <si>
    <t>EBIT</t>
  </si>
  <si>
    <t>Amortización</t>
  </si>
  <si>
    <t>Depreciación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</si>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</sst>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3" fontId="0" fillId="0" borderId="0" xfId="0" applyNumberFormat="1"/>
    <xf numFmtId="3" fontId="1" fillId="0" borderId="1" xfId="0" applyNumberFormat="1" applyFont="1" applyBorder="1" applyAlignment="1">
      <alignment horizontal="right" wrapText="1"/>
    </xf>
    <xf numFmtId="17" fontId="1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3" fontId="1" fillId="0" borderId="2" xfId="0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DBD0-6AB1-40E2-A14F-E098C659D30D}">
  <dimension ref="A1:H56"/>
  <sheetViews>
    <sheetView topLeftCell="A35" workbookViewId="0">
      <selection activeCell="C53" sqref="C53"/>
    </sheetView>
  </sheetViews>
  <sheetFormatPr baseColWidth="10" defaultRowHeight="15" x14ac:dyDescent="0.25"/>
  <cols>
    <col min="1" max="1" width="39.5703125" bestFit="1" customWidth="1"/>
  </cols>
  <sheetData>
    <row r="1" spans="1:8" ht="15.75" thickBot="1" x14ac:dyDescent="0.3">
      <c r="A1" s="1" t="s">
        <v>0</v>
      </c>
      <c r="B1" s="1" t="s">
        <v>1</v>
      </c>
      <c r="C1" s="6">
        <v>45901</v>
      </c>
      <c r="D1" s="2">
        <v>2024</v>
      </c>
      <c r="E1" s="2">
        <v>2023</v>
      </c>
      <c r="F1" s="2">
        <v>2022</v>
      </c>
      <c r="G1" s="2">
        <v>2021</v>
      </c>
      <c r="H1" s="2">
        <v>2020</v>
      </c>
    </row>
    <row r="2" spans="1:8" ht="15.75" thickBot="1" x14ac:dyDescent="0.3">
      <c r="A2" s="3" t="s">
        <v>2</v>
      </c>
      <c r="B2" s="1"/>
      <c r="C2" s="1"/>
      <c r="D2" s="1"/>
      <c r="E2" s="1"/>
      <c r="F2" s="1"/>
      <c r="G2" s="1"/>
      <c r="H2" s="1"/>
    </row>
    <row r="3" spans="1:8" ht="15.75" thickBot="1" x14ac:dyDescent="0.3">
      <c r="A3" s="1" t="s">
        <v>3</v>
      </c>
      <c r="B3" s="2">
        <v>8</v>
      </c>
      <c r="C3" s="5">
        <v>17319341</v>
      </c>
      <c r="D3" s="5">
        <v>17522981</v>
      </c>
      <c r="E3" s="5">
        <v>17742271</v>
      </c>
      <c r="F3" s="5">
        <v>17365315</v>
      </c>
      <c r="G3" s="5">
        <v>17230679</v>
      </c>
      <c r="H3" s="5">
        <v>15179609</v>
      </c>
    </row>
    <row r="4" spans="1:8" ht="15.75" thickBot="1" x14ac:dyDescent="0.3">
      <c r="A4" s="1" t="s">
        <v>4</v>
      </c>
      <c r="B4" s="2">
        <v>9</v>
      </c>
      <c r="C4" s="5">
        <v>2783735</v>
      </c>
      <c r="D4" s="5">
        <v>2769524</v>
      </c>
      <c r="E4" s="5">
        <v>2760600</v>
      </c>
      <c r="F4" s="5">
        <v>2755491</v>
      </c>
      <c r="G4" s="5">
        <v>2783815</v>
      </c>
      <c r="H4" s="5">
        <v>2774772</v>
      </c>
    </row>
    <row r="5" spans="1:8" ht="15.75" thickBot="1" x14ac:dyDescent="0.3">
      <c r="A5" s="1" t="s">
        <v>5</v>
      </c>
      <c r="B5" s="2">
        <v>10</v>
      </c>
      <c r="C5" s="5">
        <v>60923</v>
      </c>
      <c r="D5" s="5">
        <v>32960</v>
      </c>
      <c r="E5" s="5">
        <v>1910168</v>
      </c>
      <c r="F5" s="5">
        <v>2024312</v>
      </c>
      <c r="G5" s="5">
        <v>24142</v>
      </c>
      <c r="H5" s="5">
        <v>26655</v>
      </c>
    </row>
    <row r="6" spans="1:8" ht="15.75" thickBot="1" x14ac:dyDescent="0.3">
      <c r="A6" s="3" t="s">
        <v>6</v>
      </c>
      <c r="B6" s="1"/>
      <c r="C6" s="5">
        <v>544561</v>
      </c>
      <c r="D6" s="5">
        <v>2493808</v>
      </c>
      <c r="E6" s="2">
        <v>84</v>
      </c>
      <c r="F6" s="2">
        <v>84</v>
      </c>
      <c r="G6" s="2">
        <v>84</v>
      </c>
      <c r="H6" s="2">
        <v>84</v>
      </c>
    </row>
    <row r="7" spans="1:8" ht="15.75" thickBot="1" x14ac:dyDescent="0.3">
      <c r="A7" s="1" t="s">
        <v>7</v>
      </c>
      <c r="B7" s="2">
        <v>11</v>
      </c>
      <c r="C7" s="5">
        <v>1202870</v>
      </c>
      <c r="D7" s="5">
        <v>90034</v>
      </c>
      <c r="E7" s="5">
        <v>31816</v>
      </c>
      <c r="F7" s="5">
        <v>228189</v>
      </c>
      <c r="G7" s="5">
        <v>85660</v>
      </c>
      <c r="H7" s="1" t="s">
        <v>8</v>
      </c>
    </row>
    <row r="8" spans="1:8" ht="15.75" thickBot="1" x14ac:dyDescent="0.3">
      <c r="A8" s="1" t="s">
        <v>9</v>
      </c>
      <c r="B8" s="2">
        <v>12</v>
      </c>
      <c r="C8" s="5">
        <v>27114</v>
      </c>
      <c r="D8" s="5">
        <v>2928</v>
      </c>
      <c r="E8" s="5">
        <v>2541</v>
      </c>
      <c r="F8" s="5">
        <v>2159</v>
      </c>
      <c r="G8" s="5">
        <v>2185</v>
      </c>
      <c r="H8" s="5">
        <v>2127</v>
      </c>
    </row>
    <row r="9" spans="1:8" ht="15.75" thickBot="1" x14ac:dyDescent="0.3">
      <c r="A9" s="1" t="s">
        <v>10</v>
      </c>
      <c r="B9" s="2">
        <v>13</v>
      </c>
      <c r="C9" s="5">
        <v>3230</v>
      </c>
      <c r="F9" s="2">
        <v>950</v>
      </c>
      <c r="G9" s="2">
        <v>950</v>
      </c>
      <c r="H9" s="2">
        <v>950</v>
      </c>
    </row>
    <row r="10" spans="1:8" ht="15.75" thickBot="1" x14ac:dyDescent="0.3">
      <c r="A10" s="3" t="s">
        <v>11</v>
      </c>
      <c r="B10" s="1"/>
      <c r="C10" s="5">
        <v>21941774</v>
      </c>
      <c r="D10" s="5">
        <v>22912235</v>
      </c>
      <c r="E10" s="5">
        <v>22447480</v>
      </c>
      <c r="F10" s="5">
        <v>22376500</v>
      </c>
      <c r="G10" s="5">
        <v>20127515</v>
      </c>
      <c r="H10" s="5">
        <v>17984197</v>
      </c>
    </row>
    <row r="11" spans="1:8" ht="15.75" thickBot="1" x14ac:dyDescent="0.3">
      <c r="A11" s="1"/>
      <c r="B11" s="1"/>
      <c r="C11" s="1"/>
      <c r="D11" s="1"/>
      <c r="E11" s="1"/>
      <c r="F11" s="1"/>
      <c r="G11" s="1"/>
      <c r="H11" s="1"/>
    </row>
    <row r="12" spans="1:8" ht="15.75" thickBot="1" x14ac:dyDescent="0.3">
      <c r="A12" s="3" t="s">
        <v>12</v>
      </c>
      <c r="B12" s="1"/>
      <c r="C12" s="1"/>
      <c r="F12" s="1"/>
      <c r="G12" s="1"/>
      <c r="H12" s="1"/>
    </row>
    <row r="13" spans="1:8" ht="15.75" thickBot="1" x14ac:dyDescent="0.3">
      <c r="A13" s="1" t="s">
        <v>13</v>
      </c>
      <c r="B13" s="2">
        <v>14</v>
      </c>
      <c r="C13" s="5">
        <v>41304</v>
      </c>
      <c r="D13" s="5">
        <v>33172</v>
      </c>
      <c r="E13" s="5">
        <v>29526</v>
      </c>
      <c r="F13" s="5">
        <v>27889</v>
      </c>
      <c r="G13" s="5">
        <v>35705</v>
      </c>
      <c r="H13" s="5">
        <v>34138</v>
      </c>
    </row>
    <row r="14" spans="1:8" ht="15.75" thickBot="1" x14ac:dyDescent="0.3">
      <c r="A14" s="1" t="s">
        <v>5</v>
      </c>
      <c r="B14" s="2">
        <v>10</v>
      </c>
      <c r="C14" s="5">
        <v>735617</v>
      </c>
      <c r="D14" s="5">
        <v>815437</v>
      </c>
      <c r="E14" s="5">
        <v>934414</v>
      </c>
      <c r="F14" s="5">
        <v>883971</v>
      </c>
      <c r="G14" s="5">
        <v>663842</v>
      </c>
      <c r="H14" s="5">
        <v>514164</v>
      </c>
    </row>
    <row r="15" spans="1:8" ht="15.75" thickBot="1" x14ac:dyDescent="0.3">
      <c r="A15" s="1" t="s">
        <v>6</v>
      </c>
      <c r="B15" s="2"/>
      <c r="C15" s="5">
        <v>2716711</v>
      </c>
      <c r="D15" s="4">
        <v>2493808</v>
      </c>
      <c r="E15" s="5">
        <v>84</v>
      </c>
      <c r="F15" s="5">
        <v>84</v>
      </c>
      <c r="G15" s="5">
        <v>84</v>
      </c>
      <c r="H15" s="5">
        <v>84</v>
      </c>
    </row>
    <row r="16" spans="1:8" ht="15.75" thickBot="1" x14ac:dyDescent="0.3">
      <c r="A16" s="1" t="s">
        <v>14</v>
      </c>
      <c r="B16" s="2">
        <v>15</v>
      </c>
      <c r="C16" s="5">
        <v>70638</v>
      </c>
      <c r="D16" s="5">
        <v>21940</v>
      </c>
      <c r="E16" s="5">
        <v>7372</v>
      </c>
      <c r="F16" s="5">
        <v>1919</v>
      </c>
      <c r="G16" s="5">
        <v>52077</v>
      </c>
      <c r="H16" s="2">
        <v>434</v>
      </c>
    </row>
    <row r="17" spans="1:8" ht="15.75" thickBot="1" x14ac:dyDescent="0.3">
      <c r="A17" s="1" t="s">
        <v>10</v>
      </c>
      <c r="B17" s="2">
        <v>13</v>
      </c>
      <c r="C17" s="5">
        <v>143617</v>
      </c>
      <c r="D17" s="5">
        <v>38012</v>
      </c>
      <c r="E17" s="5">
        <v>26385</v>
      </c>
      <c r="F17" s="5">
        <v>57682</v>
      </c>
      <c r="G17" s="5">
        <v>28345</v>
      </c>
      <c r="H17" s="5">
        <v>11708</v>
      </c>
    </row>
    <row r="18" spans="1:8" ht="15.75" thickBot="1" x14ac:dyDescent="0.3">
      <c r="A18" s="1" t="s">
        <v>7</v>
      </c>
      <c r="B18" s="2">
        <v>11</v>
      </c>
      <c r="C18" s="5">
        <v>48341</v>
      </c>
      <c r="D18" s="5">
        <v>25205</v>
      </c>
      <c r="E18" s="5">
        <v>61809</v>
      </c>
      <c r="F18" s="5">
        <v>150851</v>
      </c>
      <c r="G18" s="5">
        <v>24079</v>
      </c>
      <c r="H18" s="1" t="s">
        <v>8</v>
      </c>
    </row>
    <row r="19" spans="1:8" ht="15.75" thickBot="1" x14ac:dyDescent="0.3">
      <c r="A19" s="1" t="s">
        <v>9</v>
      </c>
      <c r="B19" s="2">
        <v>12</v>
      </c>
      <c r="C19" s="5">
        <v>8297</v>
      </c>
      <c r="D19" s="2">
        <v>50</v>
      </c>
      <c r="E19" s="2">
        <v>50</v>
      </c>
      <c r="F19" s="2">
        <v>50</v>
      </c>
      <c r="G19" s="5">
        <v>16901</v>
      </c>
      <c r="H19" s="2">
        <v>261</v>
      </c>
    </row>
    <row r="20" spans="1:8" ht="15.75" thickBot="1" x14ac:dyDescent="0.3">
      <c r="A20" s="1" t="s">
        <v>15</v>
      </c>
      <c r="B20" s="2">
        <v>12</v>
      </c>
      <c r="C20" s="5">
        <v>229542</v>
      </c>
      <c r="D20" s="5">
        <v>447198</v>
      </c>
      <c r="E20" s="5">
        <v>220352</v>
      </c>
      <c r="F20" s="5">
        <v>309200</v>
      </c>
      <c r="G20" s="5">
        <v>172827</v>
      </c>
      <c r="H20" s="5">
        <v>83749</v>
      </c>
    </row>
    <row r="21" spans="1:8" ht="15.75" thickBot="1" x14ac:dyDescent="0.3">
      <c r="A21" s="3" t="s">
        <v>16</v>
      </c>
      <c r="B21" s="1"/>
      <c r="C21" s="5">
        <v>3923479</v>
      </c>
      <c r="D21" s="5">
        <v>1381014</v>
      </c>
      <c r="E21" s="5">
        <v>1279908</v>
      </c>
      <c r="F21" s="5">
        <v>1431562</v>
      </c>
      <c r="G21" s="5">
        <v>993776</v>
      </c>
      <c r="H21" s="5">
        <v>644454</v>
      </c>
    </row>
    <row r="22" spans="1:8" ht="15.75" thickBot="1" x14ac:dyDescent="0.3">
      <c r="A22" s="1"/>
      <c r="B22" s="1"/>
      <c r="F22" s="1"/>
      <c r="G22" s="1"/>
      <c r="H22" s="1"/>
    </row>
    <row r="23" spans="1:8" ht="15.75" thickBot="1" x14ac:dyDescent="0.3">
      <c r="A23" s="3" t="s">
        <v>17</v>
      </c>
      <c r="B23" s="1"/>
      <c r="C23" s="5">
        <v>25865253</v>
      </c>
      <c r="D23" s="5">
        <v>24293249</v>
      </c>
      <c r="E23" s="5">
        <v>23727388</v>
      </c>
      <c r="F23" s="5">
        <v>23808062</v>
      </c>
      <c r="G23" s="5">
        <v>21121291</v>
      </c>
      <c r="H23" s="5">
        <v>18628651</v>
      </c>
    </row>
    <row r="24" spans="1:8" ht="15.75" thickBot="1" x14ac:dyDescent="0.3">
      <c r="A24" s="1"/>
      <c r="B24" s="1"/>
      <c r="D24" s="1"/>
      <c r="E24" s="1"/>
      <c r="F24" s="1"/>
      <c r="G24" s="1"/>
      <c r="H24" s="1"/>
    </row>
    <row r="25" spans="1:8" ht="15.75" thickBot="1" x14ac:dyDescent="0.3">
      <c r="A25" s="1" t="s">
        <v>18</v>
      </c>
      <c r="B25" s="1"/>
      <c r="C25" s="1"/>
      <c r="F25" s="1"/>
      <c r="G25" s="1"/>
      <c r="H25" s="1"/>
    </row>
    <row r="26" spans="1:8" ht="15.75" thickBot="1" x14ac:dyDescent="0.3">
      <c r="A26" s="1" t="s">
        <v>19</v>
      </c>
      <c r="B26" s="2">
        <v>16</v>
      </c>
      <c r="C26" s="5">
        <v>141552</v>
      </c>
      <c r="D26" s="5">
        <v>141552</v>
      </c>
      <c r="E26" s="5">
        <v>141552</v>
      </c>
      <c r="F26" s="5">
        <v>141552</v>
      </c>
      <c r="G26" s="5">
        <v>141552</v>
      </c>
      <c r="H26" s="5">
        <v>141552</v>
      </c>
    </row>
    <row r="27" spans="1:8" ht="15.75" thickBot="1" x14ac:dyDescent="0.3">
      <c r="A27" s="1" t="s">
        <v>20</v>
      </c>
      <c r="B27" s="2">
        <v>17</v>
      </c>
      <c r="C27" s="5">
        <v>1550093</v>
      </c>
      <c r="D27" s="5">
        <v>1140297</v>
      </c>
      <c r="E27" s="5">
        <v>863781</v>
      </c>
      <c r="F27" s="5">
        <v>660660</v>
      </c>
      <c r="G27" s="5">
        <v>1580616</v>
      </c>
      <c r="H27" s="5">
        <v>2006640</v>
      </c>
    </row>
    <row r="28" spans="1:8" ht="15.75" thickBot="1" x14ac:dyDescent="0.3">
      <c r="A28" s="1" t="s">
        <v>21</v>
      </c>
      <c r="B28" s="2">
        <v>17</v>
      </c>
      <c r="C28" s="5">
        <v>2074259</v>
      </c>
      <c r="D28" s="5">
        <v>2074259</v>
      </c>
      <c r="E28" s="5">
        <v>2074259</v>
      </c>
      <c r="F28" s="5">
        <v>2074259</v>
      </c>
      <c r="G28" s="5">
        <v>2074259</v>
      </c>
      <c r="H28" s="5">
        <v>2074259</v>
      </c>
    </row>
    <row r="29" spans="1:8" ht="15.75" thickBot="1" x14ac:dyDescent="0.3">
      <c r="A29" s="1" t="s">
        <v>22</v>
      </c>
      <c r="B29" s="2">
        <v>38</v>
      </c>
      <c r="C29" s="5">
        <v>1268350</v>
      </c>
      <c r="D29" s="5">
        <v>1268350</v>
      </c>
      <c r="E29" s="5">
        <v>1268261</v>
      </c>
      <c r="F29" s="5">
        <v>1268261</v>
      </c>
      <c r="G29" s="5">
        <v>1268261</v>
      </c>
      <c r="H29" s="5">
        <v>1268261</v>
      </c>
    </row>
    <row r="30" spans="1:8" ht="15.75" thickBot="1" x14ac:dyDescent="0.3">
      <c r="A30" s="1" t="s">
        <v>23</v>
      </c>
      <c r="B30" s="2">
        <v>37</v>
      </c>
      <c r="C30" s="5">
        <v>47436</v>
      </c>
      <c r="D30" s="5">
        <v>32508</v>
      </c>
      <c r="E30" s="5">
        <v>46069</v>
      </c>
      <c r="F30" s="5">
        <v>185776</v>
      </c>
      <c r="G30" s="5">
        <v>91255</v>
      </c>
      <c r="H30" s="5">
        <v>-28353</v>
      </c>
    </row>
    <row r="31" spans="1:8" ht="15.75" thickBot="1" x14ac:dyDescent="0.3">
      <c r="A31" s="3" t="s">
        <v>24</v>
      </c>
      <c r="B31" s="1"/>
      <c r="C31" s="5">
        <v>606104</v>
      </c>
      <c r="D31" s="5">
        <v>904616</v>
      </c>
      <c r="E31" s="5">
        <v>1035242</v>
      </c>
      <c r="F31" s="5">
        <v>1233838</v>
      </c>
      <c r="G31" s="5">
        <v>523127</v>
      </c>
      <c r="H31" s="5">
        <v>496129</v>
      </c>
    </row>
    <row r="32" spans="1:8" ht="15.75" thickBot="1" x14ac:dyDescent="0.3">
      <c r="A32" s="3" t="s">
        <v>25</v>
      </c>
      <c r="B32" s="1"/>
      <c r="C32" s="5">
        <v>5687794</v>
      </c>
      <c r="D32" s="5">
        <v>5561582</v>
      </c>
      <c r="E32" s="5">
        <v>5429164</v>
      </c>
      <c r="F32" s="5">
        <v>5564346</v>
      </c>
      <c r="G32" s="5">
        <v>5679070</v>
      </c>
      <c r="H32" s="5">
        <v>5958488</v>
      </c>
    </row>
    <row r="33" spans="1:8" ht="15.75" thickBot="1" x14ac:dyDescent="0.3">
      <c r="A33" s="1"/>
      <c r="B33" s="1"/>
      <c r="D33" s="1"/>
      <c r="E33" s="1"/>
      <c r="F33" s="1"/>
      <c r="G33" s="1"/>
      <c r="H33" s="1"/>
    </row>
    <row r="34" spans="1:8" ht="15.75" thickBot="1" x14ac:dyDescent="0.3">
      <c r="A34" s="3" t="s">
        <v>26</v>
      </c>
      <c r="B34" s="1"/>
      <c r="C34" s="1"/>
      <c r="F34" s="1"/>
      <c r="G34" s="1"/>
      <c r="H34" s="1"/>
    </row>
    <row r="35" spans="1:8" ht="15.75" thickBot="1" x14ac:dyDescent="0.3">
      <c r="A35" s="1" t="s">
        <v>27</v>
      </c>
      <c r="B35" s="2">
        <v>18</v>
      </c>
      <c r="C35" s="5">
        <v>10985428</v>
      </c>
      <c r="D35" s="5">
        <v>10148678</v>
      </c>
      <c r="E35" s="5">
        <v>9814359</v>
      </c>
      <c r="F35" s="5">
        <v>9781531</v>
      </c>
      <c r="G35" s="5">
        <v>7132894</v>
      </c>
      <c r="H35" s="5">
        <v>5834931</v>
      </c>
    </row>
    <row r="36" spans="1:8" ht="15.75" thickBot="1" x14ac:dyDescent="0.3">
      <c r="A36" s="1" t="s">
        <v>28</v>
      </c>
      <c r="B36" s="2">
        <v>19</v>
      </c>
      <c r="C36" s="5">
        <v>2538988</v>
      </c>
      <c r="D36" s="5">
        <v>2542108</v>
      </c>
      <c r="E36" s="5">
        <v>2541954</v>
      </c>
      <c r="F36" s="5">
        <v>2540445</v>
      </c>
      <c r="G36" s="5">
        <v>3434629</v>
      </c>
      <c r="H36" s="5">
        <v>2767416</v>
      </c>
    </row>
    <row r="37" spans="1:8" ht="15.75" thickBot="1" x14ac:dyDescent="0.3">
      <c r="A37" s="1" t="s">
        <v>7</v>
      </c>
      <c r="B37" s="2">
        <v>11</v>
      </c>
      <c r="C37" s="1" t="s">
        <v>8</v>
      </c>
      <c r="D37" s="5">
        <v>11065</v>
      </c>
      <c r="E37" s="5">
        <v>3781</v>
      </c>
      <c r="F37" s="5">
        <v>18602</v>
      </c>
      <c r="G37" s="1" t="s">
        <v>8</v>
      </c>
      <c r="H37" s="5">
        <v>13150</v>
      </c>
    </row>
    <row r="38" spans="1:8" ht="15.75" thickBot="1" x14ac:dyDescent="0.3">
      <c r="A38" s="1" t="s">
        <v>29</v>
      </c>
      <c r="B38" s="2">
        <v>20</v>
      </c>
      <c r="C38" s="5">
        <v>4753643</v>
      </c>
      <c r="D38" s="5">
        <v>4654129</v>
      </c>
      <c r="E38" s="5">
        <v>4506519</v>
      </c>
      <c r="F38" s="5">
        <v>4423094</v>
      </c>
      <c r="G38" s="5">
        <v>4208665</v>
      </c>
      <c r="H38" s="5">
        <v>3458998</v>
      </c>
    </row>
    <row r="39" spans="1:8" ht="15.75" thickBot="1" x14ac:dyDescent="0.3">
      <c r="A39" s="1" t="s">
        <v>30</v>
      </c>
      <c r="B39" s="2">
        <v>21</v>
      </c>
      <c r="C39" s="5">
        <v>126769</v>
      </c>
      <c r="D39" s="5">
        <v>130726</v>
      </c>
      <c r="E39" s="5">
        <v>150693</v>
      </c>
      <c r="F39" s="5">
        <v>99556</v>
      </c>
      <c r="G39" s="5">
        <v>125550</v>
      </c>
      <c r="H39" s="5">
        <v>135963</v>
      </c>
    </row>
    <row r="40" spans="1:8" ht="15.75" thickBot="1" x14ac:dyDescent="0.3">
      <c r="A40" s="1" t="s">
        <v>31</v>
      </c>
      <c r="B40" s="2">
        <v>22</v>
      </c>
      <c r="C40" s="5">
        <v>37130</v>
      </c>
      <c r="D40" s="5">
        <v>35280</v>
      </c>
      <c r="E40" s="5">
        <v>62904</v>
      </c>
      <c r="F40" s="5">
        <v>45138</v>
      </c>
      <c r="G40" s="5">
        <v>22005</v>
      </c>
      <c r="H40" s="5">
        <v>26673</v>
      </c>
    </row>
    <row r="41" spans="1:8" ht="15.75" thickBot="1" x14ac:dyDescent="0.3">
      <c r="A41" s="1" t="s">
        <v>32</v>
      </c>
      <c r="B41" s="2">
        <v>23</v>
      </c>
      <c r="C41" s="5">
        <v>3230</v>
      </c>
      <c r="D41" s="5">
        <v>2928</v>
      </c>
      <c r="E41" s="5">
        <v>2541</v>
      </c>
      <c r="F41" s="5">
        <v>2159</v>
      </c>
      <c r="G41" s="5">
        <v>1956</v>
      </c>
      <c r="H41" s="5">
        <v>1902</v>
      </c>
    </row>
    <row r="42" spans="1:8" ht="15.75" thickBot="1" x14ac:dyDescent="0.3">
      <c r="A42" s="3" t="s">
        <v>33</v>
      </c>
      <c r="B42" s="1"/>
      <c r="C42" s="5">
        <v>18515826</v>
      </c>
      <c r="D42" s="5">
        <v>17524914</v>
      </c>
      <c r="E42" s="5">
        <v>17082751</v>
      </c>
      <c r="F42" s="5">
        <v>16910525</v>
      </c>
      <c r="G42" s="5">
        <v>14925699</v>
      </c>
      <c r="H42" s="5">
        <v>12239033</v>
      </c>
    </row>
    <row r="43" spans="1:8" ht="15.75" thickBot="1" x14ac:dyDescent="0.3">
      <c r="A43" s="1"/>
      <c r="B43" s="1"/>
      <c r="D43" s="1"/>
      <c r="E43" s="1"/>
      <c r="F43" s="1"/>
      <c r="G43" s="1"/>
      <c r="H43" s="1"/>
    </row>
    <row r="44" spans="1:8" ht="15.75" thickBot="1" x14ac:dyDescent="0.3">
      <c r="A44" s="3" t="s">
        <v>34</v>
      </c>
      <c r="B44" s="1"/>
      <c r="C44" s="1"/>
      <c r="F44" s="1"/>
      <c r="G44" s="1"/>
      <c r="H44" s="1"/>
    </row>
    <row r="45" spans="1:8" ht="15.75" thickBot="1" x14ac:dyDescent="0.3">
      <c r="A45" s="1" t="s">
        <v>27</v>
      </c>
      <c r="B45" s="2">
        <v>18</v>
      </c>
      <c r="C45" s="5">
        <v>864080</v>
      </c>
      <c r="D45" s="5">
        <v>749154</v>
      </c>
      <c r="E45" s="5">
        <v>747995</v>
      </c>
      <c r="F45" s="5">
        <v>736514</v>
      </c>
      <c r="G45" s="5">
        <v>232182</v>
      </c>
      <c r="H45" s="5">
        <v>184414</v>
      </c>
    </row>
    <row r="46" spans="1:8" ht="15.75" thickBot="1" x14ac:dyDescent="0.3">
      <c r="A46" s="1" t="s">
        <v>32</v>
      </c>
      <c r="B46" s="2">
        <v>23</v>
      </c>
      <c r="C46" s="5">
        <v>494062</v>
      </c>
      <c r="D46" s="5">
        <v>270730</v>
      </c>
      <c r="E46" s="5">
        <v>250856</v>
      </c>
      <c r="F46" s="5">
        <v>233323</v>
      </c>
      <c r="G46" s="5">
        <v>169907</v>
      </c>
      <c r="H46" s="5">
        <v>129972</v>
      </c>
    </row>
    <row r="47" spans="1:8" ht="15.75" thickBot="1" x14ac:dyDescent="0.3">
      <c r="A47" s="1" t="s">
        <v>28</v>
      </c>
      <c r="B47" s="2">
        <v>19</v>
      </c>
      <c r="C47" s="5">
        <v>1554</v>
      </c>
      <c r="D47" s="5">
        <v>3107</v>
      </c>
      <c r="E47" s="5">
        <v>9321</v>
      </c>
      <c r="F47" s="5">
        <v>6335</v>
      </c>
      <c r="G47" s="5">
        <v>1908</v>
      </c>
      <c r="H47" s="5">
        <v>1459</v>
      </c>
    </row>
    <row r="48" spans="1:8" ht="15.75" thickBot="1" x14ac:dyDescent="0.3">
      <c r="A48" s="1" t="s">
        <v>7</v>
      </c>
      <c r="B48" s="2">
        <v>11</v>
      </c>
      <c r="C48" s="5">
        <v>91772</v>
      </c>
      <c r="D48" s="5">
        <v>22239</v>
      </c>
      <c r="E48" s="5">
        <v>38965</v>
      </c>
      <c r="F48" s="5">
        <v>35914</v>
      </c>
      <c r="G48" s="5">
        <v>2968</v>
      </c>
      <c r="H48" s="5">
        <v>43188</v>
      </c>
    </row>
    <row r="49" spans="1:8" ht="15.75" thickBot="1" x14ac:dyDescent="0.3">
      <c r="A49" s="1" t="s">
        <v>29</v>
      </c>
      <c r="B49" s="2">
        <v>20</v>
      </c>
      <c r="C49" s="5">
        <v>37454</v>
      </c>
      <c r="D49" s="5">
        <v>20614</v>
      </c>
      <c r="E49" s="5">
        <v>118520</v>
      </c>
      <c r="F49" s="5">
        <v>267227</v>
      </c>
      <c r="G49" s="5">
        <v>64123</v>
      </c>
      <c r="H49" s="5">
        <v>24130</v>
      </c>
    </row>
    <row r="50" spans="1:8" ht="15.75" thickBot="1" x14ac:dyDescent="0.3">
      <c r="A50" s="1" t="s">
        <v>30</v>
      </c>
      <c r="B50" s="2">
        <v>21</v>
      </c>
      <c r="C50" s="5">
        <v>44126</v>
      </c>
      <c r="D50" s="5">
        <v>33518</v>
      </c>
      <c r="E50" s="5">
        <v>33037</v>
      </c>
      <c r="F50" s="5">
        <v>26419</v>
      </c>
      <c r="G50" s="5">
        <v>29362</v>
      </c>
      <c r="H50" s="5">
        <v>27561</v>
      </c>
    </row>
    <row r="51" spans="1:8" ht="15.75" thickBot="1" x14ac:dyDescent="0.3">
      <c r="A51" s="1" t="s">
        <v>31</v>
      </c>
      <c r="B51" s="2">
        <v>22</v>
      </c>
      <c r="C51" s="5">
        <v>11161</v>
      </c>
      <c r="D51" s="5">
        <v>19199</v>
      </c>
      <c r="E51" s="5">
        <v>5226</v>
      </c>
      <c r="F51" s="5">
        <v>1757</v>
      </c>
      <c r="G51" s="5">
        <v>1887</v>
      </c>
      <c r="H51" s="5">
        <v>2274</v>
      </c>
    </row>
    <row r="52" spans="1:8" ht="15.75" thickBot="1" x14ac:dyDescent="0.3">
      <c r="A52" s="1" t="s">
        <v>35</v>
      </c>
      <c r="B52" s="2">
        <v>24</v>
      </c>
      <c r="C52" s="5">
        <v>117424</v>
      </c>
      <c r="D52" s="5">
        <v>88192</v>
      </c>
      <c r="E52" s="5">
        <v>11553</v>
      </c>
      <c r="F52" s="5">
        <v>25702</v>
      </c>
      <c r="G52" s="5">
        <v>14185</v>
      </c>
      <c r="H52" s="5">
        <v>18132</v>
      </c>
    </row>
    <row r="53" spans="1:8" ht="15.75" thickBot="1" x14ac:dyDescent="0.3">
      <c r="A53" s="3" t="s">
        <v>36</v>
      </c>
      <c r="B53" s="1"/>
      <c r="C53" s="5">
        <v>1661633</v>
      </c>
      <c r="D53" s="5">
        <v>1206753</v>
      </c>
      <c r="E53" s="5">
        <v>1215473</v>
      </c>
      <c r="F53" s="5">
        <v>1333191</v>
      </c>
      <c r="G53" s="5">
        <v>516522</v>
      </c>
      <c r="H53" s="5">
        <v>431130</v>
      </c>
    </row>
    <row r="54" spans="1:8" ht="15.75" thickBot="1" x14ac:dyDescent="0.3">
      <c r="A54" s="1"/>
      <c r="B54" s="1"/>
      <c r="F54" s="1"/>
      <c r="G54" s="1"/>
      <c r="H54" s="1"/>
    </row>
    <row r="55" spans="1:8" ht="15.75" thickBot="1" x14ac:dyDescent="0.3">
      <c r="A55" s="3" t="s">
        <v>37</v>
      </c>
      <c r="B55" s="1"/>
      <c r="C55" s="5">
        <v>20177459</v>
      </c>
      <c r="D55" s="5">
        <v>18731667</v>
      </c>
      <c r="E55" s="5">
        <v>18298224</v>
      </c>
      <c r="F55" s="5">
        <v>18243716</v>
      </c>
      <c r="G55" s="5">
        <v>15442221</v>
      </c>
      <c r="H55" s="5">
        <v>12670163</v>
      </c>
    </row>
    <row r="56" spans="1:8" ht="15.75" thickBot="1" x14ac:dyDescent="0.3">
      <c r="A56" s="3" t="s">
        <v>38</v>
      </c>
      <c r="B56" s="1"/>
      <c r="C56" s="5">
        <v>25865253</v>
      </c>
      <c r="D56" s="5">
        <v>24293249</v>
      </c>
      <c r="E56" s="5">
        <v>23727388</v>
      </c>
      <c r="F56" s="5">
        <v>23808062</v>
      </c>
      <c r="G56" s="5">
        <v>21121291</v>
      </c>
      <c r="H56" s="5">
        <v>18628651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823B-B80D-4951-968C-2D4A928DB791}">
  <dimension ref="A1:H27"/>
  <sheetViews>
    <sheetView tabSelected="1" zoomScale="70" zoomScaleNormal="70" workbookViewId="0">
      <selection activeCell="C22" sqref="C22:C27"/>
    </sheetView>
  </sheetViews>
  <sheetFormatPr baseColWidth="10" defaultRowHeight="15" x14ac:dyDescent="0.25"/>
  <cols>
    <col min="1" max="1" width="18.140625" customWidth="1"/>
  </cols>
  <sheetData>
    <row r="1" spans="1:8" ht="27" thickBot="1" x14ac:dyDescent="0.3">
      <c r="A1" s="7" t="s">
        <v>59</v>
      </c>
      <c r="B1" s="7" t="s">
        <v>1</v>
      </c>
      <c r="C1" s="7" t="s">
        <v>58</v>
      </c>
      <c r="D1" s="8">
        <v>2024</v>
      </c>
      <c r="E1" s="8">
        <v>2023</v>
      </c>
      <c r="F1" s="8">
        <v>2022</v>
      </c>
      <c r="G1" s="8">
        <v>2021</v>
      </c>
      <c r="H1" s="8">
        <v>2020</v>
      </c>
    </row>
    <row r="2" spans="1:8" ht="39.75" thickBot="1" x14ac:dyDescent="0.3">
      <c r="A2" s="1" t="s">
        <v>39</v>
      </c>
      <c r="B2" s="2">
        <v>25</v>
      </c>
      <c r="C2" s="5">
        <v>3847514</v>
      </c>
      <c r="D2" s="5">
        <v>6095701</v>
      </c>
      <c r="E2" s="5">
        <v>5523362</v>
      </c>
      <c r="F2" s="5">
        <v>4816990</v>
      </c>
      <c r="G2" s="5">
        <v>3481508</v>
      </c>
      <c r="H2" s="5">
        <v>3211250</v>
      </c>
    </row>
    <row r="3" spans="1:8" ht="27" thickBot="1" x14ac:dyDescent="0.3">
      <c r="A3" s="1" t="s">
        <v>40</v>
      </c>
      <c r="B3" s="2">
        <v>26</v>
      </c>
      <c r="C3" s="5">
        <v>-1505886</v>
      </c>
      <c r="D3" s="5">
        <v>-3156150</v>
      </c>
      <c r="E3" s="5">
        <v>-2427742</v>
      </c>
      <c r="F3" s="5">
        <v>-1601980</v>
      </c>
      <c r="G3" s="5">
        <v>-1345155</v>
      </c>
      <c r="H3" s="5">
        <v>-1531443</v>
      </c>
    </row>
    <row r="4" spans="1:8" ht="15.75" thickBot="1" x14ac:dyDescent="0.3">
      <c r="A4" s="9" t="s">
        <v>41</v>
      </c>
      <c r="B4" s="9"/>
      <c r="C4" s="10">
        <f>SUM(C2:C3)</f>
        <v>2341628</v>
      </c>
      <c r="D4" s="10">
        <f t="shared" ref="D4:H4" si="0">SUM(D2:D3)</f>
        <v>2939551</v>
      </c>
      <c r="E4" s="10">
        <f t="shared" si="0"/>
        <v>3095620</v>
      </c>
      <c r="F4" s="10">
        <f t="shared" si="0"/>
        <v>3215010</v>
      </c>
      <c r="G4" s="10">
        <f t="shared" si="0"/>
        <v>2136353</v>
      </c>
      <c r="H4" s="10">
        <f t="shared" si="0"/>
        <v>1679807</v>
      </c>
    </row>
    <row r="5" spans="1:8" ht="27" thickBot="1" x14ac:dyDescent="0.3">
      <c r="A5" s="1" t="s">
        <v>42</v>
      </c>
      <c r="B5" s="2">
        <v>27</v>
      </c>
      <c r="C5" s="5">
        <v>6665</v>
      </c>
      <c r="D5" s="5">
        <v>37485</v>
      </c>
      <c r="E5" s="5">
        <v>9704</v>
      </c>
      <c r="F5" s="5">
        <v>5082</v>
      </c>
      <c r="G5" s="5">
        <v>5951</v>
      </c>
      <c r="H5" s="5">
        <v>36002</v>
      </c>
    </row>
    <row r="6" spans="1:8" ht="39.75" thickBot="1" x14ac:dyDescent="0.3">
      <c r="A6" s="1" t="s">
        <v>43</v>
      </c>
      <c r="B6" s="2">
        <v>28</v>
      </c>
      <c r="C6" s="5">
        <v>-130464</v>
      </c>
      <c r="D6" s="5">
        <v>-184607</v>
      </c>
      <c r="E6" s="5">
        <v>-161731</v>
      </c>
      <c r="F6" s="5">
        <v>-155931</v>
      </c>
      <c r="G6" s="5">
        <v>-124062</v>
      </c>
      <c r="H6" s="5">
        <v>-132538</v>
      </c>
    </row>
    <row r="7" spans="1:8" ht="27" thickBot="1" x14ac:dyDescent="0.3">
      <c r="A7" s="1" t="s">
        <v>44</v>
      </c>
      <c r="B7" s="2">
        <v>29</v>
      </c>
      <c r="C7" s="5">
        <v>-38386</v>
      </c>
      <c r="D7" s="5">
        <v>-53946</v>
      </c>
      <c r="E7" s="5">
        <v>-37608</v>
      </c>
      <c r="F7" s="5">
        <v>-94550</v>
      </c>
      <c r="G7" s="5">
        <v>-8191</v>
      </c>
      <c r="H7" s="5">
        <v>-13003</v>
      </c>
    </row>
    <row r="8" spans="1:8" ht="27" thickBot="1" x14ac:dyDescent="0.3">
      <c r="A8" s="1" t="s">
        <v>45</v>
      </c>
      <c r="B8" s="2">
        <v>30</v>
      </c>
      <c r="C8" s="5">
        <v>226003</v>
      </c>
      <c r="D8" s="5">
        <v>416117</v>
      </c>
      <c r="E8" s="5">
        <v>414971</v>
      </c>
      <c r="F8" s="5">
        <v>198968</v>
      </c>
      <c r="G8" s="5">
        <v>8278</v>
      </c>
      <c r="H8" s="5">
        <v>22992</v>
      </c>
    </row>
    <row r="9" spans="1:8" ht="27" thickBot="1" x14ac:dyDescent="0.3">
      <c r="A9" s="1" t="s">
        <v>46</v>
      </c>
      <c r="B9" s="2">
        <v>31</v>
      </c>
      <c r="C9" s="5">
        <v>-1360062</v>
      </c>
      <c r="D9" s="5">
        <v>-1870991</v>
      </c>
      <c r="E9" s="5">
        <v>-1821155</v>
      </c>
      <c r="F9" s="5">
        <v>-1317580</v>
      </c>
      <c r="G9" s="5">
        <v>-731988</v>
      </c>
      <c r="H9" s="5">
        <v>-821768</v>
      </c>
    </row>
    <row r="10" spans="1:8" ht="39.75" thickBot="1" x14ac:dyDescent="0.3">
      <c r="A10" s="1" t="s">
        <v>47</v>
      </c>
      <c r="B10" s="2">
        <v>32</v>
      </c>
      <c r="C10" s="5">
        <v>-250894</v>
      </c>
      <c r="D10" s="5">
        <v>-19632</v>
      </c>
      <c r="E10" s="5">
        <v>61822</v>
      </c>
      <c r="F10" s="5">
        <v>-27239</v>
      </c>
      <c r="G10" s="2">
        <v>7</v>
      </c>
      <c r="H10" s="5">
        <v>-34923</v>
      </c>
    </row>
    <row r="11" spans="1:8" ht="27" thickBot="1" x14ac:dyDescent="0.3">
      <c r="A11" s="9" t="s">
        <v>48</v>
      </c>
      <c r="B11" s="9"/>
      <c r="C11" s="10">
        <f>SUM(C4:C10)</f>
        <v>794490</v>
      </c>
      <c r="D11" s="10">
        <f t="shared" ref="D11:H11" si="1">SUM(D4:D10)</f>
        <v>1263977</v>
      </c>
      <c r="E11" s="10">
        <f t="shared" si="1"/>
        <v>1561623</v>
      </c>
      <c r="F11" s="10">
        <f t="shared" si="1"/>
        <v>1823760</v>
      </c>
      <c r="G11" s="10">
        <f t="shared" si="1"/>
        <v>1286348</v>
      </c>
      <c r="H11" s="10">
        <f t="shared" si="1"/>
        <v>736569</v>
      </c>
    </row>
    <row r="12" spans="1:8" ht="15.75" thickBot="1" x14ac:dyDescent="0.3">
      <c r="A12" s="13" t="s">
        <v>60</v>
      </c>
      <c r="B12" s="9"/>
      <c r="C12" s="10">
        <f>C11-C9-C8</f>
        <v>1928549</v>
      </c>
      <c r="D12" s="10">
        <f t="shared" ref="D12:H12" si="2">D11-D9-D8</f>
        <v>2718851</v>
      </c>
      <c r="E12" s="10">
        <f t="shared" si="2"/>
        <v>2967807</v>
      </c>
      <c r="F12" s="10">
        <f t="shared" si="2"/>
        <v>2942372</v>
      </c>
      <c r="G12" s="10">
        <f t="shared" si="2"/>
        <v>2010058</v>
      </c>
      <c r="H12" s="10">
        <f t="shared" si="2"/>
        <v>1535345</v>
      </c>
    </row>
    <row r="13" spans="1:8" ht="15.75" thickBot="1" x14ac:dyDescent="0.3">
      <c r="A13" t="s">
        <v>62</v>
      </c>
      <c r="B13" s="9"/>
      <c r="C13" s="5">
        <v>235541</v>
      </c>
      <c r="D13" s="5">
        <v>304317</v>
      </c>
      <c r="E13" s="5">
        <v>279121</v>
      </c>
      <c r="F13" s="12">
        <v>259748</v>
      </c>
      <c r="G13" s="5">
        <v>233257</v>
      </c>
      <c r="H13" s="5">
        <v>229772</v>
      </c>
    </row>
    <row r="14" spans="1:8" ht="15.75" thickBot="1" x14ac:dyDescent="0.3">
      <c r="A14" s="1" t="s">
        <v>61</v>
      </c>
      <c r="B14" s="9"/>
      <c r="C14" s="5">
        <v>3472</v>
      </c>
      <c r="D14" s="5">
        <v>5711</v>
      </c>
      <c r="E14" s="12">
        <v>2728</v>
      </c>
      <c r="F14" s="12">
        <v>2712</v>
      </c>
      <c r="G14" s="5">
        <v>3444</v>
      </c>
      <c r="H14" s="5">
        <v>1864</v>
      </c>
    </row>
    <row r="15" spans="1:8" ht="15.75" thickBot="1" x14ac:dyDescent="0.3">
      <c r="A15" s="9" t="s">
        <v>63</v>
      </c>
      <c r="B15" s="9"/>
      <c r="C15" s="10">
        <f>C12+C13+C14</f>
        <v>2167562</v>
      </c>
      <c r="D15" s="10">
        <f t="shared" ref="D15:H15" si="3">D12+D13+D14</f>
        <v>3028879</v>
      </c>
      <c r="E15" s="10">
        <f t="shared" si="3"/>
        <v>3249656</v>
      </c>
      <c r="F15" s="10">
        <f t="shared" si="3"/>
        <v>3204832</v>
      </c>
      <c r="G15" s="10">
        <f t="shared" si="3"/>
        <v>2246759</v>
      </c>
      <c r="H15" s="10">
        <f t="shared" si="3"/>
        <v>1766981</v>
      </c>
    </row>
    <row r="16" spans="1:8" ht="27" thickBot="1" x14ac:dyDescent="0.3">
      <c r="A16" s="1" t="s">
        <v>49</v>
      </c>
      <c r="B16" s="2">
        <v>20</v>
      </c>
      <c r="C16" s="5">
        <v>-91087</v>
      </c>
      <c r="D16" s="5">
        <v>-234854</v>
      </c>
      <c r="E16" s="5">
        <v>-326019</v>
      </c>
      <c r="F16" s="5">
        <v>-467248</v>
      </c>
      <c r="G16" s="5">
        <v>-70862</v>
      </c>
      <c r="H16" s="5">
        <v>-165680</v>
      </c>
    </row>
    <row r="17" spans="1:8" ht="39.75" thickBot="1" x14ac:dyDescent="0.3">
      <c r="A17" s="1" t="s">
        <v>50</v>
      </c>
      <c r="B17" s="2">
        <v>20</v>
      </c>
      <c r="C17" s="5">
        <v>-92160</v>
      </c>
      <c r="D17" s="5">
        <v>-154288</v>
      </c>
      <c r="E17" s="5">
        <v>-151518</v>
      </c>
      <c r="F17" s="5">
        <v>-167874</v>
      </c>
      <c r="G17" s="5">
        <v>-692359</v>
      </c>
      <c r="H17" s="5">
        <v>-74760</v>
      </c>
    </row>
    <row r="18" spans="1:8" ht="27" thickBot="1" x14ac:dyDescent="0.3">
      <c r="A18" s="9" t="s">
        <v>51</v>
      </c>
      <c r="B18" s="9"/>
      <c r="C18" s="10">
        <v>606104</v>
      </c>
      <c r="D18" s="10">
        <v>904616</v>
      </c>
      <c r="E18" s="10">
        <v>1035242</v>
      </c>
      <c r="F18" s="10">
        <v>1233838</v>
      </c>
      <c r="G18" s="10">
        <v>523127</v>
      </c>
      <c r="H18" s="10">
        <v>496129</v>
      </c>
    </row>
    <row r="19" spans="1:8" ht="15.75" thickBot="1" x14ac:dyDescent="0.3">
      <c r="A19" s="1"/>
      <c r="B19" s="1"/>
      <c r="C19" s="4"/>
      <c r="D19" s="4"/>
      <c r="E19" s="4"/>
      <c r="F19" s="4"/>
      <c r="G19" s="11"/>
      <c r="H19" s="11"/>
    </row>
    <row r="20" spans="1:8" ht="15.75" thickBot="1" x14ac:dyDescent="0.3"/>
    <row r="21" spans="1:8" ht="27" thickBot="1" x14ac:dyDescent="0.3">
      <c r="A21" s="1" t="s">
        <v>52</v>
      </c>
      <c r="B21" s="1"/>
      <c r="D21" s="1"/>
      <c r="E21" s="1"/>
      <c r="F21" s="1"/>
      <c r="G21" s="1"/>
      <c r="H21" s="1"/>
    </row>
    <row r="22" spans="1:8" ht="52.5" thickBot="1" x14ac:dyDescent="0.3">
      <c r="A22" s="1" t="s">
        <v>53</v>
      </c>
      <c r="B22" s="2">
        <v>37</v>
      </c>
      <c r="C22" s="1"/>
      <c r="D22" s="5">
        <v>10416</v>
      </c>
      <c r="E22" s="5">
        <v>-27643</v>
      </c>
      <c r="F22" s="5">
        <v>17374</v>
      </c>
      <c r="G22" s="5">
        <v>10906</v>
      </c>
      <c r="H22" s="5">
        <v>1015</v>
      </c>
    </row>
    <row r="23" spans="1:8" ht="27" thickBot="1" x14ac:dyDescent="0.3">
      <c r="A23" s="1" t="s">
        <v>54</v>
      </c>
      <c r="B23" s="2">
        <v>37</v>
      </c>
      <c r="C23" s="1"/>
      <c r="D23" s="5">
        <v>-23977</v>
      </c>
      <c r="E23" s="5">
        <v>-112064</v>
      </c>
      <c r="F23" s="5">
        <v>73128</v>
      </c>
      <c r="G23" s="5">
        <v>108702</v>
      </c>
      <c r="H23" s="5">
        <v>-29050</v>
      </c>
    </row>
    <row r="24" spans="1:8" ht="27" thickBot="1" x14ac:dyDescent="0.3">
      <c r="A24" s="1" t="s">
        <v>55</v>
      </c>
      <c r="B24" s="1"/>
      <c r="C24" s="5">
        <v>14928</v>
      </c>
      <c r="D24" s="5">
        <v>-13561</v>
      </c>
      <c r="E24" s="5">
        <v>-139707</v>
      </c>
      <c r="F24" s="5">
        <v>94521</v>
      </c>
      <c r="G24" s="5">
        <v>119608</v>
      </c>
      <c r="H24" s="5">
        <v>-28035</v>
      </c>
    </row>
    <row r="25" spans="1:8" ht="27" thickBot="1" x14ac:dyDescent="0.3">
      <c r="A25" s="9" t="s">
        <v>56</v>
      </c>
      <c r="B25" s="9"/>
      <c r="C25" s="10">
        <v>621032</v>
      </c>
      <c r="D25" s="10">
        <v>891055</v>
      </c>
      <c r="E25" s="10">
        <v>895535</v>
      </c>
      <c r="F25" s="10">
        <v>1328359</v>
      </c>
      <c r="G25" s="10">
        <v>642735</v>
      </c>
      <c r="H25" s="10">
        <v>468094</v>
      </c>
    </row>
    <row r="26" spans="1:8" ht="15.75" thickBot="1" x14ac:dyDescent="0.3">
      <c r="A26" s="1"/>
      <c r="B26" s="1"/>
      <c r="C26" s="1"/>
      <c r="D26" s="1"/>
      <c r="E26" s="1"/>
      <c r="G26" s="1"/>
      <c r="H26" s="1"/>
    </row>
    <row r="27" spans="1:8" ht="39.75" thickBot="1" x14ac:dyDescent="0.3">
      <c r="A27" s="1" t="s">
        <v>57</v>
      </c>
      <c r="B27" s="2">
        <v>33</v>
      </c>
      <c r="C27" s="2">
        <v>495</v>
      </c>
      <c r="D27" s="2">
        <v>739</v>
      </c>
      <c r="E27" s="1">
        <v>846</v>
      </c>
      <c r="F27" s="5">
        <v>1008</v>
      </c>
      <c r="G27" s="2">
        <v>427</v>
      </c>
      <c r="H27" s="2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ESF</vt:lpstr>
      <vt:lpstr>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ANDRES MIRANDA ROJO</cp:lastModifiedBy>
  <dcterms:created xsi:type="dcterms:W3CDTF">2025-12-02T00:29:06Z</dcterms:created>
  <dcterms:modified xsi:type="dcterms:W3CDTF">2025-12-04T22:12:37Z</dcterms:modified>
</cp:coreProperties>
</file>