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1. Balance General" sheetId="1" state="visible" r:id="rId1"/>
    <sheet name="2. Estado de Resultados" sheetId="2" state="visible" r:id="rId2"/>
    <sheet name="3. Análisis Vertical BSC" sheetId="3" state="visible" r:id="rId3"/>
    <sheet name="4. Análisis Horizontal BSC" sheetId="4" state="visible" r:id="rId4"/>
    <sheet name="5. Análisis Vertical ER" sheetId="5" state="visible" r:id="rId5"/>
    <sheet name="6. Análisis Horizontal ER" sheetId="6" state="visible" r:id="rId6"/>
    <sheet name="7. Indicadores Financieros" sheetId="7" state="visible" r:id="rId7"/>
    <sheet name="8. Flujos de Caja" sheetId="8" state="visible" r:id="rId8"/>
    <sheet name="9. Costo de Capital WACC" sheetId="9" state="visible" r:id="rId9"/>
    <sheet name="10. Valoración DCF" sheetId="10" state="visible" r:id="rId10"/>
    <sheet name="11. Análisis Sensibilidad" sheetId="11" state="visible" r:id="rId11"/>
    <sheet name="14. WACC Proyectado" sheetId="12" state="visible" r:id="rId12"/>
    <sheet name="12. ER Proyectado" sheetId="13" state="visible" r:id="rId13"/>
    <sheet name="13. BSC Proyectado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&quot;%&quot;"/>
    <numFmt numFmtId="165" formatCode="0.0"/>
    <numFmt numFmtId="166" formatCode="0.0000"/>
    <numFmt numFmtId="167" formatCode="0.000000"/>
    <numFmt numFmtId="168" formatCode="0.0%"/>
  </numFmts>
  <fonts count="30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i val="1"/>
      <sz val="9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FFFFFF"/>
      <sz val="10"/>
    </font>
    <font>
      <name val="Aptos Narrow"/>
      <family val="2"/>
      <color rgb="FF000000"/>
      <sz val="11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i val="1"/>
      <sz val="9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sz val="9"/>
    </font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Calibri"/>
      <family val="2"/>
      <b val="1"/>
      <i val="1"/>
      <sz val="11"/>
    </font>
    <font>
      <name val="Calibri"/>
      <family val="2"/>
      <b val="1"/>
      <sz val="12"/>
    </font>
    <font>
      <name val="Calibri"/>
      <family val="2"/>
      <color rgb="FF000000"/>
      <sz val="10"/>
      <scheme val="minor"/>
    </font>
    <font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b val="1"/>
      <color rgb="00FF0000"/>
    </font>
  </fonts>
  <fills count="31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BA0C9"/>
        <bgColor rgb="FF7BA0C9"/>
      </patternFill>
    </fill>
    <fill>
      <patternFill patternType="solid">
        <fgColor rgb="FFFBE2D5"/>
        <bgColor rgb="FF000000"/>
      </patternFill>
    </fill>
    <fill>
      <patternFill patternType="solid">
        <fgColor rgb="FF366092"/>
        <bgColor rgb="FF366092"/>
      </patternFill>
    </fill>
    <fill>
      <patternFill patternType="solid">
        <fgColor rgb="FF7BA0C9"/>
        <bgColor rgb="FF7BA0C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C5E0B4"/>
        <bgColor rgb="FFC5E0B4"/>
      </patternFill>
    </fill>
    <fill>
      <patternFill patternType="solid">
        <fgColor rgb="FF92D050"/>
        <bgColor rgb="FF92D050"/>
      </patternFill>
    </fill>
    <fill>
      <patternFill patternType="solid">
        <fgColor rgb="FFE7E6E6"/>
        <bgColor rgb="FFE7E6E6"/>
      </patternFill>
    </fill>
    <fill>
      <patternFill patternType="solid">
        <fgColor rgb="FFF4B084"/>
        <bgColor rgb="FFF4B084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305496"/>
        <bgColor rgb="FF305496"/>
      </patternFill>
    </fill>
    <fill>
      <patternFill patternType="solid">
        <fgColor rgb="FFDDEBF7"/>
        <bgColor rgb="FFDDEBF7"/>
      </patternFill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C7CE"/>
        <bgColor rgb="FFFFC7CE"/>
      </patternFill>
    </fill>
    <fill>
      <patternFill patternType="solid">
        <fgColor rgb="FFD9E1F2"/>
        <bgColor rgb="FFD9E1F2"/>
      </patternFill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19" fillId="0" borderId="0"/>
    <xf numFmtId="9" fontId="19" fillId="0" borderId="0"/>
  </cellStyleXfs>
  <cellXfs count="9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1" pivotButton="0" quotePrefix="0" xfId="0"/>
    <xf numFmtId="3" fontId="6" fillId="3" borderId="1" applyAlignment="1" pivotButton="0" quotePrefix="0" xfId="0">
      <alignment horizontal="right" vertical="center"/>
    </xf>
    <xf numFmtId="0" fontId="5" fillId="0" borderId="1" pivotButton="0" quotePrefix="0" xfId="0"/>
    <xf numFmtId="3" fontId="0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6" fillId="0" borderId="1" pivotButton="0" quotePrefix="0" xfId="0"/>
    <xf numFmtId="164" fontId="6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6" fillId="3" borderId="0" pivotButton="0" quotePrefix="0" xfId="0"/>
    <xf numFmtId="3" fontId="0" fillId="6" borderId="1" applyAlignment="1" pivotButton="0" quotePrefix="0" xfId="0">
      <alignment horizontal="right" vertical="center"/>
    </xf>
    <xf numFmtId="0" fontId="7" fillId="7" borderId="0" pivotButton="0" quotePrefix="0" xfId="0"/>
    <xf numFmtId="0" fontId="0" fillId="7" borderId="0" pivotButton="0" quotePrefix="0" xfId="0"/>
    <xf numFmtId="0" fontId="6" fillId="0" borderId="0" pivotButton="0" quotePrefix="0" xfId="0"/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0" fontId="8" fillId="8" borderId="0" pivotButton="0" quotePrefix="0" xfId="0"/>
    <xf numFmtId="0" fontId="8" fillId="0" borderId="0" pivotButton="0" quotePrefix="0" xfId="0"/>
    <xf numFmtId="10" fontId="0" fillId="0" borderId="0" pivotButton="0" quotePrefix="0" xfId="0"/>
    <xf numFmtId="1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2" applyAlignment="1" pivotButton="0" quotePrefix="0" xfId="0">
      <alignment horizontal="center" vertical="center" wrapText="1"/>
    </xf>
    <xf numFmtId="0" fontId="13" fillId="10" borderId="0" pivotButton="0" quotePrefix="0" xfId="0"/>
    <xf numFmtId="0" fontId="0" fillId="10" borderId="0" pivotButton="0" quotePrefix="0" xfId="0"/>
    <xf numFmtId="10" fontId="0" fillId="11" borderId="2" applyAlignment="1" pivotButton="0" quotePrefix="0" xfId="0">
      <alignment horizontal="right" vertical="center"/>
    </xf>
    <xf numFmtId="0" fontId="14" fillId="0" borderId="0" pivotButton="0" quotePrefix="0" xfId="0"/>
    <xf numFmtId="10" fontId="14" fillId="12" borderId="2" applyAlignment="1" pivotButton="0" quotePrefix="0" xfId="0">
      <alignment horizontal="right" vertical="center"/>
    </xf>
    <xf numFmtId="166" fontId="0" fillId="11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right" vertical="center"/>
    </xf>
    <xf numFmtId="3" fontId="14" fillId="13" borderId="2" applyAlignment="1" pivotButton="0" quotePrefix="0" xfId="0">
      <alignment horizontal="right" vertical="center"/>
    </xf>
    <xf numFmtId="2" fontId="14" fillId="12" borderId="2" applyAlignment="1" pivotButton="0" quotePrefix="0" xfId="0">
      <alignment horizontal="right" vertical="center"/>
    </xf>
    <xf numFmtId="10" fontId="0" fillId="12" borderId="2" applyAlignment="1" pivotButton="0" quotePrefix="0" xfId="0">
      <alignment horizontal="right" vertical="center"/>
    </xf>
    <xf numFmtId="10" fontId="14" fillId="14" borderId="2" applyAlignment="1" pivotButton="0" quotePrefix="0" xfId="0">
      <alignment horizontal="right" vertical="center"/>
    </xf>
    <xf numFmtId="166" fontId="14" fillId="12" borderId="2" applyAlignment="1" pivotButton="0" quotePrefix="0" xfId="0">
      <alignment horizontal="right" vertical="center"/>
    </xf>
    <xf numFmtId="0" fontId="15" fillId="0" borderId="0" pivotButton="0" quotePrefix="0" xfId="0"/>
    <xf numFmtId="10" fontId="15" fillId="15" borderId="3" applyAlignment="1" pivotButton="0" quotePrefix="0" xfId="0">
      <alignment horizontal="right" vertical="center"/>
    </xf>
    <xf numFmtId="10" fontId="0" fillId="16" borderId="2" applyAlignment="1" pivotButton="0" quotePrefix="0" xfId="0">
      <alignment horizontal="right" vertical="center"/>
    </xf>
    <xf numFmtId="3" fontId="14" fillId="12" borderId="2" applyAlignment="1" pivotButton="0" quotePrefix="0" xfId="0">
      <alignment horizontal="right" vertical="center"/>
    </xf>
    <xf numFmtId="1" fontId="0" fillId="0" borderId="2" applyAlignment="1" pivotButton="0" quotePrefix="0" xfId="0">
      <alignment horizontal="right" vertical="center"/>
    </xf>
    <xf numFmtId="167" fontId="0" fillId="12" borderId="2" applyAlignment="1" pivotButton="0" quotePrefix="0" xfId="0">
      <alignment horizontal="right" vertical="center"/>
    </xf>
    <xf numFmtId="3" fontId="14" fillId="17" borderId="2" applyAlignment="1" pivotButton="0" quotePrefix="0" xfId="0">
      <alignment horizontal="right" vertical="center"/>
    </xf>
    <xf numFmtId="3" fontId="15" fillId="17" borderId="3" applyAlignment="1" pivotButton="0" quotePrefix="0" xfId="0">
      <alignment horizontal="right" vertical="center"/>
    </xf>
    <xf numFmtId="3" fontId="14" fillId="15" borderId="2" applyAlignment="1" pivotButton="0" quotePrefix="0" xfId="0">
      <alignment horizontal="right" vertical="center"/>
    </xf>
    <xf numFmtId="3" fontId="16" fillId="18" borderId="3" applyAlignment="1" pivotButton="0" quotePrefix="0" xfId="0">
      <alignment horizontal="right" vertical="center"/>
    </xf>
    <xf numFmtId="3" fontId="16" fillId="19" borderId="3" applyAlignment="1" pivotButton="0" quotePrefix="0" xfId="0">
      <alignment horizontal="right" vertical="center"/>
    </xf>
    <xf numFmtId="0" fontId="13" fillId="20" borderId="0" pivotButton="0" quotePrefix="0" xfId="0"/>
    <xf numFmtId="0" fontId="0" fillId="20" borderId="0" pivotButton="0" quotePrefix="0" xfId="0"/>
    <xf numFmtId="0" fontId="13" fillId="20" borderId="2" applyAlignment="1" pivotButton="0" quotePrefix="0" xfId="0">
      <alignment horizontal="center" vertical="center" wrapText="1"/>
    </xf>
    <xf numFmtId="0" fontId="17" fillId="20" borderId="2" applyAlignment="1" pivotButton="0" quotePrefix="0" xfId="0">
      <alignment horizontal="center" vertical="center" wrapText="1"/>
    </xf>
    <xf numFmtId="3" fontId="0" fillId="21" borderId="2" applyAlignment="1" pivotButton="0" quotePrefix="0" xfId="0">
      <alignment horizontal="right" vertical="center"/>
    </xf>
    <xf numFmtId="0" fontId="7" fillId="10" borderId="0" pivotButton="0" quotePrefix="0" xfId="0"/>
    <xf numFmtId="9" fontId="0" fillId="0" borderId="0" pivotButton="0" quotePrefix="0" xfId="1"/>
    <xf numFmtId="0" fontId="20" fillId="0" borderId="0" pivotButton="0" quotePrefix="0" xfId="0"/>
    <xf numFmtId="0" fontId="21" fillId="22" borderId="4" applyAlignment="1" pivotButton="0" quotePrefix="0" xfId="0">
      <alignment horizontal="center" vertical="center"/>
    </xf>
    <xf numFmtId="0" fontId="22" fillId="0" borderId="0" pivotButton="0" quotePrefix="0" xfId="0"/>
    <xf numFmtId="168" fontId="0" fillId="23" borderId="0" pivotButton="0" quotePrefix="0" xfId="0"/>
    <xf numFmtId="3" fontId="0" fillId="0" borderId="0" pivotButton="0" quotePrefix="0" xfId="0"/>
    <xf numFmtId="3" fontId="0" fillId="24" borderId="0" pivotButton="0" quotePrefix="0" xfId="0"/>
    <xf numFmtId="3" fontId="22" fillId="0" borderId="0" pivotButton="0" quotePrefix="0" xfId="0"/>
    <xf numFmtId="3" fontId="22" fillId="24" borderId="0" pivotButton="0" quotePrefix="0" xfId="0"/>
    <xf numFmtId="0" fontId="22" fillId="25" borderId="0" pivotButton="0" quotePrefix="0" xfId="0"/>
    <xf numFmtId="3" fontId="0" fillId="25" borderId="0" pivotButton="0" quotePrefix="0" xfId="0"/>
    <xf numFmtId="0" fontId="0" fillId="23" borderId="0" pivotButton="0" quotePrefix="0" xfId="0"/>
    <xf numFmtId="0" fontId="23" fillId="0" borderId="0" pivotButton="0" quotePrefix="0" xfId="0"/>
    <xf numFmtId="3" fontId="22" fillId="0" borderId="5" pivotButton="0" quotePrefix="0" xfId="0"/>
    <xf numFmtId="3" fontId="22" fillId="26" borderId="0" pivotButton="0" quotePrefix="0" xfId="0"/>
    <xf numFmtId="168" fontId="0" fillId="0" borderId="0" pivotButton="0" quotePrefix="0" xfId="0"/>
    <xf numFmtId="10" fontId="0" fillId="24" borderId="0" pivotButton="0" quotePrefix="0" xfId="0"/>
    <xf numFmtId="0" fontId="24" fillId="0" borderId="0" pivotButton="0" quotePrefix="0" xfId="0"/>
    <xf numFmtId="10" fontId="22" fillId="24" borderId="0" pivotButton="0" quotePrefix="0" xfId="0"/>
    <xf numFmtId="0" fontId="18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5" fillId="0" borderId="0" pivotButton="0" quotePrefix="0" xfId="0"/>
    <xf numFmtId="0" fontId="27" fillId="27" borderId="6" applyAlignment="1" pivotButton="0" quotePrefix="0" xfId="0">
      <alignment horizontal="center" vertical="center"/>
    </xf>
    <xf numFmtId="0" fontId="26" fillId="0" borderId="0" pivotButton="0" quotePrefix="0" xfId="0"/>
    <xf numFmtId="0" fontId="28" fillId="0" borderId="0" pivotButton="0" quotePrefix="0" xfId="0"/>
    <xf numFmtId="3" fontId="28" fillId="28" borderId="0" pivotButton="0" quotePrefix="0" xfId="0"/>
    <xf numFmtId="0" fontId="29" fillId="0" borderId="0" pivotButton="0" quotePrefix="0" xfId="0"/>
    <xf numFmtId="0" fontId="0" fillId="30" borderId="0" pivotButton="0" quotePrefix="0" xfId="0"/>
    <xf numFmtId="0" fontId="0" fillId="29" borderId="0" pivotButton="0" quotePrefix="0" xfId="0"/>
  </cellXfs>
  <cellStyles count="2">
    <cellStyle name="Normal" xfId="0" builtinId="0"/>
    <cellStyle name="Porcentaje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topLeftCell="A5" zoomScaleNormal="100" workbookViewId="0">
      <selection activeCell="A49" sqref="A49"/>
    </sheetView>
  </sheetViews>
  <sheetFormatPr baseColWidth="10" defaultColWidth="9.140625" defaultRowHeight="15"/>
  <cols>
    <col width="50" customWidth="1" style="85" min="1" max="1"/>
    <col width="16" customWidth="1" style="85" min="2" max="7"/>
  </cols>
  <sheetData>
    <row r="1" ht="18" customHeight="1" s="85">
      <c r="A1" s="1" t="inlineStr">
        <is>
          <t>ISAGEN S.A. E.S.P.</t>
        </is>
      </c>
    </row>
    <row r="2" ht="15.75" customHeight="1" s="85">
      <c r="A2" s="2" t="inlineStr">
        <is>
          <t>ESTADO DE SITUACIÓN FINANCIERA</t>
        </is>
      </c>
    </row>
    <row r="3">
      <c r="A3" s="3" t="inlineStr">
        <is>
          <t>Valores en millones de pesos colombianos (COP)</t>
        </is>
      </c>
    </row>
    <row r="5">
      <c r="A5" s="4" t="inlineStr">
        <is>
          <t>CONCEPTO</t>
        </is>
      </c>
      <c r="B5" s="4" t="inlineStr">
        <is>
          <t>2020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  <c r="G5" s="4" t="inlineStr">
        <is>
          <t>2025 (Sep)</t>
        </is>
      </c>
    </row>
    <row r="6">
      <c r="A6" s="5" t="inlineStr">
        <is>
          <t>ACTIVOS NO CORRIENTES</t>
        </is>
      </c>
      <c r="B6" s="6" t="n"/>
      <c r="C6" s="6" t="n"/>
      <c r="D6" s="6" t="n"/>
      <c r="E6" s="6" t="n"/>
      <c r="F6" s="6" t="n"/>
      <c r="G6" s="6" t="n"/>
    </row>
    <row r="7">
      <c r="A7" s="7" t="inlineStr">
        <is>
          <t>Propiedades, planta y equipo, neto</t>
        </is>
      </c>
      <c r="B7" s="8" t="n">
        <v>15179609</v>
      </c>
      <c r="C7" s="8" t="n">
        <v>17230679</v>
      </c>
      <c r="D7" s="8" t="n">
        <v>17365315</v>
      </c>
      <c r="E7" s="8" t="n">
        <v>17742271</v>
      </c>
      <c r="F7" s="8" t="n">
        <v>17522981</v>
      </c>
      <c r="G7" s="8" t="n">
        <v>17319341</v>
      </c>
    </row>
    <row r="8">
      <c r="A8" s="7" t="inlineStr">
        <is>
          <t>Activos intangibles, neto</t>
        </is>
      </c>
      <c r="B8" s="8" t="n">
        <v>2774772</v>
      </c>
      <c r="C8" s="8" t="n">
        <v>2783815</v>
      </c>
      <c r="D8" s="8" t="n">
        <v>2755491</v>
      </c>
      <c r="E8" s="8" t="n">
        <v>2760600</v>
      </c>
      <c r="F8" s="8" t="n">
        <v>2769524</v>
      </c>
      <c r="G8" s="8" t="n">
        <v>2783735</v>
      </c>
    </row>
    <row r="9">
      <c r="A9" s="7" t="inlineStr">
        <is>
          <t>Cuentas por cobrar, neto</t>
        </is>
      </c>
      <c r="B9" s="8" t="n">
        <v>26655</v>
      </c>
      <c r="C9" s="8" t="n">
        <v>24142</v>
      </c>
      <c r="D9" s="8" t="n">
        <v>2024312</v>
      </c>
      <c r="E9" s="8" t="n">
        <v>1910168</v>
      </c>
      <c r="F9" s="8" t="n">
        <v>32960</v>
      </c>
      <c r="G9" s="8" t="n">
        <v>60923</v>
      </c>
    </row>
    <row r="10">
      <c r="A10" s="7" t="inlineStr">
        <is>
          <t>Instrumentos financieros</t>
        </is>
      </c>
      <c r="B10" s="8" t="n">
        <v>84</v>
      </c>
      <c r="C10" s="8" t="n">
        <v>84</v>
      </c>
      <c r="D10" s="8" t="n">
        <v>84</v>
      </c>
      <c r="E10" s="8" t="n">
        <v>84</v>
      </c>
      <c r="F10" s="8" t="n">
        <v>2493808</v>
      </c>
      <c r="G10" s="8" t="n">
        <v>544561</v>
      </c>
    </row>
    <row r="11">
      <c r="A11" s="7" t="inlineStr">
        <is>
          <t>Operaciones con derivados</t>
        </is>
      </c>
      <c r="B11" s="8" t="inlineStr">
        <is>
          <t>-</t>
        </is>
      </c>
      <c r="C11" s="8" t="n">
        <v>85660</v>
      </c>
      <c r="D11" s="8" t="n">
        <v>228189</v>
      </c>
      <c r="E11" s="8" t="n">
        <v>31816</v>
      </c>
      <c r="F11" s="8" t="n">
        <v>90034</v>
      </c>
      <c r="G11" s="8" t="n">
        <v>1202870</v>
      </c>
    </row>
    <row r="12">
      <c r="A12" s="7" t="inlineStr">
        <is>
          <t>Efectivo restringido</t>
        </is>
      </c>
      <c r="B12" s="8" t="n">
        <v>2127</v>
      </c>
      <c r="C12" s="8" t="n">
        <v>2185</v>
      </c>
      <c r="D12" s="8" t="n">
        <v>2159</v>
      </c>
      <c r="E12" s="8" t="n">
        <v>2541</v>
      </c>
      <c r="F12" s="8" t="n">
        <v>2928</v>
      </c>
      <c r="G12" s="8" t="n">
        <v>27114</v>
      </c>
    </row>
    <row r="13">
      <c r="A13" s="7" t="inlineStr">
        <is>
          <t>Otros activos</t>
        </is>
      </c>
      <c r="B13" s="8" t="n">
        <v>950</v>
      </c>
      <c r="C13" s="8" t="n">
        <v>950</v>
      </c>
      <c r="D13" s="8" t="n">
        <v>950</v>
      </c>
      <c r="E13" s="8" t="n"/>
      <c r="F13" s="8" t="n"/>
      <c r="G13" s="8" t="n">
        <v>3230</v>
      </c>
    </row>
    <row r="14">
      <c r="A14" s="5" t="inlineStr">
        <is>
          <t>Total Activos No Corrientes</t>
        </is>
      </c>
      <c r="B14" s="6" t="n">
        <v>17984197</v>
      </c>
      <c r="C14" s="6" t="n">
        <v>20127515</v>
      </c>
      <c r="D14" s="6" t="n">
        <v>22376500</v>
      </c>
      <c r="E14" s="6" t="n">
        <v>22447480</v>
      </c>
      <c r="F14" s="6" t="n">
        <v>22912235</v>
      </c>
      <c r="G14" s="6" t="n">
        <v>21941774</v>
      </c>
    </row>
    <row r="15">
      <c r="A15" s="7" t="n"/>
      <c r="B15" s="8" t="n"/>
      <c r="C15" s="8" t="n"/>
      <c r="D15" s="8" t="n"/>
      <c r="E15" s="8" t="n"/>
      <c r="F15" s="8" t="n"/>
      <c r="G15" s="8" t="n"/>
    </row>
    <row r="16">
      <c r="A16" s="5" t="inlineStr">
        <is>
          <t>ACTIVOS CORRIENTES</t>
        </is>
      </c>
      <c r="B16" s="6" t="n"/>
      <c r="C16" s="6" t="n"/>
      <c r="D16" s="6" t="n"/>
      <c r="E16" s="6" t="n"/>
      <c r="F16" s="6" t="n"/>
      <c r="G16" s="6" t="n"/>
    </row>
    <row r="17">
      <c r="A17" s="7" t="inlineStr">
        <is>
          <t>Inventarios</t>
        </is>
      </c>
      <c r="B17" s="8" t="n">
        <v>34138</v>
      </c>
      <c r="C17" s="8" t="n">
        <v>35705</v>
      </c>
      <c r="D17" s="8" t="n">
        <v>27889</v>
      </c>
      <c r="E17" s="8" t="n">
        <v>29526</v>
      </c>
      <c r="F17" s="8" t="n">
        <v>33172</v>
      </c>
      <c r="G17" s="8" t="n">
        <v>41304</v>
      </c>
    </row>
    <row r="18">
      <c r="A18" s="7" t="inlineStr">
        <is>
          <t>Cuentas por cobrar, neto</t>
        </is>
      </c>
      <c r="B18" s="8" t="n">
        <v>514164</v>
      </c>
      <c r="C18" s="8" t="n">
        <v>663842</v>
      </c>
      <c r="D18" s="8" t="n">
        <v>883971</v>
      </c>
      <c r="E18" s="8" t="n">
        <v>934414</v>
      </c>
      <c r="F18" s="8" t="n">
        <v>815437</v>
      </c>
      <c r="G18" s="8" t="n">
        <v>735617</v>
      </c>
    </row>
    <row r="19">
      <c r="A19" s="7" t="inlineStr">
        <is>
          <t>Instrumentos financieros</t>
        </is>
      </c>
      <c r="B19" s="8" t="n">
        <v>84</v>
      </c>
      <c r="C19" s="8" t="n">
        <v>84</v>
      </c>
      <c r="D19" s="8" t="n">
        <v>84</v>
      </c>
      <c r="E19" s="8" t="n">
        <v>84</v>
      </c>
      <c r="F19" s="8" t="n">
        <v>2493808</v>
      </c>
      <c r="G19" s="8" t="n">
        <v>2716711</v>
      </c>
    </row>
    <row r="20">
      <c r="A20" s="7" t="inlineStr">
        <is>
          <t>Activos por impuestos</t>
        </is>
      </c>
      <c r="B20" s="8" t="n">
        <v>434</v>
      </c>
      <c r="C20" s="8" t="n">
        <v>52077</v>
      </c>
      <c r="D20" s="8" t="n">
        <v>1919</v>
      </c>
      <c r="E20" s="8" t="n">
        <v>7372</v>
      </c>
      <c r="F20" s="8" t="n">
        <v>21940</v>
      </c>
      <c r="G20" s="8" t="n">
        <v>70638</v>
      </c>
    </row>
    <row r="21">
      <c r="A21" s="7" t="inlineStr">
        <is>
          <t>Otros activos</t>
        </is>
      </c>
      <c r="B21" s="8" t="n">
        <v>11708</v>
      </c>
      <c r="C21" s="8" t="n">
        <v>28345</v>
      </c>
      <c r="D21" s="8" t="n">
        <v>57682</v>
      </c>
      <c r="E21" s="8" t="n">
        <v>26385</v>
      </c>
      <c r="F21" s="8" t="n">
        <v>38012</v>
      </c>
      <c r="G21" s="8" t="n">
        <v>143617</v>
      </c>
    </row>
    <row r="22">
      <c r="A22" s="7" t="inlineStr">
        <is>
          <t>Operaciones con derivados</t>
        </is>
      </c>
      <c r="B22" s="8" t="inlineStr">
        <is>
          <t>-</t>
        </is>
      </c>
      <c r="C22" s="8" t="n">
        <v>24079</v>
      </c>
      <c r="D22" s="8" t="n">
        <v>150851</v>
      </c>
      <c r="E22" s="8" t="n">
        <v>61809</v>
      </c>
      <c r="F22" s="8" t="n">
        <v>25205</v>
      </c>
      <c r="G22" s="8" t="n">
        <v>48341</v>
      </c>
    </row>
    <row r="23">
      <c r="A23" s="7" t="inlineStr">
        <is>
          <t>Efectivo restringido</t>
        </is>
      </c>
      <c r="B23" s="8" t="n">
        <v>261</v>
      </c>
      <c r="C23" s="8" t="n">
        <v>16901</v>
      </c>
      <c r="D23" s="8" t="n">
        <v>50</v>
      </c>
      <c r="E23" s="8" t="n">
        <v>50</v>
      </c>
      <c r="F23" s="8" t="n">
        <v>50</v>
      </c>
      <c r="G23" s="8" t="n">
        <v>8297</v>
      </c>
    </row>
    <row r="24">
      <c r="A24" s="7" t="inlineStr">
        <is>
          <t>Efectivo y equivalentes de efectivo</t>
        </is>
      </c>
      <c r="B24" s="8" t="n">
        <v>83749</v>
      </c>
      <c r="C24" s="8" t="n">
        <v>172827</v>
      </c>
      <c r="D24" s="8" t="n">
        <v>309200</v>
      </c>
      <c r="E24" s="8" t="n">
        <v>220352</v>
      </c>
      <c r="F24" s="8" t="n">
        <v>447198</v>
      </c>
      <c r="G24" s="8" t="n">
        <v>229542</v>
      </c>
    </row>
    <row r="25">
      <c r="A25" s="5" t="inlineStr">
        <is>
          <t>Total Activos Corrientes</t>
        </is>
      </c>
      <c r="B25" s="6" t="n">
        <v>644454</v>
      </c>
      <c r="C25" s="6" t="n">
        <v>993776</v>
      </c>
      <c r="D25" s="6" t="n">
        <v>1431562</v>
      </c>
      <c r="E25" s="6" t="n">
        <v>1279908</v>
      </c>
      <c r="F25" s="6" t="n">
        <v>1381014</v>
      </c>
      <c r="G25" s="6" t="n">
        <v>3923479</v>
      </c>
    </row>
    <row r="26">
      <c r="A26" s="7" t="inlineStr">
        <is>
          <t>nan</t>
        </is>
      </c>
      <c r="B26" s="8" t="n"/>
      <c r="C26" s="8" t="n"/>
      <c r="D26" s="8" t="n"/>
      <c r="E26" s="8" t="n"/>
      <c r="F26" s="8" t="n"/>
      <c r="G26" s="8" t="n"/>
    </row>
    <row r="27">
      <c r="A27" s="5" t="inlineStr">
        <is>
          <t>TOTAL ACTIVOS</t>
        </is>
      </c>
      <c r="B27" s="6" t="n">
        <v>18628651</v>
      </c>
      <c r="C27" s="6" t="n">
        <v>21121291</v>
      </c>
      <c r="D27" s="6" t="n">
        <v>23808062</v>
      </c>
      <c r="E27" s="6" t="n">
        <v>23727388</v>
      </c>
      <c r="F27" s="6" t="n">
        <v>24293249</v>
      </c>
      <c r="G27" s="6" t="n">
        <v>25865253</v>
      </c>
    </row>
    <row r="28">
      <c r="A28" s="7" t="inlineStr">
        <is>
          <t>nan</t>
        </is>
      </c>
      <c r="B28" s="8" t="n"/>
      <c r="C28" s="8" t="n"/>
      <c r="D28" s="8" t="n"/>
      <c r="E28" s="8" t="n"/>
      <c r="F28" s="8" t="n"/>
      <c r="G28" s="8" t="n"/>
    </row>
    <row r="29">
      <c r="A29" s="5" t="inlineStr">
        <is>
          <t>PATRIMONIO</t>
        </is>
      </c>
      <c r="B29" s="6" t="n"/>
      <c r="C29" s="6" t="n"/>
      <c r="D29" s="6" t="n"/>
      <c r="E29" s="6" t="n"/>
      <c r="F29" s="6" t="n"/>
      <c r="G29" s="6" t="n"/>
    </row>
    <row r="30">
      <c r="A30" s="7" t="inlineStr">
        <is>
          <t>Capital</t>
        </is>
      </c>
      <c r="B30" s="8" t="n">
        <v>141552</v>
      </c>
      <c r="C30" s="8" t="n">
        <v>141552</v>
      </c>
      <c r="D30" s="8" t="n">
        <v>141552</v>
      </c>
      <c r="E30" s="8" t="n">
        <v>141552</v>
      </c>
      <c r="F30" s="8" t="n">
        <v>141552</v>
      </c>
      <c r="G30" s="8" t="n">
        <v>141552</v>
      </c>
    </row>
    <row r="31">
      <c r="A31" s="7" t="inlineStr">
        <is>
          <t>Reservas</t>
        </is>
      </c>
      <c r="B31" s="8" t="n">
        <v>2006640</v>
      </c>
      <c r="C31" s="8" t="n">
        <v>1580616</v>
      </c>
      <c r="D31" s="8" t="n">
        <v>660660</v>
      </c>
      <c r="E31" s="8" t="n">
        <v>863781</v>
      </c>
      <c r="F31" s="8" t="n">
        <v>1140297</v>
      </c>
      <c r="G31" s="8" t="n">
        <v>1550093</v>
      </c>
    </row>
    <row r="32">
      <c r="A32" s="7" t="inlineStr">
        <is>
          <t>Superávit de capital</t>
        </is>
      </c>
      <c r="B32" s="8" t="n">
        <v>2074259</v>
      </c>
      <c r="C32" s="8" t="n">
        <v>2074259</v>
      </c>
      <c r="D32" s="8" t="n">
        <v>2074259</v>
      </c>
      <c r="E32" s="8" t="n">
        <v>2074259</v>
      </c>
      <c r="F32" s="8" t="n">
        <v>2074259</v>
      </c>
      <c r="G32" s="8" t="n">
        <v>2074259</v>
      </c>
    </row>
    <row r="33">
      <c r="A33" s="7" t="inlineStr">
        <is>
          <t>Ganancias retenidas</t>
        </is>
      </c>
      <c r="B33" s="8" t="n">
        <v>1268261</v>
      </c>
      <c r="C33" s="8" t="n">
        <v>1268261</v>
      </c>
      <c r="D33" s="8" t="n">
        <v>1268261</v>
      </c>
      <c r="E33" s="8" t="n">
        <v>1268261</v>
      </c>
      <c r="F33" s="8" t="n">
        <v>1268350</v>
      </c>
      <c r="G33" s="8" t="n">
        <v>1268350</v>
      </c>
    </row>
    <row r="34">
      <c r="A34" s="7" t="inlineStr">
        <is>
          <t>Otro resultado integral</t>
        </is>
      </c>
      <c r="B34" s="8" t="n">
        <v>-28353</v>
      </c>
      <c r="C34" s="8" t="n">
        <v>91255</v>
      </c>
      <c r="D34" s="8" t="n">
        <v>185776</v>
      </c>
      <c r="E34" s="8" t="n">
        <v>46069</v>
      </c>
      <c r="F34" s="8" t="n">
        <v>32508</v>
      </c>
      <c r="G34" s="8" t="n">
        <v>47436</v>
      </c>
    </row>
    <row r="35">
      <c r="A35" s="5" t="inlineStr">
        <is>
          <t>Resultado integral total periodo (Utilidad Neta)</t>
        </is>
      </c>
      <c r="B35" s="6" t="n">
        <v>496129</v>
      </c>
      <c r="C35" s="6" t="n">
        <v>523127</v>
      </c>
      <c r="D35" s="6" t="n">
        <v>1233838</v>
      </c>
      <c r="E35" s="6" t="n">
        <v>1035242</v>
      </c>
      <c r="F35" s="6" t="n">
        <v>904616</v>
      </c>
      <c r="G35" s="6" t="n">
        <v>606104</v>
      </c>
    </row>
    <row r="36">
      <c r="A36" s="5" t="inlineStr">
        <is>
          <t>Total Patrimonio de los Accionistas</t>
        </is>
      </c>
      <c r="B36" s="6" t="n">
        <v>5958488</v>
      </c>
      <c r="C36" s="6" t="n">
        <v>5679070</v>
      </c>
      <c r="D36" s="6" t="n">
        <v>5564346</v>
      </c>
      <c r="E36" s="6" t="n">
        <v>5429164</v>
      </c>
      <c r="F36" s="6" t="n">
        <v>5561582</v>
      </c>
      <c r="G36" s="6" t="n">
        <v>5687794</v>
      </c>
    </row>
    <row r="37">
      <c r="A37" s="7" t="inlineStr">
        <is>
          <t>nan</t>
        </is>
      </c>
      <c r="B37" s="8" t="n"/>
      <c r="C37" s="8" t="n"/>
      <c r="D37" s="8" t="n"/>
      <c r="E37" s="8" t="n"/>
      <c r="F37" s="8" t="n"/>
      <c r="G37" s="8" t="n"/>
    </row>
    <row r="38">
      <c r="A38" s="5" t="inlineStr">
        <is>
          <t>PASIVOS NO CORRIENTES</t>
        </is>
      </c>
      <c r="B38" s="6" t="n"/>
      <c r="C38" s="6" t="n"/>
      <c r="D38" s="6" t="n"/>
      <c r="E38" s="6" t="n"/>
      <c r="F38" s="6" t="n"/>
      <c r="G38" s="6" t="n"/>
    </row>
    <row r="39">
      <c r="A39" s="7" t="inlineStr">
        <is>
          <t>Operaciones de financiamiento</t>
        </is>
      </c>
      <c r="B39" s="8" t="n">
        <v>5834931</v>
      </c>
      <c r="C39" s="8" t="n">
        <v>7132894</v>
      </c>
      <c r="D39" s="8" t="n">
        <v>9781531</v>
      </c>
      <c r="E39" s="8" t="n">
        <v>9814359</v>
      </c>
      <c r="F39" s="8" t="n">
        <v>10148678</v>
      </c>
      <c r="G39" s="8" t="n">
        <v>10985428</v>
      </c>
    </row>
    <row r="40">
      <c r="A40" s="7" t="inlineStr">
        <is>
          <t>Obligaciones con vinculados</t>
        </is>
      </c>
      <c r="B40" s="8" t="n">
        <v>2767416</v>
      </c>
      <c r="C40" s="8" t="n">
        <v>3434629</v>
      </c>
      <c r="D40" s="8" t="n">
        <v>2540445</v>
      </c>
      <c r="E40" s="8" t="n">
        <v>2541954</v>
      </c>
      <c r="F40" s="8" t="n">
        <v>2542108</v>
      </c>
      <c r="G40" s="8" t="n">
        <v>2538988</v>
      </c>
    </row>
    <row r="41">
      <c r="A41" s="7" t="inlineStr">
        <is>
          <t>Operaciones con derivados</t>
        </is>
      </c>
      <c r="B41" s="8" t="n">
        <v>13150</v>
      </c>
      <c r="C41" s="8" t="inlineStr">
        <is>
          <t>-</t>
        </is>
      </c>
      <c r="D41" s="8" t="n">
        <v>18602</v>
      </c>
      <c r="E41" s="8" t="n">
        <v>3781</v>
      </c>
      <c r="F41" s="8" t="n">
        <v>11065</v>
      </c>
      <c r="G41" s="8" t="inlineStr">
        <is>
          <t>-</t>
        </is>
      </c>
    </row>
    <row r="42">
      <c r="A42" s="7" t="inlineStr">
        <is>
          <t>Impuestos, contribuciones y tasas</t>
        </is>
      </c>
      <c r="B42" s="8" t="n">
        <v>3458998</v>
      </c>
      <c r="C42" s="8" t="n">
        <v>4208665</v>
      </c>
      <c r="D42" s="8" t="n">
        <v>4423094</v>
      </c>
      <c r="E42" s="8" t="n">
        <v>4506519</v>
      </c>
      <c r="F42" s="8" t="n">
        <v>4654129</v>
      </c>
      <c r="G42" s="8" t="n">
        <v>4753643</v>
      </c>
    </row>
    <row r="43">
      <c r="A43" s="7" t="inlineStr">
        <is>
          <t>Beneficios a empleados</t>
        </is>
      </c>
      <c r="B43" s="8" t="n">
        <v>135963</v>
      </c>
      <c r="C43" s="8" t="n">
        <v>125550</v>
      </c>
      <c r="D43" s="8" t="n">
        <v>99556</v>
      </c>
      <c r="E43" s="8" t="n">
        <v>150693</v>
      </c>
      <c r="F43" s="8" t="n">
        <v>130726</v>
      </c>
      <c r="G43" s="8" t="n">
        <v>126769</v>
      </c>
    </row>
    <row r="44">
      <c r="A44" s="7" t="inlineStr">
        <is>
          <t>Provisiones</t>
        </is>
      </c>
      <c r="B44" s="8" t="n">
        <v>26673</v>
      </c>
      <c r="C44" s="8" t="n">
        <v>22005</v>
      </c>
      <c r="D44" s="8" t="n">
        <v>45138</v>
      </c>
      <c r="E44" s="8" t="n">
        <v>62904</v>
      </c>
      <c r="F44" s="8" t="n">
        <v>35280</v>
      </c>
      <c r="G44" s="8" t="n">
        <v>37130</v>
      </c>
    </row>
    <row r="45">
      <c r="A45" s="7" t="inlineStr">
        <is>
          <t>Cuentas por pagar</t>
        </is>
      </c>
      <c r="B45" s="8" t="n">
        <v>1902</v>
      </c>
      <c r="C45" s="8" t="n">
        <v>1956</v>
      </c>
      <c r="D45" s="8" t="n">
        <v>2159</v>
      </c>
      <c r="E45" s="8" t="n">
        <v>2541</v>
      </c>
      <c r="F45" s="8" t="n">
        <v>2928</v>
      </c>
      <c r="G45" s="8" t="n">
        <v>3230</v>
      </c>
    </row>
    <row r="46">
      <c r="A46" s="5" t="inlineStr">
        <is>
          <t>Total Pasivos No Corrientes</t>
        </is>
      </c>
      <c r="B46" s="6" t="n">
        <v>12239033</v>
      </c>
      <c r="C46" s="6" t="n">
        <v>14925699</v>
      </c>
      <c r="D46" s="6" t="n">
        <v>16910525</v>
      </c>
      <c r="E46" s="6" t="n">
        <v>17082751</v>
      </c>
      <c r="F46" s="6" t="n">
        <v>17524914</v>
      </c>
      <c r="G46" s="6" t="n">
        <v>18515826</v>
      </c>
    </row>
    <row r="47">
      <c r="A47" s="7" t="inlineStr">
        <is>
          <t>nan</t>
        </is>
      </c>
      <c r="B47" s="8" t="n"/>
      <c r="C47" s="8" t="n"/>
      <c r="D47" s="8" t="n"/>
      <c r="E47" s="8" t="n"/>
      <c r="F47" s="8" t="n"/>
      <c r="G47" s="8" t="n"/>
    </row>
    <row r="48">
      <c r="A48" s="5" t="inlineStr">
        <is>
          <t>PASIVOS CORRIENTES</t>
        </is>
      </c>
      <c r="B48" s="6" t="n"/>
      <c r="C48" s="6" t="n"/>
      <c r="D48" s="6" t="n"/>
      <c r="E48" s="6" t="n"/>
      <c r="F48" s="6" t="n"/>
      <c r="G48" s="6" t="n"/>
    </row>
    <row r="49">
      <c r="A49" s="7" t="inlineStr">
        <is>
          <t>Operaciones de financiamiento</t>
        </is>
      </c>
      <c r="B49" s="8" t="n">
        <v>184414</v>
      </c>
      <c r="C49" s="8" t="n">
        <v>232182</v>
      </c>
      <c r="D49" s="8" t="n">
        <v>736514</v>
      </c>
      <c r="E49" s="8" t="n">
        <v>747995</v>
      </c>
      <c r="F49" s="8" t="n">
        <v>749154</v>
      </c>
      <c r="G49" s="8" t="n">
        <v>864080</v>
      </c>
    </row>
    <row r="50">
      <c r="A50" s="7" t="inlineStr">
        <is>
          <t>Cuentas por pagar</t>
        </is>
      </c>
      <c r="B50" s="8" t="n">
        <v>129972</v>
      </c>
      <c r="C50" s="8" t="n">
        <v>169907</v>
      </c>
      <c r="D50" s="8" t="n">
        <v>233323</v>
      </c>
      <c r="E50" s="8" t="n">
        <v>250856</v>
      </c>
      <c r="F50" s="8" t="n">
        <v>270730</v>
      </c>
      <c r="G50" s="8" t="n">
        <v>494062</v>
      </c>
    </row>
    <row r="51">
      <c r="A51" s="7" t="inlineStr">
        <is>
          <t>Obligaciones con vinculados</t>
        </is>
      </c>
      <c r="B51" s="8" t="n">
        <v>1459</v>
      </c>
      <c r="C51" s="8" t="n">
        <v>1908</v>
      </c>
      <c r="D51" s="8" t="n">
        <v>6335</v>
      </c>
      <c r="E51" s="8" t="n">
        <v>9321</v>
      </c>
      <c r="F51" s="8" t="n">
        <v>3107</v>
      </c>
      <c r="G51" s="8" t="n">
        <v>1554</v>
      </c>
    </row>
    <row r="52">
      <c r="A52" s="7" t="inlineStr">
        <is>
          <t>Operaciones con derivados</t>
        </is>
      </c>
      <c r="B52" s="8" t="n">
        <v>43188</v>
      </c>
      <c r="C52" s="8" t="n">
        <v>2968</v>
      </c>
      <c r="D52" s="8" t="n">
        <v>35914</v>
      </c>
      <c r="E52" s="8" t="n">
        <v>38965</v>
      </c>
      <c r="F52" s="8" t="n">
        <v>22239</v>
      </c>
      <c r="G52" s="8" t="n">
        <v>91772</v>
      </c>
    </row>
    <row r="53">
      <c r="A53" s="7" t="inlineStr">
        <is>
          <t>Impuestos, contribuciones y tasas</t>
        </is>
      </c>
      <c r="B53" s="8" t="n">
        <v>24130</v>
      </c>
      <c r="C53" s="8" t="n">
        <v>64123</v>
      </c>
      <c r="D53" s="8" t="n">
        <v>267227</v>
      </c>
      <c r="E53" s="8" t="n">
        <v>118520</v>
      </c>
      <c r="F53" s="8" t="n">
        <v>20614</v>
      </c>
      <c r="G53" s="8" t="n">
        <v>37454</v>
      </c>
    </row>
    <row r="54">
      <c r="A54" s="7" t="inlineStr">
        <is>
          <t>Beneficios a empleados</t>
        </is>
      </c>
      <c r="B54" s="8" t="n">
        <v>27561</v>
      </c>
      <c r="C54" s="8" t="n">
        <v>29362</v>
      </c>
      <c r="D54" s="8" t="n">
        <v>26419</v>
      </c>
      <c r="E54" s="8" t="n">
        <v>33037</v>
      </c>
      <c r="F54" s="8" t="n">
        <v>33518</v>
      </c>
      <c r="G54" s="8" t="n">
        <v>44126</v>
      </c>
    </row>
    <row r="55">
      <c r="A55" s="7" t="inlineStr">
        <is>
          <t>Provisiones</t>
        </is>
      </c>
      <c r="B55" s="8" t="n">
        <v>2274</v>
      </c>
      <c r="C55" s="8" t="n">
        <v>1887</v>
      </c>
      <c r="D55" s="8" t="n">
        <v>1757</v>
      </c>
      <c r="E55" s="8" t="n">
        <v>5226</v>
      </c>
      <c r="F55" s="8" t="n">
        <v>19199</v>
      </c>
      <c r="G55" s="8" t="n">
        <v>11161</v>
      </c>
    </row>
    <row r="56">
      <c r="A56" s="7" t="inlineStr">
        <is>
          <t>Otros pasivos</t>
        </is>
      </c>
      <c r="B56" s="8" t="n">
        <v>18132</v>
      </c>
      <c r="C56" s="8" t="n">
        <v>14185</v>
      </c>
      <c r="D56" s="8" t="n">
        <v>25702</v>
      </c>
      <c r="E56" s="8" t="n">
        <v>11553</v>
      </c>
      <c r="F56" s="8" t="n">
        <v>88192</v>
      </c>
      <c r="G56" s="8" t="n">
        <v>117424</v>
      </c>
    </row>
    <row r="57">
      <c r="A57" s="5" t="inlineStr">
        <is>
          <t>Total Pasivos Corrientes</t>
        </is>
      </c>
      <c r="B57" s="6" t="n">
        <v>431130</v>
      </c>
      <c r="C57" s="6" t="n">
        <v>516522</v>
      </c>
      <c r="D57" s="6" t="n">
        <v>1333191</v>
      </c>
      <c r="E57" s="6" t="n">
        <v>1215473</v>
      </c>
      <c r="F57" s="6" t="n">
        <v>1206753</v>
      </c>
      <c r="G57" s="6" t="n">
        <v>1661633</v>
      </c>
    </row>
    <row r="58">
      <c r="A58" s="7" t="inlineStr">
        <is>
          <t>nan</t>
        </is>
      </c>
      <c r="B58" s="8" t="n"/>
      <c r="C58" s="8" t="n"/>
      <c r="D58" s="8" t="n"/>
      <c r="E58" s="8" t="n"/>
      <c r="F58" s="8" t="n"/>
      <c r="G58" s="8" t="n"/>
    </row>
    <row r="59">
      <c r="A59" s="5" t="inlineStr">
        <is>
          <t>TOTAL PASIVOS</t>
        </is>
      </c>
      <c r="B59" s="6" t="n">
        <v>12670163</v>
      </c>
      <c r="C59" s="6" t="n">
        <v>15442221</v>
      </c>
      <c r="D59" s="6" t="n">
        <v>18243716</v>
      </c>
      <c r="E59" s="6" t="n">
        <v>18298224</v>
      </c>
      <c r="F59" s="6" t="n">
        <v>18731667</v>
      </c>
      <c r="G59" s="6" t="n">
        <v>20177459</v>
      </c>
    </row>
    <row r="60">
      <c r="A60" s="5" t="inlineStr">
        <is>
          <t>TOTAL PATRIMONIO Y PASIVOS</t>
        </is>
      </c>
      <c r="B60" s="6" t="n">
        <v>18628651</v>
      </c>
      <c r="C60" s="6" t="n">
        <v>21121291</v>
      </c>
      <c r="D60" s="6" t="n">
        <v>23808062</v>
      </c>
      <c r="E60" s="6" t="n">
        <v>23727388</v>
      </c>
      <c r="F60" s="6" t="n">
        <v>24293249</v>
      </c>
      <c r="G60" s="6" t="n">
        <v>25865253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tabSelected="1" topLeftCell="A3" workbookViewId="0">
      <selection activeCell="G15" sqref="G15"/>
    </sheetView>
  </sheetViews>
  <sheetFormatPr baseColWidth="10" defaultColWidth="9.140625" defaultRowHeight="15"/>
  <cols>
    <col width="50" customWidth="1" style="85" min="1" max="1"/>
    <col width="16" customWidth="1" style="85" min="2" max="7"/>
  </cols>
  <sheetData>
    <row r="1" ht="18" customHeight="1" s="85">
      <c r="A1" s="1" t="inlineStr">
        <is>
          <t>ISAGEN S.A. E.S.P.</t>
        </is>
      </c>
    </row>
    <row r="2" ht="15.75" customHeight="1" s="85">
      <c r="A2" s="2" t="inlineStr">
        <is>
          <t>ESTADO DE RESULTADOS INTEGRAL</t>
        </is>
      </c>
    </row>
    <row r="3">
      <c r="A3" s="3" t="inlineStr">
        <is>
          <t>Valores en millones de pesos colombianos (COP)</t>
        </is>
      </c>
    </row>
    <row r="5">
      <c r="A5" s="4" t="inlineStr">
        <is>
          <t>CONCEPTO</t>
        </is>
      </c>
      <c r="B5" s="4" t="inlineStr">
        <is>
          <t>2020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  <c r="G5" s="4" t="inlineStr">
        <is>
          <t>2025 (9m)</t>
        </is>
      </c>
    </row>
    <row r="6">
      <c r="A6" s="7" t="inlineStr">
        <is>
          <t>Ingresos de contratos con clientes</t>
        </is>
      </c>
      <c r="B6" s="8" t="n">
        <v>3211250</v>
      </c>
      <c r="C6" s="8" t="n">
        <v>3481508</v>
      </c>
      <c r="D6" s="8" t="n">
        <v>4816990</v>
      </c>
      <c r="E6" s="8" t="n">
        <v>5523362</v>
      </c>
      <c r="F6" s="8" t="n">
        <v>6095701</v>
      </c>
      <c r="G6" s="8" t="n">
        <v>3847514</v>
      </c>
    </row>
    <row r="7">
      <c r="A7" s="7" t="inlineStr">
        <is>
          <t>Costo de ventas</t>
        </is>
      </c>
      <c r="B7" s="8" t="n">
        <v>-1531443</v>
      </c>
      <c r="C7" s="8" t="n">
        <v>-1345155</v>
      </c>
      <c r="D7" s="8" t="n">
        <v>-1601980</v>
      </c>
      <c r="E7" s="8" t="n">
        <v>-2427742</v>
      </c>
      <c r="F7" s="8" t="n">
        <v>-3156150</v>
      </c>
      <c r="G7" s="8" t="n">
        <v>-1505886</v>
      </c>
    </row>
    <row r="8">
      <c r="A8" s="5" t="inlineStr">
        <is>
          <t>Utilidad Bruta</t>
        </is>
      </c>
      <c r="B8" s="6">
        <f>SUM(B6:B7)</f>
        <v/>
      </c>
      <c r="C8" s="6">
        <f>SUM(C6:C7)</f>
        <v/>
      </c>
      <c r="D8" s="6">
        <f>SUM(D6:D7)</f>
        <v/>
      </c>
      <c r="E8" s="6">
        <f>SUM(E6:E7)</f>
        <v/>
      </c>
      <c r="F8" s="6">
        <f>SUM(F6:F7)</f>
        <v/>
      </c>
      <c r="G8" s="6">
        <f>SUM(G6:G7)</f>
        <v/>
      </c>
    </row>
    <row r="9">
      <c r="A9" s="7" t="inlineStr">
        <is>
          <t>Otros ingresos</t>
        </is>
      </c>
      <c r="B9" s="8" t="n">
        <v>36002</v>
      </c>
      <c r="C9" s="8" t="n">
        <v>5951</v>
      </c>
      <c r="D9" s="8" t="n">
        <v>5082</v>
      </c>
      <c r="E9" s="8" t="n">
        <v>9704</v>
      </c>
      <c r="F9" s="8" t="n">
        <v>37485</v>
      </c>
      <c r="G9" s="8" t="n">
        <v>6665</v>
      </c>
    </row>
    <row r="10">
      <c r="A10" s="7" t="inlineStr">
        <is>
          <t>Gastos de administración</t>
        </is>
      </c>
      <c r="B10" s="8" t="n">
        <v>-132538</v>
      </c>
      <c r="C10" s="8" t="n">
        <v>-124062</v>
      </c>
      <c r="D10" s="8" t="n">
        <v>-155931</v>
      </c>
      <c r="E10" s="8" t="n">
        <v>-161731</v>
      </c>
      <c r="F10" s="8" t="n">
        <v>-184607</v>
      </c>
      <c r="G10" s="8" t="n">
        <v>-130464</v>
      </c>
    </row>
    <row r="11">
      <c r="A11" s="7" t="inlineStr">
        <is>
          <t>Otros gastos</t>
        </is>
      </c>
      <c r="B11" s="8" t="n">
        <v>-13003</v>
      </c>
      <c r="C11" s="8" t="n">
        <v>-8191</v>
      </c>
      <c r="D11" s="8" t="n">
        <v>-94550</v>
      </c>
      <c r="E11" s="8" t="n">
        <v>-37608</v>
      </c>
      <c r="F11" s="8" t="n">
        <v>-53946</v>
      </c>
      <c r="G11" s="8" t="n">
        <v>-38386</v>
      </c>
    </row>
    <row r="12">
      <c r="A12" s="7" t="inlineStr">
        <is>
          <t>Ingresos financieros</t>
        </is>
      </c>
      <c r="B12" s="8" t="n">
        <v>22992</v>
      </c>
      <c r="C12" s="8" t="n">
        <v>8278</v>
      </c>
      <c r="D12" s="8" t="n">
        <v>198968</v>
      </c>
      <c r="E12" s="8" t="n">
        <v>414971</v>
      </c>
      <c r="F12" s="8" t="n">
        <v>416117</v>
      </c>
      <c r="G12" s="8" t="n">
        <v>226003</v>
      </c>
    </row>
    <row r="13">
      <c r="A13" s="7" t="inlineStr">
        <is>
          <t>Gastos financieros</t>
        </is>
      </c>
      <c r="B13" s="8" t="n">
        <v>-821768</v>
      </c>
      <c r="C13" s="8" t="n">
        <v>-731988</v>
      </c>
      <c r="D13" s="8" t="n">
        <v>-1317580</v>
      </c>
      <c r="E13" s="8" t="n">
        <v>-1821155</v>
      </c>
      <c r="F13" s="8" t="n">
        <v>-1870991</v>
      </c>
      <c r="G13" s="8" t="n">
        <v>-1360062</v>
      </c>
    </row>
    <row r="14">
      <c r="A14" s="7" t="inlineStr">
        <is>
          <t>Diferencia en cambio, neta</t>
        </is>
      </c>
      <c r="B14" s="8" t="n">
        <v>-34923</v>
      </c>
      <c r="C14" s="8" t="n">
        <v>7</v>
      </c>
      <c r="D14" s="8" t="n">
        <v>-27239</v>
      </c>
      <c r="E14" s="8" t="n">
        <v>61822</v>
      </c>
      <c r="F14" s="8" t="n">
        <v>-19632</v>
      </c>
      <c r="G14" s="8" t="n">
        <v>-250894</v>
      </c>
    </row>
    <row r="15">
      <c r="A15" s="5" t="inlineStr">
        <is>
          <t>Utilidad Antes de Impuestos</t>
        </is>
      </c>
      <c r="B15" s="6" t="n">
        <v>736569</v>
      </c>
      <c r="C15" s="6" t="n">
        <v>1286348</v>
      </c>
      <c r="D15" s="6" t="n">
        <v>1823760</v>
      </c>
      <c r="E15" s="6" t="n">
        <v>1561623</v>
      </c>
      <c r="F15" s="6" t="n">
        <v>1263977</v>
      </c>
      <c r="G15" s="6" t="n">
        <v>794490</v>
      </c>
    </row>
    <row r="16">
      <c r="A16" s="5" t="inlineStr">
        <is>
          <t>EBIT</t>
        </is>
      </c>
      <c r="B16" s="6">
        <f>B15-B13-B12</f>
        <v/>
      </c>
      <c r="C16" s="6">
        <f>C15-C13-C12</f>
        <v/>
      </c>
      <c r="D16" s="6">
        <f>D15-D13-D12</f>
        <v/>
      </c>
      <c r="E16" s="6">
        <f>E15-E13-E12</f>
        <v/>
      </c>
      <c r="F16" s="6">
        <f>F15-F13-F12</f>
        <v/>
      </c>
      <c r="G16" s="6">
        <f>G15-G13-G12</f>
        <v/>
      </c>
    </row>
    <row r="17">
      <c r="A17" s="7" t="inlineStr">
        <is>
          <t>Depreciación</t>
        </is>
      </c>
      <c r="B17" s="8" t="n">
        <v>229772</v>
      </c>
      <c r="C17" s="8" t="n">
        <v>233257</v>
      </c>
      <c r="D17" s="8" t="n">
        <v>259748</v>
      </c>
      <c r="E17" s="8" t="n">
        <v>279121</v>
      </c>
      <c r="F17" s="8" t="n">
        <v>304317</v>
      </c>
      <c r="G17" s="8" t="n">
        <v>235541</v>
      </c>
    </row>
    <row r="18">
      <c r="A18" s="7" t="inlineStr">
        <is>
          <t>Amortización</t>
        </is>
      </c>
      <c r="B18" s="8" t="n">
        <v>1864</v>
      </c>
      <c r="C18" s="8" t="n">
        <v>3444</v>
      </c>
      <c r="D18" s="8" t="n">
        <v>2712</v>
      </c>
      <c r="E18" s="8" t="n">
        <v>2728</v>
      </c>
      <c r="F18" s="8" t="n">
        <v>5711</v>
      </c>
      <c r="G18" s="8" t="n">
        <v>3472</v>
      </c>
    </row>
    <row r="19">
      <c r="A19" s="5" t="inlineStr">
        <is>
          <t>EBITDA</t>
        </is>
      </c>
      <c r="B19" s="6">
        <f>B16+B17+B18</f>
        <v/>
      </c>
      <c r="C19" s="6">
        <f>C16+C17+C18</f>
        <v/>
      </c>
      <c r="D19" s="6">
        <f>D16+D17+D18</f>
        <v/>
      </c>
      <c r="E19" s="6">
        <f>E16+E17+E18</f>
        <v/>
      </c>
      <c r="F19" s="6">
        <f>F16+F17+F18</f>
        <v/>
      </c>
      <c r="G19" s="6">
        <f>G16+G17+G18</f>
        <v/>
      </c>
    </row>
    <row r="20">
      <c r="A20" s="7" t="inlineStr">
        <is>
          <t>Impuesto de renta - Corriente</t>
        </is>
      </c>
      <c r="B20" s="8" t="n">
        <v>-165680</v>
      </c>
      <c r="C20" s="8" t="n">
        <v>-70862</v>
      </c>
      <c r="D20" s="8" t="n">
        <v>-467248</v>
      </c>
      <c r="E20" s="8" t="n">
        <v>-326019</v>
      </c>
      <c r="F20" s="8" t="n">
        <v>-234854</v>
      </c>
      <c r="G20" s="8" t="n">
        <v>-91087</v>
      </c>
    </row>
    <row r="21">
      <c r="A21" s="7" t="inlineStr">
        <is>
          <t>Impuesto de renta - Diferido</t>
        </is>
      </c>
      <c r="B21" s="8" t="n">
        <v>-74760</v>
      </c>
      <c r="C21" s="8" t="n">
        <v>-692359</v>
      </c>
      <c r="D21" s="8" t="n">
        <v>-167874</v>
      </c>
      <c r="E21" s="8" t="n">
        <v>-151518</v>
      </c>
      <c r="F21" s="8" t="n">
        <v>-154288</v>
      </c>
      <c r="G21" s="8" t="n">
        <v>-92160</v>
      </c>
    </row>
    <row r="22">
      <c r="A22" s="5" t="inlineStr">
        <is>
          <t>Utilidad Neta del Periodo</t>
        </is>
      </c>
      <c r="B22" s="6" t="n">
        <v>496129</v>
      </c>
      <c r="C22" s="6" t="n">
        <v>523127</v>
      </c>
      <c r="D22" s="6" t="n">
        <v>1233838</v>
      </c>
      <c r="E22" s="6" t="n">
        <v>1035242</v>
      </c>
      <c r="F22" s="6" t="n">
        <v>904616</v>
      </c>
      <c r="G22" s="6" t="n">
        <v>606104</v>
      </c>
    </row>
    <row r="23">
      <c r="A23" s="7" t="n"/>
      <c r="B23" s="8" t="n"/>
      <c r="C23" s="8" t="n"/>
      <c r="D23" s="8" t="n"/>
      <c r="E23" s="8" t="n"/>
      <c r="F23" s="8" t="n"/>
      <c r="G23" s="8" t="n"/>
    </row>
    <row r="24">
      <c r="A24" s="7" t="n"/>
      <c r="B24" s="8" t="n"/>
      <c r="C24" s="8" t="n"/>
      <c r="D24" s="8" t="n"/>
      <c r="E24" s="8" t="n"/>
      <c r="F24" s="8" t="n"/>
      <c r="G24" s="8" t="n"/>
    </row>
    <row r="25">
      <c r="A25" s="5" t="inlineStr">
        <is>
          <t>OTRO RESULTADO INTEGRAL (ORI)</t>
        </is>
      </c>
      <c r="B25" s="6" t="n"/>
      <c r="C25" s="6" t="n"/>
      <c r="D25" s="6" t="n"/>
      <c r="E25" s="6" t="n"/>
      <c r="F25" s="6" t="n"/>
      <c r="G25" s="6" t="n"/>
    </row>
    <row r="26">
      <c r="A26" s="7" t="inlineStr">
        <is>
          <t>Ganancias actuariales (Beneficios definidos)</t>
        </is>
      </c>
      <c r="B26" s="8" t="n">
        <v>1015</v>
      </c>
      <c r="C26" s="8" t="n">
        <v>10906</v>
      </c>
      <c r="D26" s="8" t="n">
        <v>17374</v>
      </c>
      <c r="E26" s="8" t="n">
        <v>-27643</v>
      </c>
      <c r="F26" s="8" t="n">
        <v>10416</v>
      </c>
      <c r="G26" s="8" t="n"/>
    </row>
    <row r="27">
      <c r="A27" s="7" t="inlineStr">
        <is>
          <t>Coberturas flujo de efectivo</t>
        </is>
      </c>
      <c r="B27" s="8" t="n">
        <v>-29050</v>
      </c>
      <c r="C27" s="8" t="n">
        <v>108702</v>
      </c>
      <c r="D27" s="8" t="n">
        <v>73128</v>
      </c>
      <c r="E27" s="8" t="n">
        <v>-112064</v>
      </c>
      <c r="F27" s="8" t="n">
        <v>-23977</v>
      </c>
      <c r="G27" s="8" t="n"/>
    </row>
    <row r="28">
      <c r="A28" s="5" t="inlineStr">
        <is>
          <t>Total Otro Resultado Integral, neto</t>
        </is>
      </c>
      <c r="B28" s="6" t="n">
        <v>-28035</v>
      </c>
      <c r="C28" s="6" t="n">
        <v>119608</v>
      </c>
      <c r="D28" s="6" t="n">
        <v>94521</v>
      </c>
      <c r="E28" s="6" t="n">
        <v>-139707</v>
      </c>
      <c r="F28" s="6" t="n">
        <v>-13561</v>
      </c>
      <c r="G28" s="6" t="n">
        <v>14928</v>
      </c>
    </row>
    <row r="29">
      <c r="A29" s="5" t="inlineStr">
        <is>
          <t>RESULTADO INTEGRAL TOTAL</t>
        </is>
      </c>
      <c r="B29" s="6" t="n">
        <v>468094</v>
      </c>
      <c r="C29" s="6" t="n">
        <v>642735</v>
      </c>
      <c r="D29" s="6" t="n">
        <v>1328359</v>
      </c>
      <c r="E29" s="6" t="n">
        <v>895535</v>
      </c>
      <c r="F29" s="6" t="n">
        <v>891055</v>
      </c>
      <c r="G29" s="6" t="n">
        <v>621032</v>
      </c>
    </row>
    <row r="30">
      <c r="A30" s="7" t="inlineStr">
        <is>
          <t>nan</t>
        </is>
      </c>
      <c r="B30" s="8" t="n"/>
      <c r="C30" s="8" t="n"/>
      <c r="D30" s="8" t="n"/>
      <c r="E30" s="8" t="n"/>
      <c r="F30" s="8" t="n"/>
      <c r="G30" s="8" t="n"/>
    </row>
    <row r="31">
      <c r="A31" s="5" t="inlineStr">
        <is>
          <t>Utilidad básica y diluida por acción ($)</t>
        </is>
      </c>
      <c r="B31" s="6" t="n">
        <v>405</v>
      </c>
      <c r="C31" s="6" t="n">
        <v>427</v>
      </c>
      <c r="D31" s="6" t="n">
        <v>1008</v>
      </c>
      <c r="E31" s="6" t="n">
        <v>846</v>
      </c>
      <c r="F31" s="6" t="n">
        <v>739</v>
      </c>
      <c r="G31" s="6" t="n">
        <v>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topLeftCell="A40" workbookViewId="0">
      <selection activeCell="B56" sqref="B56"/>
    </sheetView>
  </sheetViews>
  <sheetFormatPr baseColWidth="10" defaultColWidth="9.140625" defaultRowHeight="15"/>
  <cols>
    <col width="50" customWidth="1" style="85" min="1" max="1"/>
    <col width="14" customWidth="1" style="85" min="2" max="7"/>
  </cols>
  <sheetData>
    <row r="1" ht="18" customHeight="1" s="85">
      <c r="A1" s="1" t="inlineStr">
        <is>
          <t>ISAGEN S.A. E.S.P.</t>
        </is>
      </c>
    </row>
    <row r="2" ht="15.75" customHeight="1" s="85">
      <c r="A2" s="2" t="inlineStr">
        <is>
          <t>ANÁLISIS VERTICAL - BALANCE GENERAL</t>
        </is>
      </c>
    </row>
    <row r="3">
      <c r="A3" s="3" t="inlineStr">
        <is>
          <t>Composición porcentual respecto al Total de Activos (%)</t>
        </is>
      </c>
    </row>
    <row r="5">
      <c r="A5" s="9" t="inlineStr">
        <is>
          <t>CONCEPTO</t>
        </is>
      </c>
      <c r="B5" s="9" t="inlineStr">
        <is>
          <t>2020</t>
        </is>
      </c>
      <c r="C5" s="9" t="inlineStr">
        <is>
          <t>2021</t>
        </is>
      </c>
      <c r="D5" s="9" t="inlineStr">
        <is>
          <t>2022</t>
        </is>
      </c>
      <c r="E5" s="9" t="inlineStr">
        <is>
          <t>2023</t>
        </is>
      </c>
      <c r="F5" s="9" t="inlineStr">
        <is>
          <t>2024</t>
        </is>
      </c>
      <c r="G5" s="9" t="inlineStr">
        <is>
          <t>2025 (Sep)</t>
        </is>
      </c>
    </row>
    <row r="6">
      <c r="A6" s="5" t="inlineStr">
        <is>
          <t>ACTIVOS NO CORRIENTES</t>
        </is>
      </c>
      <c r="B6" s="10">
        <f>('1. Balance General'!B6/'1. Balance General'!B27)*100</f>
        <v/>
      </c>
      <c r="C6" s="10">
        <f>('1. Balance General'!C6/'1. Balance General'!C27)*100</f>
        <v/>
      </c>
      <c r="D6" s="10">
        <f>('1. Balance General'!D6/'1. Balance General'!D27)*100</f>
        <v/>
      </c>
      <c r="E6" s="10">
        <f>('1. Balance General'!E6/'1. Balance General'!E27)*100</f>
        <v/>
      </c>
      <c r="F6" s="10">
        <f>('1. Balance General'!F6/'1. Balance General'!F27)*100</f>
        <v/>
      </c>
      <c r="G6" s="10">
        <f>('1. Balance General'!G6/'1. Balance General'!G27)*100</f>
        <v/>
      </c>
    </row>
    <row r="7">
      <c r="A7" s="7" t="inlineStr">
        <is>
          <t>Propiedades, planta y equipo, neto</t>
        </is>
      </c>
      <c r="B7" s="11">
        <f>('1. Balance General'!B7/'1. Balance General'!B27)*100</f>
        <v/>
      </c>
      <c r="C7" s="11">
        <f>('1. Balance General'!C7/'1. Balance General'!C27)*100</f>
        <v/>
      </c>
      <c r="D7" s="11">
        <f>('1. Balance General'!D7/'1. Balance General'!D27)*100</f>
        <v/>
      </c>
      <c r="E7" s="11">
        <f>('1. Balance General'!E7/'1. Balance General'!E27)*100</f>
        <v/>
      </c>
      <c r="F7" s="11">
        <f>('1. Balance General'!F7/'1. Balance General'!F27)*100</f>
        <v/>
      </c>
      <c r="G7" s="11">
        <f>('1. Balance General'!G7/'1. Balance General'!G27)*100</f>
        <v/>
      </c>
    </row>
    <row r="8">
      <c r="A8" s="7" t="inlineStr">
        <is>
          <t>Activos intangibles, neto</t>
        </is>
      </c>
      <c r="B8" s="11">
        <f>('1. Balance General'!B8/'1. Balance General'!B27)*100</f>
        <v/>
      </c>
      <c r="C8" s="11">
        <f>('1. Balance General'!C8/'1. Balance General'!C27)*100</f>
        <v/>
      </c>
      <c r="D8" s="11">
        <f>('1. Balance General'!D8/'1. Balance General'!D27)*100</f>
        <v/>
      </c>
      <c r="E8" s="11">
        <f>('1. Balance General'!E8/'1. Balance General'!E27)*100</f>
        <v/>
      </c>
      <c r="F8" s="11">
        <f>('1. Balance General'!F8/'1. Balance General'!F27)*100</f>
        <v/>
      </c>
      <c r="G8" s="11">
        <f>('1. Balance General'!G8/'1. Balance General'!G27)*100</f>
        <v/>
      </c>
    </row>
    <row r="9">
      <c r="A9" s="7" t="inlineStr">
        <is>
          <t>Cuentas por cobrar, neto</t>
        </is>
      </c>
      <c r="B9" s="11">
        <f>('1. Balance General'!B9/'1. Balance General'!B27)*100</f>
        <v/>
      </c>
      <c r="C9" s="11">
        <f>('1. Balance General'!C9/'1. Balance General'!C27)*100</f>
        <v/>
      </c>
      <c r="D9" s="11">
        <f>('1. Balance General'!D9/'1. Balance General'!D27)*100</f>
        <v/>
      </c>
      <c r="E9" s="11">
        <f>('1. Balance General'!E9/'1. Balance General'!E27)*100</f>
        <v/>
      </c>
      <c r="F9" s="11">
        <f>('1. Balance General'!F9/'1. Balance General'!F27)*100</f>
        <v/>
      </c>
      <c r="G9" s="11">
        <f>('1. Balance General'!G9/'1. Balance General'!G27)*100</f>
        <v/>
      </c>
    </row>
    <row r="10">
      <c r="A10" s="7" t="inlineStr">
        <is>
          <t>Instrumentos financieros</t>
        </is>
      </c>
      <c r="B10" s="11">
        <f>('1. Balance General'!B10/'1. Balance General'!B27)*100</f>
        <v/>
      </c>
      <c r="C10" s="11">
        <f>('1. Balance General'!C10/'1. Balance General'!C27)*100</f>
        <v/>
      </c>
      <c r="D10" s="11">
        <f>('1. Balance General'!D10/'1. Balance General'!D27)*100</f>
        <v/>
      </c>
      <c r="E10" s="11">
        <f>('1. Balance General'!E10/'1. Balance General'!E27)*100</f>
        <v/>
      </c>
      <c r="F10" s="11">
        <f>('1. Balance General'!F10/'1. Balance General'!F27)*100</f>
        <v/>
      </c>
      <c r="G10" s="11">
        <f>('1. Balance General'!G10/'1. Balance General'!G27)*100</f>
        <v/>
      </c>
    </row>
    <row r="11">
      <c r="A11" s="7" t="inlineStr">
        <is>
          <t>Operaciones con derivados</t>
        </is>
      </c>
      <c r="B11" s="11">
        <f>('1. Balance General'!B11/'1. Balance General'!B27)*100</f>
        <v/>
      </c>
      <c r="C11" s="11">
        <f>('1. Balance General'!C11/'1. Balance General'!C27)*100</f>
        <v/>
      </c>
      <c r="D11" s="11">
        <f>('1. Balance General'!D11/'1. Balance General'!D27)*100</f>
        <v/>
      </c>
      <c r="E11" s="11">
        <f>('1. Balance General'!E11/'1. Balance General'!E27)*100</f>
        <v/>
      </c>
      <c r="F11" s="11">
        <f>('1. Balance General'!F11/'1. Balance General'!F27)*100</f>
        <v/>
      </c>
      <c r="G11" s="11">
        <f>('1. Balance General'!G11/'1. Balance General'!G27)*100</f>
        <v/>
      </c>
    </row>
    <row r="12">
      <c r="A12" s="7" t="inlineStr">
        <is>
          <t>Efectivo restringido</t>
        </is>
      </c>
      <c r="B12" s="11">
        <f>('1. Balance General'!B12/'1. Balance General'!B27)*100</f>
        <v/>
      </c>
      <c r="C12" s="11">
        <f>('1. Balance General'!C12/'1. Balance General'!C27)*100</f>
        <v/>
      </c>
      <c r="D12" s="11">
        <f>('1. Balance General'!D12/'1. Balance General'!D27)*100</f>
        <v/>
      </c>
      <c r="E12" s="11">
        <f>('1. Balance General'!E12/'1. Balance General'!E27)*100</f>
        <v/>
      </c>
      <c r="F12" s="11">
        <f>('1. Balance General'!F12/'1. Balance General'!F27)*100</f>
        <v/>
      </c>
      <c r="G12" s="11">
        <f>('1. Balance General'!G12/'1. Balance General'!G27)*100</f>
        <v/>
      </c>
    </row>
    <row r="13">
      <c r="A13" s="7" t="inlineStr">
        <is>
          <t>Otros activos</t>
        </is>
      </c>
      <c r="B13" s="11">
        <f>('1. Balance General'!B13/'1. Balance General'!B27)*100</f>
        <v/>
      </c>
      <c r="C13" s="11">
        <f>('1. Balance General'!C13/'1. Balance General'!C27)*100</f>
        <v/>
      </c>
      <c r="D13" s="11">
        <f>('1. Balance General'!D13/'1. Balance General'!D27)*100</f>
        <v/>
      </c>
      <c r="E13" s="11">
        <f>('1. Balance General'!E13/'1. Balance General'!E27)*100</f>
        <v/>
      </c>
      <c r="F13" s="11">
        <f>('1. Balance General'!F13/'1. Balance General'!F27)*100</f>
        <v/>
      </c>
      <c r="G13" s="11">
        <f>('1. Balance General'!G13/'1. Balance General'!G27)*100</f>
        <v/>
      </c>
    </row>
    <row r="14">
      <c r="A14" s="5" t="inlineStr">
        <is>
          <t>Total Activos No Corrientes</t>
        </is>
      </c>
      <c r="B14" s="10">
        <f>('1. Balance General'!B14/'1. Balance General'!B27)*100</f>
        <v/>
      </c>
      <c r="C14" s="10">
        <f>('1. Balance General'!C14/'1. Balance General'!C27)*100</f>
        <v/>
      </c>
      <c r="D14" s="10">
        <f>('1. Balance General'!D14/'1. Balance General'!D27)*100</f>
        <v/>
      </c>
      <c r="E14" s="10">
        <f>('1. Balance General'!E14/'1. Balance General'!E27)*100</f>
        <v/>
      </c>
      <c r="F14" s="10">
        <f>('1. Balance General'!F14/'1. Balance General'!F27)*100</f>
        <v/>
      </c>
      <c r="G14" s="10">
        <f>('1. Balance General'!G14/'1. Balance General'!G27)*100</f>
        <v/>
      </c>
    </row>
    <row r="15">
      <c r="A15" s="7" t="n"/>
      <c r="B15" s="11" t="n"/>
      <c r="C15" s="11" t="n"/>
      <c r="D15" s="11" t="n"/>
      <c r="E15" s="11" t="n"/>
      <c r="F15" s="11" t="n"/>
      <c r="G15" s="11" t="n"/>
    </row>
    <row r="16">
      <c r="A16" s="5" t="inlineStr">
        <is>
          <t>ACTIVOS CORRIENTES</t>
        </is>
      </c>
      <c r="B16" s="10">
        <f>('1. Balance General'!B16/'1. Balance General'!B27)*100</f>
        <v/>
      </c>
      <c r="C16" s="10">
        <f>('1. Balance General'!C16/'1. Balance General'!C27)*100</f>
        <v/>
      </c>
      <c r="D16" s="10">
        <f>('1. Balance General'!D16/'1. Balance General'!D27)*100</f>
        <v/>
      </c>
      <c r="E16" s="10">
        <f>('1. Balance General'!E16/'1. Balance General'!E27)*100</f>
        <v/>
      </c>
      <c r="F16" s="10">
        <f>('1. Balance General'!F16/'1. Balance General'!F27)*100</f>
        <v/>
      </c>
      <c r="G16" s="10">
        <f>('1. Balance General'!G16/'1. Balance General'!G27)*100</f>
        <v/>
      </c>
    </row>
    <row r="17">
      <c r="A17" s="7" t="inlineStr">
        <is>
          <t>Inventarios</t>
        </is>
      </c>
      <c r="B17" s="11">
        <f>('1. Balance General'!B17/'1. Balance General'!B27)*100</f>
        <v/>
      </c>
      <c r="C17" s="11">
        <f>('1. Balance General'!C17/'1. Balance General'!C27)*100</f>
        <v/>
      </c>
      <c r="D17" s="11">
        <f>('1. Balance General'!D17/'1. Balance General'!D27)*100</f>
        <v/>
      </c>
      <c r="E17" s="11">
        <f>('1. Balance General'!E17/'1. Balance General'!E27)*100</f>
        <v/>
      </c>
      <c r="F17" s="11">
        <f>('1. Balance General'!F17/'1. Balance General'!F27)*100</f>
        <v/>
      </c>
      <c r="G17" s="11">
        <f>('1. Balance General'!G17/'1. Balance General'!G27)*100</f>
        <v/>
      </c>
    </row>
    <row r="18">
      <c r="A18" s="7" t="inlineStr">
        <is>
          <t>Cuentas por cobrar, neto</t>
        </is>
      </c>
      <c r="B18" s="11">
        <f>('1. Balance General'!B18/'1. Balance General'!B27)*100</f>
        <v/>
      </c>
      <c r="C18" s="11">
        <f>('1. Balance General'!C18/'1. Balance General'!C27)*100</f>
        <v/>
      </c>
      <c r="D18" s="11">
        <f>('1. Balance General'!D18/'1. Balance General'!D27)*100</f>
        <v/>
      </c>
      <c r="E18" s="11">
        <f>('1. Balance General'!E18/'1. Balance General'!E27)*100</f>
        <v/>
      </c>
      <c r="F18" s="11">
        <f>('1. Balance General'!F18/'1. Balance General'!F27)*100</f>
        <v/>
      </c>
      <c r="G18" s="11">
        <f>('1. Balance General'!G18/'1. Balance General'!G27)*100</f>
        <v/>
      </c>
    </row>
    <row r="19">
      <c r="A19" s="7" t="inlineStr">
        <is>
          <t>Instrumentos financieros</t>
        </is>
      </c>
      <c r="B19" s="11">
        <f>('1. Balance General'!B19/'1. Balance General'!B27)*100</f>
        <v/>
      </c>
      <c r="C19" s="11">
        <f>('1. Balance General'!C19/'1. Balance General'!C27)*100</f>
        <v/>
      </c>
      <c r="D19" s="11">
        <f>('1. Balance General'!D19/'1. Balance General'!D27)*100</f>
        <v/>
      </c>
      <c r="E19" s="11">
        <f>('1. Balance General'!E19/'1. Balance General'!E27)*100</f>
        <v/>
      </c>
      <c r="F19" s="11">
        <f>('1. Balance General'!F19/'1. Balance General'!F27)*100</f>
        <v/>
      </c>
      <c r="G19" s="11">
        <f>('1. Balance General'!G19/'1. Balance General'!G27)*100</f>
        <v/>
      </c>
    </row>
    <row r="20">
      <c r="A20" s="7" t="inlineStr">
        <is>
          <t>Activos por impuestos</t>
        </is>
      </c>
      <c r="B20" s="11">
        <f>('1. Balance General'!B20/'1. Balance General'!B27)*100</f>
        <v/>
      </c>
      <c r="C20" s="11">
        <f>('1. Balance General'!C20/'1. Balance General'!C27)*100</f>
        <v/>
      </c>
      <c r="D20" s="11">
        <f>('1. Balance General'!D20/'1. Balance General'!D27)*100</f>
        <v/>
      </c>
      <c r="E20" s="11">
        <f>('1. Balance General'!E20/'1. Balance General'!E27)*100</f>
        <v/>
      </c>
      <c r="F20" s="11">
        <f>('1. Balance General'!F20/'1. Balance General'!F27)*100</f>
        <v/>
      </c>
      <c r="G20" s="11">
        <f>('1. Balance General'!G20/'1. Balance General'!G27)*100</f>
        <v/>
      </c>
    </row>
    <row r="21">
      <c r="A21" s="7" t="inlineStr">
        <is>
          <t>Otros activos</t>
        </is>
      </c>
      <c r="B21" s="11">
        <f>('1. Balance General'!B21/'1. Balance General'!B27)*100</f>
        <v/>
      </c>
      <c r="C21" s="11">
        <f>('1. Balance General'!C21/'1. Balance General'!C27)*100</f>
        <v/>
      </c>
      <c r="D21" s="11">
        <f>('1. Balance General'!D21/'1. Balance General'!D27)*100</f>
        <v/>
      </c>
      <c r="E21" s="11">
        <f>('1. Balance General'!E21/'1. Balance General'!E27)*100</f>
        <v/>
      </c>
      <c r="F21" s="11">
        <f>('1. Balance General'!F21/'1. Balance General'!F27)*100</f>
        <v/>
      </c>
      <c r="G21" s="11">
        <f>('1. Balance General'!G21/'1. Balance General'!G27)*100</f>
        <v/>
      </c>
    </row>
    <row r="22">
      <c r="A22" s="7" t="inlineStr">
        <is>
          <t>Operaciones con derivados</t>
        </is>
      </c>
      <c r="B22" s="11">
        <f>('1. Balance General'!B22/'1. Balance General'!B27)*100</f>
        <v/>
      </c>
      <c r="C22" s="11">
        <f>('1. Balance General'!C22/'1. Balance General'!C27)*100</f>
        <v/>
      </c>
      <c r="D22" s="11">
        <f>('1. Balance General'!D22/'1. Balance General'!D27)*100</f>
        <v/>
      </c>
      <c r="E22" s="11">
        <f>('1. Balance General'!E22/'1. Balance General'!E27)*100</f>
        <v/>
      </c>
      <c r="F22" s="11">
        <f>('1. Balance General'!F22/'1. Balance General'!F27)*100</f>
        <v/>
      </c>
      <c r="G22" s="11">
        <f>('1. Balance General'!G22/'1. Balance General'!G27)*100</f>
        <v/>
      </c>
    </row>
    <row r="23">
      <c r="A23" s="7" t="inlineStr">
        <is>
          <t>Efectivo restringido</t>
        </is>
      </c>
      <c r="B23" s="11">
        <f>('1. Balance General'!B23/'1. Balance General'!B27)*100</f>
        <v/>
      </c>
      <c r="C23" s="11">
        <f>('1. Balance General'!C23/'1. Balance General'!C27)*100</f>
        <v/>
      </c>
      <c r="D23" s="11">
        <f>('1. Balance General'!D23/'1. Balance General'!D27)*100</f>
        <v/>
      </c>
      <c r="E23" s="11">
        <f>('1. Balance General'!E23/'1. Balance General'!E27)*100</f>
        <v/>
      </c>
      <c r="F23" s="11">
        <f>('1. Balance General'!F23/'1. Balance General'!F27)*100</f>
        <v/>
      </c>
      <c r="G23" s="11">
        <f>('1. Balance General'!G23/'1. Balance General'!G27)*100</f>
        <v/>
      </c>
    </row>
    <row r="24">
      <c r="A24" s="7" t="inlineStr">
        <is>
          <t>Efectivo y equivalentes de efectivo</t>
        </is>
      </c>
      <c r="B24" s="11">
        <f>('1. Balance General'!B24/'1. Balance General'!B27)*100</f>
        <v/>
      </c>
      <c r="C24" s="11">
        <f>('1. Balance General'!C24/'1. Balance General'!C27)*100</f>
        <v/>
      </c>
      <c r="D24" s="11">
        <f>('1. Balance General'!D24/'1. Balance General'!D27)*100</f>
        <v/>
      </c>
      <c r="E24" s="11">
        <f>('1. Balance General'!E24/'1. Balance General'!E27)*100</f>
        <v/>
      </c>
      <c r="F24" s="11">
        <f>('1. Balance General'!F24/'1. Balance General'!F27)*100</f>
        <v/>
      </c>
      <c r="G24" s="11">
        <f>('1. Balance General'!G24/'1. Balance General'!G27)*100</f>
        <v/>
      </c>
    </row>
    <row r="25">
      <c r="A25" s="5" t="inlineStr">
        <is>
          <t>Total Activos Corrientes</t>
        </is>
      </c>
      <c r="B25" s="10">
        <f>('1. Balance General'!B25/'1. Balance General'!B27)*100</f>
        <v/>
      </c>
      <c r="C25" s="10">
        <f>('1. Balance General'!C25/'1. Balance General'!C27)*100</f>
        <v/>
      </c>
      <c r="D25" s="10">
        <f>('1. Balance General'!D25/'1. Balance General'!D27)*100</f>
        <v/>
      </c>
      <c r="E25" s="10">
        <f>('1. Balance General'!E25/'1. Balance General'!E27)*100</f>
        <v/>
      </c>
      <c r="F25" s="10">
        <f>('1. Balance General'!F25/'1. Balance General'!F27)*100</f>
        <v/>
      </c>
      <c r="G25" s="10">
        <f>('1. Balance General'!G25/'1. Balance General'!G27)*100</f>
        <v/>
      </c>
    </row>
    <row r="26">
      <c r="A26" s="7" t="n"/>
      <c r="B26" s="11" t="n"/>
      <c r="C26" s="11" t="n"/>
      <c r="D26" s="11" t="n"/>
      <c r="E26" s="11" t="n"/>
      <c r="F26" s="11" t="n"/>
      <c r="G26" s="11" t="n"/>
    </row>
    <row r="27">
      <c r="A27" s="5" t="inlineStr">
        <is>
          <t>TOTAL ACTIVOS</t>
        </is>
      </c>
      <c r="B27" s="10">
        <f>('1. Balance General'!B27/'1. Balance General'!B27)*100</f>
        <v/>
      </c>
      <c r="C27" s="10">
        <f>('1. Balance General'!C27/'1. Balance General'!C27)*100</f>
        <v/>
      </c>
      <c r="D27" s="10">
        <f>('1. Balance General'!D27/'1. Balance General'!D27)*100</f>
        <v/>
      </c>
      <c r="E27" s="10">
        <f>('1. Balance General'!E27/'1. Balance General'!E27)*100</f>
        <v/>
      </c>
      <c r="F27" s="10">
        <f>('1. Balance General'!F27/'1. Balance General'!F27)*100</f>
        <v/>
      </c>
      <c r="G27" s="10">
        <f>('1. Balance General'!G27/'1. Balance General'!G27)*100</f>
        <v/>
      </c>
    </row>
    <row r="28">
      <c r="A28" s="7" t="n"/>
      <c r="B28" s="11" t="n"/>
      <c r="C28" s="11" t="n"/>
      <c r="D28" s="11" t="n"/>
      <c r="E28" s="11" t="n"/>
      <c r="F28" s="11" t="n"/>
      <c r="G28" s="11" t="n"/>
    </row>
    <row r="29">
      <c r="A29" s="5" t="inlineStr">
        <is>
          <t>PATRIMONIO</t>
        </is>
      </c>
      <c r="B29" s="10">
        <f>('1. Balance General'!B29/'1. Balance General'!B27)*100</f>
        <v/>
      </c>
      <c r="C29" s="10">
        <f>('1. Balance General'!C29/'1. Balance General'!C27)*100</f>
        <v/>
      </c>
      <c r="D29" s="10">
        <f>('1. Balance General'!D29/'1. Balance General'!D27)*100</f>
        <v/>
      </c>
      <c r="E29" s="10">
        <f>('1. Balance General'!E29/'1. Balance General'!E27)*100</f>
        <v/>
      </c>
      <c r="F29" s="10">
        <f>('1. Balance General'!F29/'1. Balance General'!F27)*100</f>
        <v/>
      </c>
      <c r="G29" s="10">
        <f>('1. Balance General'!G29/'1. Balance General'!G27)*100</f>
        <v/>
      </c>
    </row>
    <row r="30">
      <c r="A30" s="7" t="inlineStr">
        <is>
          <t>Capital</t>
        </is>
      </c>
      <c r="B30" s="11">
        <f>('1. Balance General'!B30/'1. Balance General'!B27)*100</f>
        <v/>
      </c>
      <c r="C30" s="11">
        <f>('1. Balance General'!C30/'1. Balance General'!C27)*100</f>
        <v/>
      </c>
      <c r="D30" s="11">
        <f>('1. Balance General'!D30/'1. Balance General'!D27)*100</f>
        <v/>
      </c>
      <c r="E30" s="11">
        <f>('1. Balance General'!E30/'1. Balance General'!E27)*100</f>
        <v/>
      </c>
      <c r="F30" s="11">
        <f>('1. Balance General'!F30/'1. Balance General'!F27)*100</f>
        <v/>
      </c>
      <c r="G30" s="11">
        <f>('1. Balance General'!G30/'1. Balance General'!G27)*100</f>
        <v/>
      </c>
    </row>
    <row r="31">
      <c r="A31" s="7" t="inlineStr">
        <is>
          <t>Reservas</t>
        </is>
      </c>
      <c r="B31" s="11">
        <f>('1. Balance General'!B31/'1. Balance General'!B27)*100</f>
        <v/>
      </c>
      <c r="C31" s="11">
        <f>('1. Balance General'!C31/'1. Balance General'!C27)*100</f>
        <v/>
      </c>
      <c r="D31" s="11">
        <f>('1. Balance General'!D31/'1. Balance General'!D27)*100</f>
        <v/>
      </c>
      <c r="E31" s="11">
        <f>('1. Balance General'!E31/'1. Balance General'!E27)*100</f>
        <v/>
      </c>
      <c r="F31" s="11">
        <f>('1. Balance General'!F31/'1. Balance General'!F27)*100</f>
        <v/>
      </c>
      <c r="G31" s="11">
        <f>('1. Balance General'!G31/'1. Balance General'!G27)*100</f>
        <v/>
      </c>
    </row>
    <row r="32">
      <c r="A32" s="7" t="inlineStr">
        <is>
          <t>Superávit de capital</t>
        </is>
      </c>
      <c r="B32" s="11">
        <f>('1. Balance General'!B32/'1. Balance General'!B27)*100</f>
        <v/>
      </c>
      <c r="C32" s="11">
        <f>('1. Balance General'!C32/'1. Balance General'!C27)*100</f>
        <v/>
      </c>
      <c r="D32" s="11">
        <f>('1. Balance General'!D32/'1. Balance General'!D27)*100</f>
        <v/>
      </c>
      <c r="E32" s="11">
        <f>('1. Balance General'!E32/'1. Balance General'!E27)*100</f>
        <v/>
      </c>
      <c r="F32" s="11">
        <f>('1. Balance General'!F32/'1. Balance General'!F27)*100</f>
        <v/>
      </c>
      <c r="G32" s="11">
        <f>('1. Balance General'!G32/'1. Balance General'!G27)*100</f>
        <v/>
      </c>
    </row>
    <row r="33">
      <c r="A33" s="7" t="inlineStr">
        <is>
          <t>Ganancias retenidas</t>
        </is>
      </c>
      <c r="B33" s="11">
        <f>('1. Balance General'!B33/'1. Balance General'!B27)*100</f>
        <v/>
      </c>
      <c r="C33" s="11">
        <f>('1. Balance General'!C33/'1. Balance General'!C27)*100</f>
        <v/>
      </c>
      <c r="D33" s="11">
        <f>('1. Balance General'!D33/'1. Balance General'!D27)*100</f>
        <v/>
      </c>
      <c r="E33" s="11">
        <f>('1. Balance General'!E33/'1. Balance General'!E27)*100</f>
        <v/>
      </c>
      <c r="F33" s="11">
        <f>('1. Balance General'!F33/'1. Balance General'!F27)*100</f>
        <v/>
      </c>
      <c r="G33" s="11">
        <f>('1. Balance General'!G33/'1. Balance General'!G27)*100</f>
        <v/>
      </c>
    </row>
    <row r="34">
      <c r="A34" s="7" t="inlineStr">
        <is>
          <t>Otro resultado integral</t>
        </is>
      </c>
      <c r="B34" s="11">
        <f>('1. Balance General'!B34/'1. Balance General'!B27)*100</f>
        <v/>
      </c>
      <c r="C34" s="11">
        <f>('1. Balance General'!C34/'1. Balance General'!C27)*100</f>
        <v/>
      </c>
      <c r="D34" s="11">
        <f>('1. Balance General'!D34/'1. Balance General'!D27)*100</f>
        <v/>
      </c>
      <c r="E34" s="11">
        <f>('1. Balance General'!E34/'1. Balance General'!E27)*100</f>
        <v/>
      </c>
      <c r="F34" s="11">
        <f>('1. Balance General'!F34/'1. Balance General'!F27)*100</f>
        <v/>
      </c>
      <c r="G34" s="11">
        <f>('1. Balance General'!G34/'1. Balance General'!G27)*100</f>
        <v/>
      </c>
    </row>
    <row r="35">
      <c r="A35" s="5" t="inlineStr">
        <is>
          <t>Resultado integral total periodo (Utilidad Neta)</t>
        </is>
      </c>
      <c r="B35" s="10">
        <f>('1. Balance General'!B35/'1. Balance General'!B27)*100</f>
        <v/>
      </c>
      <c r="C35" s="10">
        <f>('1. Balance General'!C35/'1. Balance General'!C27)*100</f>
        <v/>
      </c>
      <c r="D35" s="10">
        <f>('1. Balance General'!D35/'1. Balance General'!D27)*100</f>
        <v/>
      </c>
      <c r="E35" s="10">
        <f>('1. Balance General'!E35/'1. Balance General'!E27)*100</f>
        <v/>
      </c>
      <c r="F35" s="10">
        <f>('1. Balance General'!F35/'1. Balance General'!F27)*100</f>
        <v/>
      </c>
      <c r="G35" s="10">
        <f>('1. Balance General'!G35/'1. Balance General'!G27)*100</f>
        <v/>
      </c>
    </row>
    <row r="36">
      <c r="A36" s="5" t="inlineStr">
        <is>
          <t>Total Patrimonio de los Accionistas</t>
        </is>
      </c>
      <c r="B36" s="10">
        <f>('1. Balance General'!B36/'1. Balance General'!B27)*100</f>
        <v/>
      </c>
      <c r="C36" s="10">
        <f>('1. Balance General'!C36/'1. Balance General'!C27)*100</f>
        <v/>
      </c>
      <c r="D36" s="10">
        <f>('1. Balance General'!D36/'1. Balance General'!D27)*100</f>
        <v/>
      </c>
      <c r="E36" s="10">
        <f>('1. Balance General'!E36/'1. Balance General'!E27)*100</f>
        <v/>
      </c>
      <c r="F36" s="10">
        <f>('1. Balance General'!F36/'1. Balance General'!F27)*100</f>
        <v/>
      </c>
      <c r="G36" s="10">
        <f>('1. Balance General'!G36/'1. Balance General'!G27)*100</f>
        <v/>
      </c>
    </row>
    <row r="37">
      <c r="A37" s="7" t="n"/>
      <c r="B37" s="11" t="n"/>
      <c r="C37" s="11" t="n"/>
      <c r="D37" s="11" t="n"/>
      <c r="E37" s="11" t="n"/>
      <c r="F37" s="11" t="n"/>
      <c r="G37" s="11" t="n"/>
    </row>
    <row r="38">
      <c r="A38" s="5" t="inlineStr">
        <is>
          <t>PASIVOS NO CORRIENTES</t>
        </is>
      </c>
      <c r="B38" s="10">
        <f>('1. Balance General'!B38/'1. Balance General'!B27)*100</f>
        <v/>
      </c>
      <c r="C38" s="10">
        <f>('1. Balance General'!C38/'1. Balance General'!C27)*100</f>
        <v/>
      </c>
      <c r="D38" s="10">
        <f>('1. Balance General'!D38/'1. Balance General'!D27)*100</f>
        <v/>
      </c>
      <c r="E38" s="10">
        <f>('1. Balance General'!E38/'1. Balance General'!E27)*100</f>
        <v/>
      </c>
      <c r="F38" s="10">
        <f>('1. Balance General'!F38/'1. Balance General'!F27)*100</f>
        <v/>
      </c>
      <c r="G38" s="10">
        <f>('1. Balance General'!G38/'1. Balance General'!G27)*100</f>
        <v/>
      </c>
    </row>
    <row r="39">
      <c r="A39" s="7" t="inlineStr">
        <is>
          <t>Operaciones de financiamiento</t>
        </is>
      </c>
      <c r="B39" s="11">
        <f>('1. Balance General'!B39/'1. Balance General'!B27)*100</f>
        <v/>
      </c>
      <c r="C39" s="11">
        <f>('1. Balance General'!C39/'1. Balance General'!C27)*100</f>
        <v/>
      </c>
      <c r="D39" s="11">
        <f>('1. Balance General'!D39/'1. Balance General'!D27)*100</f>
        <v/>
      </c>
      <c r="E39" s="11">
        <f>('1. Balance General'!E39/'1. Balance General'!E27)*100</f>
        <v/>
      </c>
      <c r="F39" s="11">
        <f>('1. Balance General'!F39/'1. Balance General'!F27)*100</f>
        <v/>
      </c>
      <c r="G39" s="11">
        <f>('1. Balance General'!G39/'1. Balance General'!G27)*100</f>
        <v/>
      </c>
    </row>
    <row r="40">
      <c r="A40" s="7" t="inlineStr">
        <is>
          <t>Obligaciones con vinculados</t>
        </is>
      </c>
      <c r="B40" s="11">
        <f>('1. Balance General'!B40/'1. Balance General'!B27)*100</f>
        <v/>
      </c>
      <c r="C40" s="11">
        <f>('1. Balance General'!C40/'1. Balance General'!C27)*100</f>
        <v/>
      </c>
      <c r="D40" s="11">
        <f>('1. Balance General'!D40/'1. Balance General'!D27)*100</f>
        <v/>
      </c>
      <c r="E40" s="11">
        <f>('1. Balance General'!E40/'1. Balance General'!E27)*100</f>
        <v/>
      </c>
      <c r="F40" s="11">
        <f>('1. Balance General'!F40/'1. Balance General'!F27)*100</f>
        <v/>
      </c>
      <c r="G40" s="11">
        <f>('1. Balance General'!G40/'1. Balance General'!G27)*100</f>
        <v/>
      </c>
    </row>
    <row r="41">
      <c r="A41" s="7" t="inlineStr">
        <is>
          <t>Operaciones con derivados</t>
        </is>
      </c>
      <c r="B41" s="11">
        <f>('1. Balance General'!B41/'1. Balance General'!B27)*100</f>
        <v/>
      </c>
      <c r="C41" s="11">
        <f>('1. Balance General'!C41/'1. Balance General'!C27)*100</f>
        <v/>
      </c>
      <c r="D41" s="11">
        <f>('1. Balance General'!D41/'1. Balance General'!D27)*100</f>
        <v/>
      </c>
      <c r="E41" s="11">
        <f>('1. Balance General'!E41/'1. Balance General'!E27)*100</f>
        <v/>
      </c>
      <c r="F41" s="11">
        <f>('1. Balance General'!F41/'1. Balance General'!F27)*100</f>
        <v/>
      </c>
      <c r="G41" s="11">
        <f>('1. Balance General'!G41/'1. Balance General'!G27)*100</f>
        <v/>
      </c>
    </row>
    <row r="42">
      <c r="A42" s="7" t="inlineStr">
        <is>
          <t>Impuestos, contribuciones y tasas</t>
        </is>
      </c>
      <c r="B42" s="11">
        <f>('1. Balance General'!B42/'1. Balance General'!B27)*100</f>
        <v/>
      </c>
      <c r="C42" s="11">
        <f>('1. Balance General'!C42/'1. Balance General'!C27)*100</f>
        <v/>
      </c>
      <c r="D42" s="11">
        <f>('1. Balance General'!D42/'1. Balance General'!D27)*100</f>
        <v/>
      </c>
      <c r="E42" s="11">
        <f>('1. Balance General'!E42/'1. Balance General'!E27)*100</f>
        <v/>
      </c>
      <c r="F42" s="11">
        <f>('1. Balance General'!F42/'1. Balance General'!F27)*100</f>
        <v/>
      </c>
      <c r="G42" s="11">
        <f>('1. Balance General'!G42/'1. Balance General'!G27)*100</f>
        <v/>
      </c>
    </row>
    <row r="43">
      <c r="A43" s="7" t="inlineStr">
        <is>
          <t>Beneficios a empleados</t>
        </is>
      </c>
      <c r="B43" s="11">
        <f>('1. Balance General'!B43/'1. Balance General'!B27)*100</f>
        <v/>
      </c>
      <c r="C43" s="11">
        <f>('1. Balance General'!C43/'1. Balance General'!C27)*100</f>
        <v/>
      </c>
      <c r="D43" s="11">
        <f>('1. Balance General'!D43/'1. Balance General'!D27)*100</f>
        <v/>
      </c>
      <c r="E43" s="11">
        <f>('1. Balance General'!E43/'1. Balance General'!E27)*100</f>
        <v/>
      </c>
      <c r="F43" s="11">
        <f>('1. Balance General'!F43/'1. Balance General'!F27)*100</f>
        <v/>
      </c>
      <c r="G43" s="11">
        <f>('1. Balance General'!G43/'1. Balance General'!G27)*100</f>
        <v/>
      </c>
    </row>
    <row r="44">
      <c r="A44" s="7" t="inlineStr">
        <is>
          <t>Provisiones</t>
        </is>
      </c>
      <c r="B44" s="11">
        <f>('1. Balance General'!B44/'1. Balance General'!B27)*100</f>
        <v/>
      </c>
      <c r="C44" s="11">
        <f>('1. Balance General'!C44/'1. Balance General'!C27)*100</f>
        <v/>
      </c>
      <c r="D44" s="11">
        <f>('1. Balance General'!D44/'1. Balance General'!D27)*100</f>
        <v/>
      </c>
      <c r="E44" s="11">
        <f>('1. Balance General'!E44/'1. Balance General'!E27)*100</f>
        <v/>
      </c>
      <c r="F44" s="11">
        <f>('1. Balance General'!F44/'1. Balance General'!F27)*100</f>
        <v/>
      </c>
      <c r="G44" s="11">
        <f>('1. Balance General'!G44/'1. Balance General'!G27)*100</f>
        <v/>
      </c>
    </row>
    <row r="45">
      <c r="A45" s="7" t="inlineStr">
        <is>
          <t>Cuentas por pagar</t>
        </is>
      </c>
      <c r="B45" s="11">
        <f>('1. Balance General'!B45/'1. Balance General'!B27)*100</f>
        <v/>
      </c>
      <c r="C45" s="11">
        <f>('1. Balance General'!C45/'1. Balance General'!C27)*100</f>
        <v/>
      </c>
      <c r="D45" s="11">
        <f>('1. Balance General'!D45/'1. Balance General'!D27)*100</f>
        <v/>
      </c>
      <c r="E45" s="11">
        <f>('1. Balance General'!E45/'1. Balance General'!E27)*100</f>
        <v/>
      </c>
      <c r="F45" s="11">
        <f>('1. Balance General'!F45/'1. Balance General'!F27)*100</f>
        <v/>
      </c>
      <c r="G45" s="11">
        <f>('1. Balance General'!G45/'1. Balance General'!G27)*100</f>
        <v/>
      </c>
    </row>
    <row r="46">
      <c r="A46" s="5" t="inlineStr">
        <is>
          <t>Total Pasivos No Corrientes</t>
        </is>
      </c>
      <c r="B46" s="10">
        <f>('1. Balance General'!B46/'1. Balance General'!B27)*100</f>
        <v/>
      </c>
      <c r="C46" s="10">
        <f>('1. Balance General'!C46/'1. Balance General'!C27)*100</f>
        <v/>
      </c>
      <c r="D46" s="10">
        <f>('1. Balance General'!D46/'1. Balance General'!D27)*100</f>
        <v/>
      </c>
      <c r="E46" s="10">
        <f>('1. Balance General'!E46/'1. Balance General'!E27)*100</f>
        <v/>
      </c>
      <c r="F46" s="10">
        <f>('1. Balance General'!F46/'1. Balance General'!F27)*100</f>
        <v/>
      </c>
      <c r="G46" s="10">
        <f>('1. Balance General'!G46/'1. Balance General'!G27)*100</f>
        <v/>
      </c>
    </row>
    <row r="47">
      <c r="A47" s="7" t="n"/>
      <c r="B47" s="11" t="n"/>
      <c r="C47" s="11" t="n"/>
      <c r="D47" s="11" t="n"/>
      <c r="E47" s="11" t="n"/>
      <c r="F47" s="11" t="n"/>
      <c r="G47" s="11" t="n"/>
    </row>
    <row r="48">
      <c r="A48" s="5" t="inlineStr">
        <is>
          <t>PASIVOS CORRIENTES</t>
        </is>
      </c>
      <c r="B48" s="10">
        <f>('1. Balance General'!B48/'1. Balance General'!B27)*100</f>
        <v/>
      </c>
      <c r="C48" s="10">
        <f>('1. Balance General'!C48/'1. Balance General'!C27)*100</f>
        <v/>
      </c>
      <c r="D48" s="10">
        <f>('1. Balance General'!D48/'1. Balance General'!D27)*100</f>
        <v/>
      </c>
      <c r="E48" s="10">
        <f>('1. Balance General'!E48/'1. Balance General'!E27)*100</f>
        <v/>
      </c>
      <c r="F48" s="10">
        <f>('1. Balance General'!F48/'1. Balance General'!F27)*100</f>
        <v/>
      </c>
      <c r="G48" s="10">
        <f>('1. Balance General'!G48/'1. Balance General'!G27)*100</f>
        <v/>
      </c>
    </row>
    <row r="49">
      <c r="A49" s="7" t="inlineStr">
        <is>
          <t>Operaciones de financiamiento</t>
        </is>
      </c>
      <c r="B49" s="11">
        <f>('1. Balance General'!B49/'1. Balance General'!B27)*100</f>
        <v/>
      </c>
      <c r="C49" s="11">
        <f>('1. Balance General'!C49/'1. Balance General'!C27)*100</f>
        <v/>
      </c>
      <c r="D49" s="11">
        <f>('1. Balance General'!D49/'1. Balance General'!D27)*100</f>
        <v/>
      </c>
      <c r="E49" s="11">
        <f>('1. Balance General'!E49/'1. Balance General'!E27)*100</f>
        <v/>
      </c>
      <c r="F49" s="11">
        <f>('1. Balance General'!F49/'1. Balance General'!F27)*100</f>
        <v/>
      </c>
      <c r="G49" s="11">
        <f>('1. Balance General'!G49/'1. Balance General'!G27)*100</f>
        <v/>
      </c>
    </row>
    <row r="50">
      <c r="A50" s="7" t="inlineStr">
        <is>
          <t>Cuentas por pagar</t>
        </is>
      </c>
      <c r="B50" s="11">
        <f>('1. Balance General'!B50/'1. Balance General'!B27)*100</f>
        <v/>
      </c>
      <c r="C50" s="11">
        <f>('1. Balance General'!C50/'1. Balance General'!C27)*100</f>
        <v/>
      </c>
      <c r="D50" s="11">
        <f>('1. Balance General'!D50/'1. Balance General'!D27)*100</f>
        <v/>
      </c>
      <c r="E50" s="11">
        <f>('1. Balance General'!E50/'1. Balance General'!E27)*100</f>
        <v/>
      </c>
      <c r="F50" s="11">
        <f>('1. Balance General'!F50/'1. Balance General'!F27)*100</f>
        <v/>
      </c>
      <c r="G50" s="11">
        <f>('1. Balance General'!G50/'1. Balance General'!G27)*100</f>
        <v/>
      </c>
    </row>
    <row r="51">
      <c r="A51" s="7" t="inlineStr">
        <is>
          <t>Obligaciones con vinculados</t>
        </is>
      </c>
      <c r="B51" s="11">
        <f>('1. Balance General'!B51/'1. Balance General'!B27)*100</f>
        <v/>
      </c>
      <c r="C51" s="11">
        <f>('1. Balance General'!C51/'1. Balance General'!C27)*100</f>
        <v/>
      </c>
      <c r="D51" s="11">
        <f>('1. Balance General'!D51/'1. Balance General'!D27)*100</f>
        <v/>
      </c>
      <c r="E51" s="11">
        <f>('1. Balance General'!E51/'1. Balance General'!E27)*100</f>
        <v/>
      </c>
      <c r="F51" s="11">
        <f>('1. Balance General'!F51/'1. Balance General'!F27)*100</f>
        <v/>
      </c>
      <c r="G51" s="11">
        <f>('1. Balance General'!G51/'1. Balance General'!G27)*100</f>
        <v/>
      </c>
    </row>
    <row r="52">
      <c r="A52" s="7" t="inlineStr">
        <is>
          <t>Operaciones con derivados</t>
        </is>
      </c>
      <c r="B52" s="11">
        <f>('1. Balance General'!B52/'1. Balance General'!B27)*100</f>
        <v/>
      </c>
      <c r="C52" s="11">
        <f>('1. Balance General'!C52/'1. Balance General'!C27)*100</f>
        <v/>
      </c>
      <c r="D52" s="11">
        <f>('1. Balance General'!D52/'1. Balance General'!D27)*100</f>
        <v/>
      </c>
      <c r="E52" s="11">
        <f>('1. Balance General'!E52/'1. Balance General'!E27)*100</f>
        <v/>
      </c>
      <c r="F52" s="11">
        <f>('1. Balance General'!F52/'1. Balance General'!F27)*100</f>
        <v/>
      </c>
      <c r="G52" s="11">
        <f>('1. Balance General'!G52/'1. Balance General'!G27)*100</f>
        <v/>
      </c>
    </row>
    <row r="53">
      <c r="A53" s="7" t="inlineStr">
        <is>
          <t>Impuestos, contribuciones y tasas</t>
        </is>
      </c>
      <c r="B53" s="11">
        <f>('1. Balance General'!B53/'1. Balance General'!B27)*100</f>
        <v/>
      </c>
      <c r="C53" s="11">
        <f>('1. Balance General'!C53/'1. Balance General'!C27)*100</f>
        <v/>
      </c>
      <c r="D53" s="11">
        <f>('1. Balance General'!D53/'1. Balance General'!D27)*100</f>
        <v/>
      </c>
      <c r="E53" s="11">
        <f>('1. Balance General'!E53/'1. Balance General'!E27)*100</f>
        <v/>
      </c>
      <c r="F53" s="11">
        <f>('1. Balance General'!F53/'1. Balance General'!F27)*100</f>
        <v/>
      </c>
      <c r="G53" s="11">
        <f>('1. Balance General'!G53/'1. Balance General'!G27)*100</f>
        <v/>
      </c>
    </row>
    <row r="54">
      <c r="A54" s="7" t="inlineStr">
        <is>
          <t>Beneficios a empleados</t>
        </is>
      </c>
      <c r="B54" s="11">
        <f>('1. Balance General'!B54/'1. Balance General'!B27)*100</f>
        <v/>
      </c>
      <c r="C54" s="11">
        <f>('1. Balance General'!C54/'1. Balance General'!C27)*100</f>
        <v/>
      </c>
      <c r="D54" s="11">
        <f>('1. Balance General'!D54/'1. Balance General'!D27)*100</f>
        <v/>
      </c>
      <c r="E54" s="11">
        <f>('1. Balance General'!E54/'1. Balance General'!E27)*100</f>
        <v/>
      </c>
      <c r="F54" s="11">
        <f>('1. Balance General'!F54/'1. Balance General'!F27)*100</f>
        <v/>
      </c>
      <c r="G54" s="11">
        <f>('1. Balance General'!G54/'1. Balance General'!G27)*100</f>
        <v/>
      </c>
    </row>
    <row r="55">
      <c r="A55" s="7" t="inlineStr">
        <is>
          <t>Provisiones</t>
        </is>
      </c>
      <c r="B55" s="11">
        <f>('1. Balance General'!B55/'1. Balance General'!B27)*100</f>
        <v/>
      </c>
      <c r="C55" s="11">
        <f>('1. Balance General'!C55/'1. Balance General'!C27)*100</f>
        <v/>
      </c>
      <c r="D55" s="11">
        <f>('1. Balance General'!D55/'1. Balance General'!D27)*100</f>
        <v/>
      </c>
      <c r="E55" s="11">
        <f>('1. Balance General'!E55/'1. Balance General'!E27)*100</f>
        <v/>
      </c>
      <c r="F55" s="11">
        <f>('1. Balance General'!F55/'1. Balance General'!F27)*100</f>
        <v/>
      </c>
      <c r="G55" s="11">
        <f>('1. Balance General'!G55/'1. Balance General'!G27)*100</f>
        <v/>
      </c>
    </row>
    <row r="56">
      <c r="A56" s="5" t="inlineStr">
        <is>
          <t>Otros pasivos</t>
        </is>
      </c>
      <c r="B56" s="10">
        <f>('1. Balance General'!B56/'1. Balance General'!B27)*100</f>
        <v/>
      </c>
      <c r="C56" s="10">
        <f>('1. Balance General'!C56/'1. Balance General'!C27)*100</f>
        <v/>
      </c>
      <c r="D56" s="10">
        <f>('1. Balance General'!D56/'1. Balance General'!D27)*100</f>
        <v/>
      </c>
      <c r="E56" s="10">
        <f>('1. Balance General'!E56/'1. Balance General'!E27)*100</f>
        <v/>
      </c>
      <c r="F56" s="10">
        <f>('1. Balance General'!F56/'1. Balance General'!F27)*100</f>
        <v/>
      </c>
      <c r="G56" s="10">
        <f>('1. Balance General'!G56/'1. Balance General'!G27)*100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topLeftCell="A39" workbookViewId="0">
      <selection activeCell="B59" sqref="B59"/>
    </sheetView>
  </sheetViews>
  <sheetFormatPr baseColWidth="10" defaultColWidth="9.140625" defaultRowHeight="15"/>
  <cols>
    <col width="50" customWidth="1" style="85" min="1" max="1"/>
    <col width="14" customWidth="1" style="85" min="2" max="6"/>
  </cols>
  <sheetData>
    <row r="1" ht="18" customHeight="1" s="85">
      <c r="A1" s="1" t="inlineStr">
        <is>
          <t>ISAGEN S.A. E.S.P.</t>
        </is>
      </c>
    </row>
    <row r="2" ht="15.75" customHeight="1" s="85">
      <c r="A2" s="2" t="inlineStr">
        <is>
          <t>ANÁLISIS HORIZONTAL - BALANCE GENERAL</t>
        </is>
      </c>
    </row>
    <row r="3">
      <c r="A3" s="3" t="inlineStr">
        <is>
          <t>Variación porcentual interanual (%)</t>
        </is>
      </c>
    </row>
    <row r="5">
      <c r="A5" s="9" t="inlineStr">
        <is>
          <t>CONCEPTO</t>
        </is>
      </c>
      <c r="B5" s="9" t="inlineStr">
        <is>
          <t>2020-2021</t>
        </is>
      </c>
      <c r="C5" s="9" t="inlineStr">
        <is>
          <t>2021-2022</t>
        </is>
      </c>
      <c r="D5" s="9" t="inlineStr">
        <is>
          <t>2022-2023</t>
        </is>
      </c>
      <c r="E5" s="9" t="inlineStr">
        <is>
          <t>2023-2024</t>
        </is>
      </c>
      <c r="F5" s="9" t="inlineStr">
        <is>
          <t>2024-2025</t>
        </is>
      </c>
    </row>
    <row r="6">
      <c r="A6" s="12" t="inlineStr">
        <is>
          <t>ACTIVOS NO CORRIENTES</t>
        </is>
      </c>
      <c r="B6" s="13" t="n"/>
      <c r="C6" s="13" t="n"/>
      <c r="D6" s="13" t="n"/>
      <c r="E6" s="13" t="n"/>
      <c r="F6" s="13" t="n"/>
    </row>
    <row r="7">
      <c r="A7" s="7" t="inlineStr">
        <is>
          <t>Propiedades, planta y equipo, neto</t>
        </is>
      </c>
      <c r="B7" s="14">
        <f>(('1. Balance General'!C7-'1. Balance General'!B7)/'1. Balance General'!B7)*100</f>
        <v/>
      </c>
      <c r="C7" s="14">
        <f>(('1. Balance General'!D7-'1. Balance General'!C7)/'1. Balance General'!C7)*100</f>
        <v/>
      </c>
      <c r="D7" s="14">
        <f>(('1. Balance General'!E7-'1. Balance General'!D7)/'1. Balance General'!D7)*100</f>
        <v/>
      </c>
      <c r="E7" s="14">
        <f>(('1. Balance General'!F7-'1. Balance General'!E7)/'1. Balance General'!E7)*100</f>
        <v/>
      </c>
      <c r="F7" s="14">
        <f>(('1. Balance General'!G7-'1. Balance General'!F7)/'1. Balance General'!F7)*100</f>
        <v/>
      </c>
    </row>
    <row r="8">
      <c r="A8" s="7" t="inlineStr">
        <is>
          <t>Activos intangibles, neto</t>
        </is>
      </c>
      <c r="B8" s="14">
        <f>(('1. Balance General'!C8-'1. Balance General'!B8)/'1. Balance General'!B8)*100</f>
        <v/>
      </c>
      <c r="C8" s="14">
        <f>(('1. Balance General'!D8-'1. Balance General'!C8)/'1. Balance General'!C8)*100</f>
        <v/>
      </c>
      <c r="D8" s="14">
        <f>(('1. Balance General'!E8-'1. Balance General'!D8)/'1. Balance General'!D8)*100</f>
        <v/>
      </c>
      <c r="E8" s="14">
        <f>(('1. Balance General'!F8-'1. Balance General'!E8)/'1. Balance General'!E8)*100</f>
        <v/>
      </c>
      <c r="F8" s="14">
        <f>(('1. Balance General'!G8-'1. Balance General'!F8)/'1. Balance General'!F8)*100</f>
        <v/>
      </c>
    </row>
    <row r="9">
      <c r="A9" s="7" t="inlineStr">
        <is>
          <t>Cuentas por cobrar, neto</t>
        </is>
      </c>
      <c r="B9" s="14">
        <f>(('1. Balance General'!C9-'1. Balance General'!B9)/'1. Balance General'!B9)*100</f>
        <v/>
      </c>
      <c r="C9" s="14">
        <f>(('1. Balance General'!D9-'1. Balance General'!C9)/'1. Balance General'!C9)*100</f>
        <v/>
      </c>
      <c r="D9" s="14">
        <f>(('1. Balance General'!E9-'1. Balance General'!D9)/'1. Balance General'!D9)*100</f>
        <v/>
      </c>
      <c r="E9" s="14">
        <f>(('1. Balance General'!F9-'1. Balance General'!E9)/'1. Balance General'!E9)*100</f>
        <v/>
      </c>
      <c r="F9" s="14">
        <f>(('1. Balance General'!G9-'1. Balance General'!F9)/'1. Balance General'!F9)*100</f>
        <v/>
      </c>
    </row>
    <row r="10">
      <c r="A10" s="7" t="inlineStr">
        <is>
          <t>Instrumentos financieros</t>
        </is>
      </c>
      <c r="B10" s="14">
        <f>(('1. Balance General'!C10-'1. Balance General'!B10)/'1. Balance General'!B10)*100</f>
        <v/>
      </c>
      <c r="C10" s="14">
        <f>(('1. Balance General'!D10-'1. Balance General'!C10)/'1. Balance General'!C10)*100</f>
        <v/>
      </c>
      <c r="D10" s="14">
        <f>(('1. Balance General'!E10-'1. Balance General'!D10)/'1. Balance General'!D10)*100</f>
        <v/>
      </c>
      <c r="E10" s="14">
        <f>(('1. Balance General'!F10-'1. Balance General'!E10)/'1. Balance General'!E10)*100</f>
        <v/>
      </c>
      <c r="F10" s="14">
        <f>(('1. Balance General'!G10-'1. Balance General'!F10)/'1. Balance General'!F10)*100</f>
        <v/>
      </c>
    </row>
    <row r="11">
      <c r="A11" s="7" t="inlineStr">
        <is>
          <t>Operaciones con derivados</t>
        </is>
      </c>
      <c r="B11" s="14">
        <f>(('1. Balance General'!C11-'1. Balance General'!B11)/'1. Balance General'!B11)*100</f>
        <v/>
      </c>
      <c r="C11" s="14">
        <f>(('1. Balance General'!D11-'1. Balance General'!C11)/'1. Balance General'!C11)*100</f>
        <v/>
      </c>
      <c r="D11" s="14">
        <f>(('1. Balance General'!E11-'1. Balance General'!D11)/'1. Balance General'!D11)*100</f>
        <v/>
      </c>
      <c r="E11" s="14">
        <f>(('1. Balance General'!F11-'1. Balance General'!E11)/'1. Balance General'!E11)*100</f>
        <v/>
      </c>
      <c r="F11" s="14">
        <f>(('1. Balance General'!G11-'1. Balance General'!F11)/'1. Balance General'!F11)*100</f>
        <v/>
      </c>
    </row>
    <row r="12">
      <c r="A12" s="7" t="inlineStr">
        <is>
          <t>Efectivo restringido</t>
        </is>
      </c>
      <c r="B12" s="14">
        <f>(('1. Balance General'!C12-'1. Balance General'!B12)/'1. Balance General'!B12)*100</f>
        <v/>
      </c>
      <c r="C12" s="14">
        <f>(('1. Balance General'!D12-'1. Balance General'!C12)/'1. Balance General'!C12)*100</f>
        <v/>
      </c>
      <c r="D12" s="14">
        <f>(('1. Balance General'!E12-'1. Balance General'!D12)/'1. Balance General'!D12)*100</f>
        <v/>
      </c>
      <c r="E12" s="14">
        <f>(('1. Balance General'!F12-'1. Balance General'!E12)/'1. Balance General'!E12)*100</f>
        <v/>
      </c>
      <c r="F12" s="14">
        <f>(('1. Balance General'!G12-'1. Balance General'!F12)/'1. Balance General'!F12)*100</f>
        <v/>
      </c>
    </row>
    <row r="13">
      <c r="A13" s="7" t="inlineStr">
        <is>
          <t>Otros activos</t>
        </is>
      </c>
      <c r="B13" s="14">
        <f>(('1. Balance General'!C13-'1. Balance General'!B13)/'1. Balance General'!B13)*100</f>
        <v/>
      </c>
      <c r="C13" s="14">
        <f>(('1. Balance General'!D13-'1. Balance General'!C13)/'1. Balance General'!C13)*100</f>
        <v/>
      </c>
      <c r="D13" s="14">
        <f>(('1. Balance General'!E13-'1. Balance General'!D13)/'1. Balance General'!D13)*100</f>
        <v/>
      </c>
      <c r="E13" s="14">
        <f>(('1. Balance General'!F13-'1. Balance General'!E13)/'1. Balance General'!E13)*100</f>
        <v/>
      </c>
      <c r="F13" s="14">
        <f>(('1. Balance General'!G13-'1. Balance General'!F13)/'1. Balance General'!F13)*100</f>
        <v/>
      </c>
    </row>
    <row r="14">
      <c r="A14" s="12" t="inlineStr">
        <is>
          <t>Total Activos No Corrientes</t>
        </is>
      </c>
      <c r="B14" s="13">
        <f>(('1. Balance General'!C14-'1. Balance General'!B14)/'1. Balance General'!B14)*100</f>
        <v/>
      </c>
      <c r="C14" s="13">
        <f>(('1. Balance General'!D14-'1. Balance General'!C14)/'1. Balance General'!C14)*100</f>
        <v/>
      </c>
      <c r="D14" s="13">
        <f>(('1. Balance General'!E14-'1. Balance General'!D14)/'1. Balance General'!D14)*100</f>
        <v/>
      </c>
      <c r="E14" s="13">
        <f>(('1. Balance General'!F14-'1. Balance General'!E14)/'1. Balance General'!E14)*100</f>
        <v/>
      </c>
      <c r="F14" s="13">
        <f>(('1. Balance General'!G14-'1. Balance General'!F14)/'1. Balance General'!F14)*100</f>
        <v/>
      </c>
    </row>
    <row r="15">
      <c r="A15" s="7" t="n"/>
      <c r="B15" s="14" t="n"/>
      <c r="C15" s="14" t="n"/>
      <c r="D15" s="14" t="n"/>
      <c r="E15" s="14" t="n"/>
      <c r="F15" s="14" t="n"/>
    </row>
    <row r="16">
      <c r="A16" s="12" t="inlineStr">
        <is>
          <t>ACTIVOS CORRIENTES</t>
        </is>
      </c>
      <c r="B16" s="13" t="n"/>
      <c r="C16" s="13" t="n"/>
      <c r="D16" s="13" t="n"/>
      <c r="E16" s="13" t="n"/>
      <c r="F16" s="13" t="n"/>
    </row>
    <row r="17">
      <c r="A17" s="7" t="inlineStr">
        <is>
          <t>Inventarios</t>
        </is>
      </c>
      <c r="B17" s="14">
        <f>(('1. Balance General'!C17-'1. Balance General'!B17)/'1. Balance General'!B17)*100</f>
        <v/>
      </c>
      <c r="C17" s="14">
        <f>(('1. Balance General'!D17-'1. Balance General'!C17)/'1. Balance General'!C17)*100</f>
        <v/>
      </c>
      <c r="D17" s="14">
        <f>(('1. Balance General'!E17-'1. Balance General'!D17)/'1. Balance General'!D17)*100</f>
        <v/>
      </c>
      <c r="E17" s="14">
        <f>(('1. Balance General'!F17-'1. Balance General'!E17)/'1. Balance General'!E17)*100</f>
        <v/>
      </c>
      <c r="F17" s="14">
        <f>(('1. Balance General'!G17-'1. Balance General'!F17)/'1. Balance General'!F17)*100</f>
        <v/>
      </c>
    </row>
    <row r="18">
      <c r="A18" s="7" t="inlineStr">
        <is>
          <t>Cuentas por cobrar, neto</t>
        </is>
      </c>
      <c r="B18" s="14">
        <f>(('1. Balance General'!C18-'1. Balance General'!B18)/'1. Balance General'!B18)*100</f>
        <v/>
      </c>
      <c r="C18" s="14">
        <f>(('1. Balance General'!D18-'1. Balance General'!C18)/'1. Balance General'!C18)*100</f>
        <v/>
      </c>
      <c r="D18" s="14">
        <f>(('1. Balance General'!E18-'1. Balance General'!D18)/'1. Balance General'!D18)*100</f>
        <v/>
      </c>
      <c r="E18" s="14">
        <f>(('1. Balance General'!F18-'1. Balance General'!E18)/'1. Balance General'!E18)*100</f>
        <v/>
      </c>
      <c r="F18" s="14">
        <f>(('1. Balance General'!G18-'1. Balance General'!F18)/'1. Balance General'!F18)*100</f>
        <v/>
      </c>
    </row>
    <row r="19">
      <c r="A19" s="7" t="inlineStr">
        <is>
          <t>Instrumentos financieros</t>
        </is>
      </c>
      <c r="B19" s="14">
        <f>(('1. Balance General'!C19-'1. Balance General'!B19)/'1. Balance General'!B19)*100</f>
        <v/>
      </c>
      <c r="C19" s="14">
        <f>(('1. Balance General'!D19-'1. Balance General'!C19)/'1. Balance General'!C19)*100</f>
        <v/>
      </c>
      <c r="D19" s="14">
        <f>(('1. Balance General'!E19-'1. Balance General'!D19)/'1. Balance General'!D19)*100</f>
        <v/>
      </c>
      <c r="E19" s="14">
        <f>(('1. Balance General'!F19-'1. Balance General'!E19)/'1. Balance General'!E19)*100</f>
        <v/>
      </c>
      <c r="F19" s="14">
        <f>(('1. Balance General'!G19-'1. Balance General'!F19)/'1. Balance General'!F19)*100</f>
        <v/>
      </c>
    </row>
    <row r="20">
      <c r="A20" s="7" t="inlineStr">
        <is>
          <t>Activos por impuestos</t>
        </is>
      </c>
      <c r="B20" s="14">
        <f>(('1. Balance General'!C20-'1. Balance General'!B20)/'1. Balance General'!B20)*100</f>
        <v/>
      </c>
      <c r="C20" s="14">
        <f>(('1. Balance General'!D20-'1. Balance General'!C20)/'1. Balance General'!C20)*100</f>
        <v/>
      </c>
      <c r="D20" s="14">
        <f>(('1. Balance General'!E20-'1. Balance General'!D20)/'1. Balance General'!D20)*100</f>
        <v/>
      </c>
      <c r="E20" s="14">
        <f>(('1. Balance General'!F20-'1. Balance General'!E20)/'1. Balance General'!E20)*100</f>
        <v/>
      </c>
      <c r="F20" s="14">
        <f>(('1. Balance General'!G20-'1. Balance General'!F20)/'1. Balance General'!F20)*100</f>
        <v/>
      </c>
    </row>
    <row r="21">
      <c r="A21" s="7" t="inlineStr">
        <is>
          <t>Otros activos</t>
        </is>
      </c>
      <c r="B21" s="14">
        <f>(('1. Balance General'!C21-'1. Balance General'!B21)/'1. Balance General'!B21)*100</f>
        <v/>
      </c>
      <c r="C21" s="14">
        <f>(('1. Balance General'!D21-'1. Balance General'!C21)/'1. Balance General'!C21)*100</f>
        <v/>
      </c>
      <c r="D21" s="14">
        <f>(('1. Balance General'!E21-'1. Balance General'!D21)/'1. Balance General'!D21)*100</f>
        <v/>
      </c>
      <c r="E21" s="14">
        <f>(('1. Balance General'!F21-'1. Balance General'!E21)/'1. Balance General'!E21)*100</f>
        <v/>
      </c>
      <c r="F21" s="14">
        <f>(('1. Balance General'!G21-'1. Balance General'!F21)/'1. Balance General'!F21)*100</f>
        <v/>
      </c>
    </row>
    <row r="22">
      <c r="A22" s="7" t="inlineStr">
        <is>
          <t>Operaciones con derivados</t>
        </is>
      </c>
      <c r="B22" s="14">
        <f>(('1. Balance General'!C22-'1. Balance General'!B22)/'1. Balance General'!B22)*100</f>
        <v/>
      </c>
      <c r="C22" s="14">
        <f>(('1. Balance General'!D22-'1. Balance General'!C22)/'1. Balance General'!C22)*100</f>
        <v/>
      </c>
      <c r="D22" s="14">
        <f>(('1. Balance General'!E22-'1. Balance General'!D22)/'1. Balance General'!D22)*100</f>
        <v/>
      </c>
      <c r="E22" s="14">
        <f>(('1. Balance General'!F22-'1. Balance General'!E22)/'1. Balance General'!E22)*100</f>
        <v/>
      </c>
      <c r="F22" s="14">
        <f>(('1. Balance General'!G22-'1. Balance General'!F22)/'1. Balance General'!F22)*100</f>
        <v/>
      </c>
    </row>
    <row r="23">
      <c r="A23" s="7" t="inlineStr">
        <is>
          <t>Efectivo restringido</t>
        </is>
      </c>
      <c r="B23" s="14">
        <f>(('1. Balance General'!C23-'1. Balance General'!B23)/'1. Balance General'!B23)*100</f>
        <v/>
      </c>
      <c r="C23" s="14">
        <f>(('1. Balance General'!D23-'1. Balance General'!C23)/'1. Balance General'!C23)*100</f>
        <v/>
      </c>
      <c r="D23" s="14">
        <f>(('1. Balance General'!E23-'1. Balance General'!D23)/'1. Balance General'!D23)*100</f>
        <v/>
      </c>
      <c r="E23" s="14">
        <f>(('1. Balance General'!F23-'1. Balance General'!E23)/'1. Balance General'!E23)*100</f>
        <v/>
      </c>
      <c r="F23" s="14">
        <f>(('1. Balance General'!G23-'1. Balance General'!F23)/'1. Balance General'!F23)*100</f>
        <v/>
      </c>
    </row>
    <row r="24">
      <c r="A24" s="7" t="inlineStr">
        <is>
          <t>Efectivo y equivalentes de efectivo</t>
        </is>
      </c>
      <c r="B24" s="14">
        <f>(('1. Balance General'!C24-'1. Balance General'!B24)/'1. Balance General'!B24)*100</f>
        <v/>
      </c>
      <c r="C24" s="14">
        <f>(('1. Balance General'!D24-'1. Balance General'!C24)/'1. Balance General'!C24)*100</f>
        <v/>
      </c>
      <c r="D24" s="14">
        <f>(('1. Balance General'!E24-'1. Balance General'!D24)/'1. Balance General'!D24)*100</f>
        <v/>
      </c>
      <c r="E24" s="14">
        <f>(('1. Balance General'!F24-'1. Balance General'!E24)/'1. Balance General'!E24)*100</f>
        <v/>
      </c>
      <c r="F24" s="14">
        <f>(('1. Balance General'!G24-'1. Balance General'!F24)/'1. Balance General'!F24)*100</f>
        <v/>
      </c>
    </row>
    <row r="25">
      <c r="A25" s="12" t="inlineStr">
        <is>
          <t>Total Activos Corrientes</t>
        </is>
      </c>
      <c r="B25" s="13">
        <f>(('1. Balance General'!C25-'1. Balance General'!B25)/'1. Balance General'!B25)*100</f>
        <v/>
      </c>
      <c r="C25" s="13">
        <f>(('1. Balance General'!D25-'1. Balance General'!C25)/'1. Balance General'!C25)*100</f>
        <v/>
      </c>
      <c r="D25" s="13">
        <f>(('1. Balance General'!E25-'1. Balance General'!D25)/'1. Balance General'!D25)*100</f>
        <v/>
      </c>
      <c r="E25" s="13">
        <f>(('1. Balance General'!F25-'1. Balance General'!E25)/'1. Balance General'!E25)*100</f>
        <v/>
      </c>
      <c r="F25" s="13">
        <f>(('1. Balance General'!G25-'1. Balance General'!F25)/'1. Balance General'!F25)*100</f>
        <v/>
      </c>
    </row>
    <row r="26">
      <c r="A26" s="7" t="n"/>
      <c r="B26" s="14" t="n"/>
      <c r="C26" s="14" t="n"/>
      <c r="D26" s="14" t="n"/>
      <c r="E26" s="14" t="n"/>
      <c r="F26" s="14" t="n"/>
    </row>
    <row r="27">
      <c r="A27" s="12" t="inlineStr">
        <is>
          <t>TOTAL ACTIVOS</t>
        </is>
      </c>
      <c r="B27" s="13">
        <f>(('1. Balance General'!C27-'1. Balance General'!B27)/'1. Balance General'!B27)*100</f>
        <v/>
      </c>
      <c r="C27" s="13">
        <f>(('1. Balance General'!D27-'1. Balance General'!C27)/'1. Balance General'!C27)*100</f>
        <v/>
      </c>
      <c r="D27" s="13">
        <f>(('1. Balance General'!E27-'1. Balance General'!D27)/'1. Balance General'!D27)*100</f>
        <v/>
      </c>
      <c r="E27" s="13">
        <f>(('1. Balance General'!F27-'1. Balance General'!E27)/'1. Balance General'!E27)*100</f>
        <v/>
      </c>
      <c r="F27" s="13">
        <f>(('1. Balance General'!G27-'1. Balance General'!F27)/'1. Balance General'!F27)*100</f>
        <v/>
      </c>
    </row>
    <row r="28">
      <c r="A28" s="7" t="n"/>
      <c r="B28" s="14" t="n"/>
      <c r="C28" s="14" t="n"/>
      <c r="D28" s="14" t="n"/>
      <c r="E28" s="14" t="n"/>
      <c r="F28" s="14" t="n"/>
    </row>
    <row r="29">
      <c r="A29" s="12" t="inlineStr">
        <is>
          <t>PATRIMONIO</t>
        </is>
      </c>
      <c r="B29" s="13" t="n"/>
      <c r="C29" s="13" t="n"/>
      <c r="D29" s="13" t="n"/>
      <c r="E29" s="13" t="n"/>
      <c r="F29" s="13" t="n"/>
    </row>
    <row r="30">
      <c r="A30" s="7" t="inlineStr">
        <is>
          <t>Capital</t>
        </is>
      </c>
      <c r="B30" s="14">
        <f>(('1. Balance General'!C30-'1. Balance General'!B30)/'1. Balance General'!B30)*100</f>
        <v/>
      </c>
      <c r="C30" s="14">
        <f>(('1. Balance General'!D30-'1. Balance General'!C30)/'1. Balance General'!C30)*100</f>
        <v/>
      </c>
      <c r="D30" s="14">
        <f>(('1. Balance General'!E30-'1. Balance General'!D30)/'1. Balance General'!D30)*100</f>
        <v/>
      </c>
      <c r="E30" s="14">
        <f>(('1. Balance General'!F30-'1. Balance General'!E30)/'1. Balance General'!E30)*100</f>
        <v/>
      </c>
      <c r="F30" s="14">
        <f>(('1. Balance General'!G30-'1. Balance General'!F30)/'1. Balance General'!F30)*100</f>
        <v/>
      </c>
    </row>
    <row r="31">
      <c r="A31" s="7" t="inlineStr">
        <is>
          <t>Reservas</t>
        </is>
      </c>
      <c r="B31" s="14">
        <f>(('1. Balance General'!C31-'1. Balance General'!B31)/'1. Balance General'!B31)*100</f>
        <v/>
      </c>
      <c r="C31" s="14">
        <f>(('1. Balance General'!D31-'1. Balance General'!C31)/'1. Balance General'!C31)*100</f>
        <v/>
      </c>
      <c r="D31" s="14">
        <f>(('1. Balance General'!E31-'1. Balance General'!D31)/'1. Balance General'!D31)*100</f>
        <v/>
      </c>
      <c r="E31" s="14">
        <f>(('1. Balance General'!F31-'1. Balance General'!E31)/'1. Balance General'!E31)*100</f>
        <v/>
      </c>
      <c r="F31" s="14">
        <f>(('1. Balance General'!G31-'1. Balance General'!F31)/'1. Balance General'!F31)*100</f>
        <v/>
      </c>
    </row>
    <row r="32">
      <c r="A32" s="7" t="inlineStr">
        <is>
          <t>Superávit de capital</t>
        </is>
      </c>
      <c r="B32" s="14">
        <f>(('1. Balance General'!C32-'1. Balance General'!B32)/'1. Balance General'!B32)*100</f>
        <v/>
      </c>
      <c r="C32" s="14">
        <f>(('1. Balance General'!D32-'1. Balance General'!C32)/'1. Balance General'!C32)*100</f>
        <v/>
      </c>
      <c r="D32" s="14">
        <f>(('1. Balance General'!E32-'1. Balance General'!D32)/'1. Balance General'!D32)*100</f>
        <v/>
      </c>
      <c r="E32" s="14">
        <f>(('1. Balance General'!F32-'1. Balance General'!E32)/'1. Balance General'!E32)*100</f>
        <v/>
      </c>
      <c r="F32" s="14">
        <f>(('1. Balance General'!G32-'1. Balance General'!F32)/'1. Balance General'!F32)*100</f>
        <v/>
      </c>
    </row>
    <row r="33">
      <c r="A33" s="7" t="inlineStr">
        <is>
          <t>Ganancias retenidas</t>
        </is>
      </c>
      <c r="B33" s="14">
        <f>(('1. Balance General'!C33-'1. Balance General'!B33)/'1. Balance General'!B33)*100</f>
        <v/>
      </c>
      <c r="C33" s="14">
        <f>(('1. Balance General'!D33-'1. Balance General'!C33)/'1. Balance General'!C33)*100</f>
        <v/>
      </c>
      <c r="D33" s="14">
        <f>(('1. Balance General'!E33-'1. Balance General'!D33)/'1. Balance General'!D33)*100</f>
        <v/>
      </c>
      <c r="E33" s="14">
        <f>(('1. Balance General'!F33-'1. Balance General'!E33)/'1. Balance General'!E33)*100</f>
        <v/>
      </c>
      <c r="F33" s="14">
        <f>(('1. Balance General'!G33-'1. Balance General'!F33)/'1. Balance General'!F33)*100</f>
        <v/>
      </c>
    </row>
    <row r="34">
      <c r="A34" s="7" t="inlineStr">
        <is>
          <t>Otro resultado integral</t>
        </is>
      </c>
      <c r="B34" s="14">
        <f>(('1. Balance General'!C34-'1. Balance General'!B34)/'1. Balance General'!B34)*100</f>
        <v/>
      </c>
      <c r="C34" s="14">
        <f>(('1. Balance General'!D34-'1. Balance General'!C34)/'1. Balance General'!C34)*100</f>
        <v/>
      </c>
      <c r="D34" s="14">
        <f>(('1. Balance General'!E34-'1. Balance General'!D34)/'1. Balance General'!D34)*100</f>
        <v/>
      </c>
      <c r="E34" s="14">
        <f>(('1. Balance General'!F34-'1. Balance General'!E34)/'1. Balance General'!E34)*100</f>
        <v/>
      </c>
      <c r="F34" s="14">
        <f>(('1. Balance General'!G34-'1. Balance General'!F34)/'1. Balance General'!F34)*100</f>
        <v/>
      </c>
    </row>
    <row r="35">
      <c r="A35" s="12" t="inlineStr">
        <is>
          <t>Resultado integral total periodo (Utilidad Neta)</t>
        </is>
      </c>
      <c r="B35" s="13">
        <f>(('1. Balance General'!C35-'1. Balance General'!B35)/'1. Balance General'!B35)*100</f>
        <v/>
      </c>
      <c r="C35" s="13">
        <f>(('1. Balance General'!D35-'1. Balance General'!C35)/'1. Balance General'!C35)*100</f>
        <v/>
      </c>
      <c r="D35" s="13">
        <f>(('1. Balance General'!E35-'1. Balance General'!D35)/'1. Balance General'!D35)*100</f>
        <v/>
      </c>
      <c r="E35" s="13">
        <f>(('1. Balance General'!F35-'1. Balance General'!E35)/'1. Balance General'!E35)*100</f>
        <v/>
      </c>
      <c r="F35" s="13">
        <f>(('1. Balance General'!G35-'1. Balance General'!F35)/'1. Balance General'!F35)*100</f>
        <v/>
      </c>
    </row>
    <row r="36">
      <c r="A36" s="12" t="inlineStr">
        <is>
          <t>Total Patrimonio de los Accionistas</t>
        </is>
      </c>
      <c r="B36" s="13">
        <f>(('1. Balance General'!C36-'1. Balance General'!B36)/'1. Balance General'!B36)*100</f>
        <v/>
      </c>
      <c r="C36" s="13">
        <f>(('1. Balance General'!D36-'1. Balance General'!C36)/'1. Balance General'!C36)*100</f>
        <v/>
      </c>
      <c r="D36" s="13">
        <f>(('1. Balance General'!E36-'1. Balance General'!D36)/'1. Balance General'!D36)*100</f>
        <v/>
      </c>
      <c r="E36" s="13">
        <f>(('1. Balance General'!F36-'1. Balance General'!E36)/'1. Balance General'!E36)*100</f>
        <v/>
      </c>
      <c r="F36" s="13">
        <f>(('1. Balance General'!G36-'1. Balance General'!F36)/'1. Balance General'!F36)*100</f>
        <v/>
      </c>
    </row>
    <row r="37">
      <c r="A37" s="7" t="n"/>
      <c r="B37" s="14" t="n"/>
      <c r="C37" s="14" t="n"/>
      <c r="D37" s="14" t="n"/>
      <c r="E37" s="14" t="n"/>
      <c r="F37" s="14" t="n"/>
    </row>
    <row r="38">
      <c r="A38" s="12" t="inlineStr">
        <is>
          <t>PASIVOS NO CORRIENTES</t>
        </is>
      </c>
      <c r="B38" s="13" t="n"/>
      <c r="C38" s="13" t="n"/>
      <c r="D38" s="13" t="n"/>
      <c r="E38" s="13" t="n"/>
      <c r="F38" s="13" t="n"/>
    </row>
    <row r="39">
      <c r="A39" s="7" t="inlineStr">
        <is>
          <t>Operaciones de financiamiento</t>
        </is>
      </c>
      <c r="B39" s="14">
        <f>(('1. Balance General'!C39-'1. Balance General'!B39)/'1. Balance General'!B39)*100</f>
        <v/>
      </c>
      <c r="C39" s="14">
        <f>(('1. Balance General'!D39-'1. Balance General'!C39)/'1. Balance General'!C39)*100</f>
        <v/>
      </c>
      <c r="D39" s="14">
        <f>(('1. Balance General'!E39-'1. Balance General'!D39)/'1. Balance General'!D39)*100</f>
        <v/>
      </c>
      <c r="E39" s="14">
        <f>(('1. Balance General'!F39-'1. Balance General'!E39)/'1. Balance General'!E39)*100</f>
        <v/>
      </c>
      <c r="F39" s="14">
        <f>(('1. Balance General'!G39-'1. Balance General'!F39)/'1. Balance General'!F39)*100</f>
        <v/>
      </c>
    </row>
    <row r="40">
      <c r="A40" s="7" t="inlineStr">
        <is>
          <t>Obligaciones con vinculados</t>
        </is>
      </c>
      <c r="B40" s="14">
        <f>(('1. Balance General'!C40-'1. Balance General'!B40)/'1. Balance General'!B40)*100</f>
        <v/>
      </c>
      <c r="C40" s="14">
        <f>(('1. Balance General'!D40-'1. Balance General'!C40)/'1. Balance General'!C40)*100</f>
        <v/>
      </c>
      <c r="D40" s="14">
        <f>(('1. Balance General'!E40-'1. Balance General'!D40)/'1. Balance General'!D40)*100</f>
        <v/>
      </c>
      <c r="E40" s="14">
        <f>(('1. Balance General'!F40-'1. Balance General'!E40)/'1. Balance General'!E40)*100</f>
        <v/>
      </c>
      <c r="F40" s="14">
        <f>(('1. Balance General'!G40-'1. Balance General'!F40)/'1. Balance General'!F40)*100</f>
        <v/>
      </c>
    </row>
    <row r="41">
      <c r="A41" s="7" t="inlineStr">
        <is>
          <t>Operaciones con derivados</t>
        </is>
      </c>
      <c r="B41" s="14">
        <f>(('1. Balance General'!C41-'1. Balance General'!B41)/'1. Balance General'!B41)*100</f>
        <v/>
      </c>
      <c r="C41" s="14">
        <f>(('1. Balance General'!D41-'1. Balance General'!C41)/'1. Balance General'!C41)*100</f>
        <v/>
      </c>
      <c r="D41" s="14">
        <f>(('1. Balance General'!E41-'1. Balance General'!D41)/'1. Balance General'!D41)*100</f>
        <v/>
      </c>
      <c r="E41" s="14">
        <f>(('1. Balance General'!F41-'1. Balance General'!E41)/'1. Balance General'!E41)*100</f>
        <v/>
      </c>
      <c r="F41" s="14">
        <f>(('1. Balance General'!G41-'1. Balance General'!F41)/'1. Balance General'!F41)*100</f>
        <v/>
      </c>
    </row>
    <row r="42">
      <c r="A42" s="7" t="inlineStr">
        <is>
          <t>Impuestos, contribuciones y tasas</t>
        </is>
      </c>
      <c r="B42" s="14">
        <f>(('1. Balance General'!C42-'1. Balance General'!B42)/'1. Balance General'!B42)*100</f>
        <v/>
      </c>
      <c r="C42" s="14">
        <f>(('1. Balance General'!D42-'1. Balance General'!C42)/'1. Balance General'!C42)*100</f>
        <v/>
      </c>
      <c r="D42" s="14">
        <f>(('1. Balance General'!E42-'1. Balance General'!D42)/'1. Balance General'!D42)*100</f>
        <v/>
      </c>
      <c r="E42" s="14">
        <f>(('1. Balance General'!F42-'1. Balance General'!E42)/'1. Balance General'!E42)*100</f>
        <v/>
      </c>
      <c r="F42" s="14">
        <f>(('1. Balance General'!G42-'1. Balance General'!F42)/'1. Balance General'!F42)*100</f>
        <v/>
      </c>
    </row>
    <row r="43">
      <c r="A43" s="7" t="inlineStr">
        <is>
          <t>Beneficios a empleados</t>
        </is>
      </c>
      <c r="B43" s="14">
        <f>(('1. Balance General'!C43-'1. Balance General'!B43)/'1. Balance General'!B43)*100</f>
        <v/>
      </c>
      <c r="C43" s="14">
        <f>(('1. Balance General'!D43-'1. Balance General'!C43)/'1. Balance General'!C43)*100</f>
        <v/>
      </c>
      <c r="D43" s="14">
        <f>(('1. Balance General'!E43-'1. Balance General'!D43)/'1. Balance General'!D43)*100</f>
        <v/>
      </c>
      <c r="E43" s="14">
        <f>(('1. Balance General'!F43-'1. Balance General'!E43)/'1. Balance General'!E43)*100</f>
        <v/>
      </c>
      <c r="F43" s="14">
        <f>(('1. Balance General'!G43-'1. Balance General'!F43)/'1. Balance General'!F43)*100</f>
        <v/>
      </c>
    </row>
    <row r="44">
      <c r="A44" s="7" t="inlineStr">
        <is>
          <t>Provisiones</t>
        </is>
      </c>
      <c r="B44" s="14">
        <f>(('1. Balance General'!C44-'1. Balance General'!B44)/'1. Balance General'!B44)*100</f>
        <v/>
      </c>
      <c r="C44" s="14">
        <f>(('1. Balance General'!D44-'1. Balance General'!C44)/'1. Balance General'!C44)*100</f>
        <v/>
      </c>
      <c r="D44" s="14">
        <f>(('1. Balance General'!E44-'1. Balance General'!D44)/'1. Balance General'!D44)*100</f>
        <v/>
      </c>
      <c r="E44" s="14">
        <f>(('1. Balance General'!F44-'1. Balance General'!E44)/'1. Balance General'!E44)*100</f>
        <v/>
      </c>
      <c r="F44" s="14">
        <f>(('1. Balance General'!G44-'1. Balance General'!F44)/'1. Balance General'!F44)*100</f>
        <v/>
      </c>
    </row>
    <row r="45">
      <c r="A45" s="7" t="inlineStr">
        <is>
          <t>Cuentas por pagar</t>
        </is>
      </c>
      <c r="B45" s="14">
        <f>(('1. Balance General'!C45-'1. Balance General'!B45)/'1. Balance General'!B45)*100</f>
        <v/>
      </c>
      <c r="C45" s="14">
        <f>(('1. Balance General'!D45-'1. Balance General'!C45)/'1. Balance General'!C45)*100</f>
        <v/>
      </c>
      <c r="D45" s="14">
        <f>(('1. Balance General'!E45-'1. Balance General'!D45)/'1. Balance General'!D45)*100</f>
        <v/>
      </c>
      <c r="E45" s="14">
        <f>(('1. Balance General'!F45-'1. Balance General'!E45)/'1. Balance General'!E45)*100</f>
        <v/>
      </c>
      <c r="F45" s="14">
        <f>(('1. Balance General'!G45-'1. Balance General'!F45)/'1. Balance General'!F45)*100</f>
        <v/>
      </c>
    </row>
    <row r="46">
      <c r="A46" s="12" t="inlineStr">
        <is>
          <t>Total Pasivos No Corrientes</t>
        </is>
      </c>
      <c r="B46" s="13">
        <f>(('1. Balance General'!C46-'1. Balance General'!B46)/'1. Balance General'!B46)*100</f>
        <v/>
      </c>
      <c r="C46" s="13">
        <f>(('1. Balance General'!D46-'1. Balance General'!C46)/'1. Balance General'!C46)*100</f>
        <v/>
      </c>
      <c r="D46" s="13">
        <f>(('1. Balance General'!E46-'1. Balance General'!D46)/'1. Balance General'!D46)*100</f>
        <v/>
      </c>
      <c r="E46" s="13">
        <f>(('1. Balance General'!F46-'1. Balance General'!E46)/'1. Balance General'!E46)*100</f>
        <v/>
      </c>
      <c r="F46" s="13">
        <f>(('1. Balance General'!G46-'1. Balance General'!F46)/'1. Balance General'!F46)*100</f>
        <v/>
      </c>
    </row>
    <row r="47">
      <c r="A47" s="7" t="n"/>
      <c r="B47" s="14" t="n"/>
      <c r="C47" s="14" t="n"/>
      <c r="D47" s="14" t="n"/>
      <c r="E47" s="14" t="n"/>
      <c r="F47" s="14" t="n"/>
    </row>
    <row r="48">
      <c r="A48" s="12" t="inlineStr">
        <is>
          <t>PASIVOS CORRIENTES</t>
        </is>
      </c>
      <c r="B48" s="13" t="n"/>
      <c r="C48" s="13" t="n"/>
      <c r="D48" s="13" t="n"/>
      <c r="E48" s="13" t="n"/>
      <c r="F48" s="13" t="n"/>
    </row>
    <row r="49">
      <c r="A49" s="7" t="inlineStr">
        <is>
          <t>Operaciones de financiamiento</t>
        </is>
      </c>
      <c r="B49" s="14">
        <f>(('1. Balance General'!C49-'1. Balance General'!B49)/'1. Balance General'!B49)*100</f>
        <v/>
      </c>
      <c r="C49" s="14">
        <f>(('1. Balance General'!D49-'1. Balance General'!C49)/'1. Balance General'!C49)*100</f>
        <v/>
      </c>
      <c r="D49" s="14">
        <f>(('1. Balance General'!E49-'1. Balance General'!D49)/'1. Balance General'!D49)*100</f>
        <v/>
      </c>
      <c r="E49" s="14">
        <f>(('1. Balance General'!F49-'1. Balance General'!E49)/'1. Balance General'!E49)*100</f>
        <v/>
      </c>
      <c r="F49" s="14">
        <f>(('1. Balance General'!G49-'1. Balance General'!F49)/'1. Balance General'!F49)*100</f>
        <v/>
      </c>
    </row>
    <row r="50">
      <c r="A50" s="7" t="inlineStr">
        <is>
          <t>Cuentas por pagar</t>
        </is>
      </c>
      <c r="B50" s="14">
        <f>(('1. Balance General'!C50-'1. Balance General'!B50)/'1. Balance General'!B50)*100</f>
        <v/>
      </c>
      <c r="C50" s="14">
        <f>(('1. Balance General'!D50-'1. Balance General'!C50)/'1. Balance General'!C50)*100</f>
        <v/>
      </c>
      <c r="D50" s="14">
        <f>(('1. Balance General'!E50-'1. Balance General'!D50)/'1. Balance General'!D50)*100</f>
        <v/>
      </c>
      <c r="E50" s="14">
        <f>(('1. Balance General'!F50-'1. Balance General'!E50)/'1. Balance General'!E50)*100</f>
        <v/>
      </c>
      <c r="F50" s="14">
        <f>(('1. Balance General'!G50-'1. Balance General'!F50)/'1. Balance General'!F50)*100</f>
        <v/>
      </c>
    </row>
    <row r="51">
      <c r="A51" s="7" t="inlineStr">
        <is>
          <t>Obligaciones con vinculados</t>
        </is>
      </c>
      <c r="B51" s="14">
        <f>(('1. Balance General'!C51-'1. Balance General'!B51)/'1. Balance General'!B51)*100</f>
        <v/>
      </c>
      <c r="C51" s="14">
        <f>(('1. Balance General'!D51-'1. Balance General'!C51)/'1. Balance General'!C51)*100</f>
        <v/>
      </c>
      <c r="D51" s="14">
        <f>(('1. Balance General'!E51-'1. Balance General'!D51)/'1. Balance General'!D51)*100</f>
        <v/>
      </c>
      <c r="E51" s="14">
        <f>(('1. Balance General'!F51-'1. Balance General'!E51)/'1. Balance General'!E51)*100</f>
        <v/>
      </c>
      <c r="F51" s="14">
        <f>(('1. Balance General'!G51-'1. Balance General'!F51)/'1. Balance General'!F51)*100</f>
        <v/>
      </c>
    </row>
    <row r="52">
      <c r="A52" s="7" t="inlineStr">
        <is>
          <t>Operaciones con derivados</t>
        </is>
      </c>
      <c r="B52" s="14">
        <f>(('1. Balance General'!C52-'1. Balance General'!B52)/'1. Balance General'!B52)*100</f>
        <v/>
      </c>
      <c r="C52" s="14">
        <f>(('1. Balance General'!D52-'1. Balance General'!C52)/'1. Balance General'!C52)*100</f>
        <v/>
      </c>
      <c r="D52" s="14">
        <f>(('1. Balance General'!E52-'1. Balance General'!D52)/'1. Balance General'!D52)*100</f>
        <v/>
      </c>
      <c r="E52" s="14">
        <f>(('1. Balance General'!F52-'1. Balance General'!E52)/'1. Balance General'!E52)*100</f>
        <v/>
      </c>
      <c r="F52" s="14">
        <f>(('1. Balance General'!G52-'1. Balance General'!F52)/'1. Balance General'!F52)*100</f>
        <v/>
      </c>
    </row>
    <row r="53">
      <c r="A53" s="7" t="inlineStr">
        <is>
          <t>Impuestos, contribuciones y tasas</t>
        </is>
      </c>
      <c r="B53" s="14">
        <f>(('1. Balance General'!C53-'1. Balance General'!B53)/'1. Balance General'!B53)*100</f>
        <v/>
      </c>
      <c r="C53" s="14">
        <f>(('1. Balance General'!D53-'1. Balance General'!C53)/'1. Balance General'!C53)*100</f>
        <v/>
      </c>
      <c r="D53" s="14">
        <f>(('1. Balance General'!E53-'1. Balance General'!D53)/'1. Balance General'!D53)*100</f>
        <v/>
      </c>
      <c r="E53" s="14">
        <f>(('1. Balance General'!F53-'1. Balance General'!E53)/'1. Balance General'!E53)*100</f>
        <v/>
      </c>
      <c r="F53" s="14">
        <f>(('1. Balance General'!G53-'1. Balance General'!F53)/'1. Balance General'!F53)*100</f>
        <v/>
      </c>
    </row>
    <row r="54">
      <c r="A54" s="7" t="inlineStr">
        <is>
          <t>Beneficios a empleados</t>
        </is>
      </c>
      <c r="B54" s="14">
        <f>(('1. Balance General'!C54-'1. Balance General'!B54)/'1. Balance General'!B54)*100</f>
        <v/>
      </c>
      <c r="C54" s="14">
        <f>(('1. Balance General'!D54-'1. Balance General'!C54)/'1. Balance General'!C54)*100</f>
        <v/>
      </c>
      <c r="D54" s="14">
        <f>(('1. Balance General'!E54-'1. Balance General'!D54)/'1. Balance General'!D54)*100</f>
        <v/>
      </c>
      <c r="E54" s="14">
        <f>(('1. Balance General'!F54-'1. Balance General'!E54)/'1. Balance General'!E54)*100</f>
        <v/>
      </c>
      <c r="F54" s="14">
        <f>(('1. Balance General'!G54-'1. Balance General'!F54)/'1. Balance General'!F54)*100</f>
        <v/>
      </c>
    </row>
    <row r="55">
      <c r="A55" s="7" t="inlineStr">
        <is>
          <t>Provisiones</t>
        </is>
      </c>
      <c r="B55" s="14">
        <f>(('1. Balance General'!C55-'1. Balance General'!B55)/'1. Balance General'!B55)*100</f>
        <v/>
      </c>
      <c r="C55" s="14">
        <f>(('1. Balance General'!D55-'1. Balance General'!C55)/'1. Balance General'!C55)*100</f>
        <v/>
      </c>
      <c r="D55" s="14">
        <f>(('1. Balance General'!E55-'1. Balance General'!D55)/'1. Balance General'!D55)*100</f>
        <v/>
      </c>
      <c r="E55" s="14">
        <f>(('1. Balance General'!F55-'1. Balance General'!E55)/'1. Balance General'!E55)*100</f>
        <v/>
      </c>
      <c r="F55" s="14">
        <f>(('1. Balance General'!G55-'1. Balance General'!F55)/'1. Balance General'!F55)*100</f>
        <v/>
      </c>
    </row>
    <row r="56">
      <c r="A56" s="12" t="inlineStr">
        <is>
          <t>Otros pasivos</t>
        </is>
      </c>
      <c r="B56" s="13">
        <f>(('1. Balance General'!C56-'1. Balance General'!B56)/'1. Balance General'!B56)*100</f>
        <v/>
      </c>
      <c r="C56" s="13">
        <f>(('1. Balance General'!D56-'1. Balance General'!C56)/'1. Balance General'!C56)*100</f>
        <v/>
      </c>
      <c r="D56" s="13">
        <f>(('1. Balance General'!E56-'1. Balance General'!D56)/'1. Balance General'!D56)*100</f>
        <v/>
      </c>
      <c r="E56" s="13">
        <f>(('1. Balance General'!F56-'1. Balance General'!E56)/'1. Balance General'!E56)*100</f>
        <v/>
      </c>
      <c r="F56" s="13">
        <f>(('1. Balance General'!G56-'1. Balance General'!F56)/'1. Balance General'!F56)*100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24" sqref="A24"/>
    </sheetView>
  </sheetViews>
  <sheetFormatPr baseColWidth="10" defaultColWidth="9.140625" defaultRowHeight="15"/>
  <cols>
    <col width="50" customWidth="1" style="85" min="1" max="1"/>
    <col width="14" customWidth="1" style="85" min="2" max="7"/>
  </cols>
  <sheetData>
    <row r="1" ht="18" customHeight="1" s="85">
      <c r="A1" s="1" t="inlineStr">
        <is>
          <t>ISAGEN S.A. E.S.P.</t>
        </is>
      </c>
    </row>
    <row r="2" ht="15.75" customHeight="1" s="85">
      <c r="A2" s="2" t="inlineStr">
        <is>
          <t>ANÁLISIS VERTICAL - ESTADO DE RESULTADOS</t>
        </is>
      </c>
    </row>
    <row r="3">
      <c r="A3" s="3" t="inlineStr">
        <is>
          <t>Composición porcentual respecto a Ingresos (%)</t>
        </is>
      </c>
    </row>
    <row r="5">
      <c r="A5" s="9" t="inlineStr">
        <is>
          <t>CONCEPTO</t>
        </is>
      </c>
      <c r="B5" s="9" t="inlineStr">
        <is>
          <t>2020</t>
        </is>
      </c>
      <c r="C5" s="9" t="inlineStr">
        <is>
          <t>2021</t>
        </is>
      </c>
      <c r="D5" s="9" t="inlineStr">
        <is>
          <t>2022</t>
        </is>
      </c>
      <c r="E5" s="9" t="inlineStr">
        <is>
          <t>2023</t>
        </is>
      </c>
      <c r="F5" s="9" t="inlineStr">
        <is>
          <t>2024</t>
        </is>
      </c>
      <c r="G5" s="9" t="inlineStr">
        <is>
          <t>2025 (9m)</t>
        </is>
      </c>
    </row>
    <row r="6">
      <c r="A6" s="7" t="inlineStr">
        <is>
          <t>Ingresos de contratos con clientes</t>
        </is>
      </c>
      <c r="B6" s="11">
        <f>('2. Estado de Resultados'!B6/'2. Estado de Resultados'!B6)*100</f>
        <v/>
      </c>
      <c r="C6" s="11">
        <f>('2. Estado de Resultados'!C6/'2. Estado de Resultados'!C6)*100</f>
        <v/>
      </c>
      <c r="D6" s="11">
        <f>('2. Estado de Resultados'!D6/'2. Estado de Resultados'!D6)*100</f>
        <v/>
      </c>
      <c r="E6" s="11">
        <f>('2. Estado de Resultados'!E6/'2. Estado de Resultados'!E6)*100</f>
        <v/>
      </c>
      <c r="F6" s="11">
        <f>('2. Estado de Resultados'!F6/'2. Estado de Resultados'!F6)*100</f>
        <v/>
      </c>
      <c r="G6" s="11">
        <f>('2. Estado de Resultados'!G6/'2. Estado de Resultados'!G6)*100</f>
        <v/>
      </c>
    </row>
    <row r="7">
      <c r="A7" s="7" t="inlineStr">
        <is>
          <t>Costo de ventas</t>
        </is>
      </c>
      <c r="B7" s="11">
        <f>('2. Estado de Resultados'!B7/'2. Estado de Resultados'!B6)*100</f>
        <v/>
      </c>
      <c r="C7" s="11">
        <f>('2. Estado de Resultados'!C7/'2. Estado de Resultados'!C6)*100</f>
        <v/>
      </c>
      <c r="D7" s="11">
        <f>('2. Estado de Resultados'!D7/'2. Estado de Resultados'!D6)*100</f>
        <v/>
      </c>
      <c r="E7" s="11">
        <f>('2. Estado de Resultados'!E7/'2. Estado de Resultados'!E6)*100</f>
        <v/>
      </c>
      <c r="F7" s="11">
        <f>('2. Estado de Resultados'!F7/'2. Estado de Resultados'!F6)*100</f>
        <v/>
      </c>
      <c r="G7" s="11">
        <f>('2. Estado de Resultados'!G7/'2. Estado de Resultados'!G6)*100</f>
        <v/>
      </c>
    </row>
    <row r="8">
      <c r="A8" s="12" t="inlineStr">
        <is>
          <t>Utilidad Bruta</t>
        </is>
      </c>
      <c r="B8" s="15">
        <f>('2. Estado de Resultados'!B8/'2. Estado de Resultados'!B6)*100</f>
        <v/>
      </c>
      <c r="C8" s="15">
        <f>('2. Estado de Resultados'!C8/'2. Estado de Resultados'!C6)*100</f>
        <v/>
      </c>
      <c r="D8" s="15">
        <f>('2. Estado de Resultados'!D8/'2. Estado de Resultados'!D6)*100</f>
        <v/>
      </c>
      <c r="E8" s="15">
        <f>('2. Estado de Resultados'!E8/'2. Estado de Resultados'!E6)*100</f>
        <v/>
      </c>
      <c r="F8" s="15">
        <f>('2. Estado de Resultados'!F8/'2. Estado de Resultados'!F6)*100</f>
        <v/>
      </c>
      <c r="G8" s="15">
        <f>('2. Estado de Resultados'!G8/'2. Estado de Resultados'!G6)*100</f>
        <v/>
      </c>
    </row>
    <row r="9">
      <c r="A9" s="7" t="inlineStr">
        <is>
          <t>Otros ingresos</t>
        </is>
      </c>
      <c r="B9" s="11">
        <f>('2. Estado de Resultados'!B9/'2. Estado de Resultados'!B6)*100</f>
        <v/>
      </c>
      <c r="C9" s="11">
        <f>('2. Estado de Resultados'!C9/'2. Estado de Resultados'!C6)*100</f>
        <v/>
      </c>
      <c r="D9" s="11">
        <f>('2. Estado de Resultados'!D9/'2. Estado de Resultados'!D6)*100</f>
        <v/>
      </c>
      <c r="E9" s="11">
        <f>('2. Estado de Resultados'!E9/'2. Estado de Resultados'!E6)*100</f>
        <v/>
      </c>
      <c r="F9" s="11">
        <f>('2. Estado de Resultados'!F9/'2. Estado de Resultados'!F6)*100</f>
        <v/>
      </c>
      <c r="G9" s="11">
        <f>('2. Estado de Resultados'!G9/'2. Estado de Resultados'!G6)*100</f>
        <v/>
      </c>
    </row>
    <row r="10">
      <c r="A10" s="7" t="inlineStr">
        <is>
          <t>Gastos de administración</t>
        </is>
      </c>
      <c r="B10" s="11">
        <f>('2. Estado de Resultados'!B10/'2. Estado de Resultados'!B6)*100</f>
        <v/>
      </c>
      <c r="C10" s="11">
        <f>('2. Estado de Resultados'!C10/'2. Estado de Resultados'!C6)*100</f>
        <v/>
      </c>
      <c r="D10" s="11">
        <f>('2. Estado de Resultados'!D10/'2. Estado de Resultados'!D6)*100</f>
        <v/>
      </c>
      <c r="E10" s="11">
        <f>('2. Estado de Resultados'!E10/'2. Estado de Resultados'!E6)*100</f>
        <v/>
      </c>
      <c r="F10" s="11">
        <f>('2. Estado de Resultados'!F10/'2. Estado de Resultados'!F6)*100</f>
        <v/>
      </c>
      <c r="G10" s="11">
        <f>('2. Estado de Resultados'!G10/'2. Estado de Resultados'!G6)*100</f>
        <v/>
      </c>
    </row>
    <row r="11">
      <c r="A11" s="7" t="inlineStr">
        <is>
          <t>Otros gastos</t>
        </is>
      </c>
      <c r="B11" s="11">
        <f>('2. Estado de Resultados'!B11/'2. Estado de Resultados'!B6)*100</f>
        <v/>
      </c>
      <c r="C11" s="11">
        <f>('2. Estado de Resultados'!C11/'2. Estado de Resultados'!C6)*100</f>
        <v/>
      </c>
      <c r="D11" s="11">
        <f>('2. Estado de Resultados'!D11/'2. Estado de Resultados'!D6)*100</f>
        <v/>
      </c>
      <c r="E11" s="11">
        <f>('2. Estado de Resultados'!E11/'2. Estado de Resultados'!E6)*100</f>
        <v/>
      </c>
      <c r="F11" s="11">
        <f>('2. Estado de Resultados'!F11/'2. Estado de Resultados'!F6)*100</f>
        <v/>
      </c>
      <c r="G11" s="11">
        <f>('2. Estado de Resultados'!G11/'2. Estado de Resultados'!G6)*100</f>
        <v/>
      </c>
    </row>
    <row r="12">
      <c r="A12" s="7" t="inlineStr">
        <is>
          <t>Ingresos financieros</t>
        </is>
      </c>
      <c r="B12" s="11">
        <f>('2. Estado de Resultados'!B12/'2. Estado de Resultados'!B6)*100</f>
        <v/>
      </c>
      <c r="C12" s="11">
        <f>('2. Estado de Resultados'!C12/'2. Estado de Resultados'!C6)*100</f>
        <v/>
      </c>
      <c r="D12" s="11">
        <f>('2. Estado de Resultados'!D12/'2. Estado de Resultados'!D6)*100</f>
        <v/>
      </c>
      <c r="E12" s="11">
        <f>('2. Estado de Resultados'!E12/'2. Estado de Resultados'!E6)*100</f>
        <v/>
      </c>
      <c r="F12" s="11">
        <f>('2. Estado de Resultados'!F12/'2. Estado de Resultados'!F6)*100</f>
        <v/>
      </c>
      <c r="G12" s="11">
        <f>('2. Estado de Resultados'!G12/'2. Estado de Resultados'!G6)*100</f>
        <v/>
      </c>
    </row>
    <row r="13">
      <c r="A13" s="7" t="inlineStr">
        <is>
          <t>Gastos financieros</t>
        </is>
      </c>
      <c r="B13" s="11">
        <f>('2. Estado de Resultados'!B13/'2. Estado de Resultados'!B6)*100</f>
        <v/>
      </c>
      <c r="C13" s="11">
        <f>('2. Estado de Resultados'!C13/'2. Estado de Resultados'!C6)*100</f>
        <v/>
      </c>
      <c r="D13" s="11">
        <f>('2. Estado de Resultados'!D13/'2. Estado de Resultados'!D6)*100</f>
        <v/>
      </c>
      <c r="E13" s="11">
        <f>('2. Estado de Resultados'!E13/'2. Estado de Resultados'!E6)*100</f>
        <v/>
      </c>
      <c r="F13" s="11">
        <f>('2. Estado de Resultados'!F13/'2. Estado de Resultados'!F6)*100</f>
        <v/>
      </c>
      <c r="G13" s="11">
        <f>('2. Estado de Resultados'!G13/'2. Estado de Resultados'!G6)*100</f>
        <v/>
      </c>
    </row>
    <row r="14">
      <c r="A14" s="7" t="inlineStr">
        <is>
          <t>Diferencia en cambio, neta</t>
        </is>
      </c>
      <c r="B14" s="11">
        <f>('2. Estado de Resultados'!B14/'2. Estado de Resultados'!B6)*100</f>
        <v/>
      </c>
      <c r="C14" s="11">
        <f>('2. Estado de Resultados'!C14/'2. Estado de Resultados'!C6)*100</f>
        <v/>
      </c>
      <c r="D14" s="11">
        <f>('2. Estado de Resultados'!D14/'2. Estado de Resultados'!D6)*100</f>
        <v/>
      </c>
      <c r="E14" s="11">
        <f>('2. Estado de Resultados'!E14/'2. Estado de Resultados'!E6)*100</f>
        <v/>
      </c>
      <c r="F14" s="11">
        <f>('2. Estado de Resultados'!F14/'2. Estado de Resultados'!F6)*100</f>
        <v/>
      </c>
      <c r="G14" s="11">
        <f>('2. Estado de Resultados'!G14/'2. Estado de Resultados'!G6)*100</f>
        <v/>
      </c>
    </row>
    <row r="15">
      <c r="A15" s="12" t="inlineStr">
        <is>
          <t>Utilidad Antes de Impuestos</t>
        </is>
      </c>
      <c r="B15" s="15">
        <f>('2. Estado de Resultados'!B15/'2. Estado de Resultados'!B6)*100</f>
        <v/>
      </c>
      <c r="C15" s="15">
        <f>('2. Estado de Resultados'!C15/'2. Estado de Resultados'!C6)*100</f>
        <v/>
      </c>
      <c r="D15" s="15">
        <f>('2. Estado de Resultados'!D15/'2. Estado de Resultados'!D6)*100</f>
        <v/>
      </c>
      <c r="E15" s="15">
        <f>('2. Estado de Resultados'!E15/'2. Estado de Resultados'!E6)*100</f>
        <v/>
      </c>
      <c r="F15" s="15">
        <f>('2. Estado de Resultados'!F15/'2. Estado de Resultados'!F6)*100</f>
        <v/>
      </c>
      <c r="G15" s="15">
        <f>('2. Estado de Resultados'!G15/'2. Estado de Resultados'!G6)*100</f>
        <v/>
      </c>
    </row>
    <row r="16">
      <c r="A16" s="12" t="inlineStr">
        <is>
          <t>EBIT</t>
        </is>
      </c>
      <c r="B16" s="15">
        <f>('2. Estado de Resultados'!B16/'2. Estado de Resultados'!B6)*100</f>
        <v/>
      </c>
      <c r="C16" s="15">
        <f>('2. Estado de Resultados'!C16/'2. Estado de Resultados'!C6)*100</f>
        <v/>
      </c>
      <c r="D16" s="15">
        <f>('2. Estado de Resultados'!D16/'2. Estado de Resultados'!D6)*100</f>
        <v/>
      </c>
      <c r="E16" s="15">
        <f>('2. Estado de Resultados'!E16/'2. Estado de Resultados'!E6)*100</f>
        <v/>
      </c>
      <c r="F16" s="15">
        <f>('2. Estado de Resultados'!F16/'2. Estado de Resultados'!F6)*100</f>
        <v/>
      </c>
      <c r="G16" s="15">
        <f>('2. Estado de Resultados'!G16/'2. Estado de Resultados'!G6)*100</f>
        <v/>
      </c>
    </row>
    <row r="17">
      <c r="A17" s="7" t="inlineStr">
        <is>
          <t>Depreciación</t>
        </is>
      </c>
      <c r="B17" s="11">
        <f>('2. Estado de Resultados'!B17/'2. Estado de Resultados'!B6)*100</f>
        <v/>
      </c>
      <c r="C17" s="11">
        <f>('2. Estado de Resultados'!C17/'2. Estado de Resultados'!C6)*100</f>
        <v/>
      </c>
      <c r="D17" s="11">
        <f>('2. Estado de Resultados'!D17/'2. Estado de Resultados'!D6)*100</f>
        <v/>
      </c>
      <c r="E17" s="11">
        <f>('2. Estado de Resultados'!E17/'2. Estado de Resultados'!E6)*100</f>
        <v/>
      </c>
      <c r="F17" s="11">
        <f>('2. Estado de Resultados'!F17/'2. Estado de Resultados'!F6)*100</f>
        <v/>
      </c>
      <c r="G17" s="11">
        <f>('2. Estado de Resultados'!G17/'2. Estado de Resultados'!G6)*100</f>
        <v/>
      </c>
    </row>
    <row r="18">
      <c r="A18" s="7" t="inlineStr">
        <is>
          <t>Amortización</t>
        </is>
      </c>
      <c r="B18" s="11">
        <f>('2. Estado de Resultados'!B18/'2. Estado de Resultados'!B6)*100</f>
        <v/>
      </c>
      <c r="C18" s="11">
        <f>('2. Estado de Resultados'!C18/'2. Estado de Resultados'!C6)*100</f>
        <v/>
      </c>
      <c r="D18" s="11">
        <f>('2. Estado de Resultados'!D18/'2. Estado de Resultados'!D6)*100</f>
        <v/>
      </c>
      <c r="E18" s="11">
        <f>('2. Estado de Resultados'!E18/'2. Estado de Resultados'!E6)*100</f>
        <v/>
      </c>
      <c r="F18" s="11">
        <f>('2. Estado de Resultados'!F18/'2. Estado de Resultados'!F6)*100</f>
        <v/>
      </c>
      <c r="G18" s="11">
        <f>('2. Estado de Resultados'!G18/'2. Estado de Resultados'!G6)*100</f>
        <v/>
      </c>
    </row>
    <row r="19">
      <c r="A19" s="12" t="inlineStr">
        <is>
          <t>EBITDA</t>
        </is>
      </c>
      <c r="B19" s="15">
        <f>('2. Estado de Resultados'!B19/'2. Estado de Resultados'!B6)*100</f>
        <v/>
      </c>
      <c r="C19" s="15">
        <f>('2. Estado de Resultados'!C19/'2. Estado de Resultados'!C6)*100</f>
        <v/>
      </c>
      <c r="D19" s="15">
        <f>('2. Estado de Resultados'!D19/'2. Estado de Resultados'!D6)*100</f>
        <v/>
      </c>
      <c r="E19" s="15">
        <f>('2. Estado de Resultados'!E19/'2. Estado de Resultados'!E6)*100</f>
        <v/>
      </c>
      <c r="F19" s="15">
        <f>('2. Estado de Resultados'!F19/'2. Estado de Resultados'!F6)*100</f>
        <v/>
      </c>
      <c r="G19" s="15">
        <f>('2. Estado de Resultados'!G19/'2. Estado de Resultados'!G6)*100</f>
        <v/>
      </c>
    </row>
    <row r="20">
      <c r="A20" s="7" t="inlineStr">
        <is>
          <t>Impuesto de renta - Corriente</t>
        </is>
      </c>
      <c r="B20" s="11">
        <f>('2. Estado de Resultados'!B20/'2. Estado de Resultados'!B6)*100</f>
        <v/>
      </c>
      <c r="C20" s="11">
        <f>('2. Estado de Resultados'!C20/'2. Estado de Resultados'!C6)*100</f>
        <v/>
      </c>
      <c r="D20" s="11">
        <f>('2. Estado de Resultados'!D20/'2. Estado de Resultados'!D6)*100</f>
        <v/>
      </c>
      <c r="E20" s="11">
        <f>('2. Estado de Resultados'!E20/'2. Estado de Resultados'!E6)*100</f>
        <v/>
      </c>
      <c r="F20" s="11">
        <f>('2. Estado de Resultados'!F20/'2. Estado de Resultados'!F6)*100</f>
        <v/>
      </c>
      <c r="G20" s="11">
        <f>('2. Estado de Resultados'!G20/'2. Estado de Resultados'!G6)*100</f>
        <v/>
      </c>
    </row>
    <row r="21">
      <c r="A21" s="7" t="inlineStr">
        <is>
          <t>Impuesto de renta - Diferido</t>
        </is>
      </c>
      <c r="B21" s="11">
        <f>('2. Estado de Resultados'!B21/'2. Estado de Resultados'!B6)*100</f>
        <v/>
      </c>
      <c r="C21" s="11">
        <f>('2. Estado de Resultados'!C21/'2. Estado de Resultados'!C6)*100</f>
        <v/>
      </c>
      <c r="D21" s="11">
        <f>('2. Estado de Resultados'!D21/'2. Estado de Resultados'!D6)*100</f>
        <v/>
      </c>
      <c r="E21" s="11">
        <f>('2. Estado de Resultados'!E21/'2. Estado de Resultados'!E6)*100</f>
        <v/>
      </c>
      <c r="F21" s="11">
        <f>('2. Estado de Resultados'!F21/'2. Estado de Resultados'!F6)*100</f>
        <v/>
      </c>
      <c r="G21" s="11">
        <f>('2. Estado de Resultados'!G21/'2. Estado de Resultados'!G6)*100</f>
        <v/>
      </c>
    </row>
    <row r="22">
      <c r="A22" s="12" t="inlineStr">
        <is>
          <t>Utilidad Neta del Periodo</t>
        </is>
      </c>
      <c r="B22" s="15">
        <f>('2. Estado de Resultados'!B22/'2. Estado de Resultados'!B6)*100</f>
        <v/>
      </c>
      <c r="C22" s="15">
        <f>('2. Estado de Resultados'!C22/'2. Estado de Resultados'!C6)*100</f>
        <v/>
      </c>
      <c r="D22" s="15">
        <f>('2. Estado de Resultados'!D22/'2. Estado de Resultados'!D6)*100</f>
        <v/>
      </c>
      <c r="E22" s="15">
        <f>('2. Estado de Resultados'!E22/'2. Estado de Resultados'!E6)*100</f>
        <v/>
      </c>
      <c r="F22" s="15">
        <f>('2. Estado de Resultados'!F22/'2. Estado de Resultados'!F6)*100</f>
        <v/>
      </c>
      <c r="G22" s="15">
        <f>('2. Estado de Resultados'!G22/'2. Estado de Resultados'!G6)*100</f>
        <v/>
      </c>
    </row>
    <row r="23">
      <c r="A23" s="7" t="n"/>
      <c r="B23" s="11" t="n"/>
      <c r="C23" s="11" t="n"/>
      <c r="D23" s="11" t="n"/>
      <c r="E23" s="11" t="n"/>
      <c r="F23" s="11" t="n"/>
      <c r="G23" s="11" t="n"/>
    </row>
    <row r="24">
      <c r="A24" s="7" t="n"/>
      <c r="B24" s="11" t="n"/>
      <c r="C24" s="11" t="n"/>
      <c r="D24" s="11" t="n"/>
      <c r="E24" s="11" t="n"/>
      <c r="F24" s="11" t="n"/>
      <c r="G24" s="11" t="n"/>
    </row>
    <row r="25">
      <c r="A25" s="12" t="inlineStr">
        <is>
          <t>OTRO RESULTADO INTEGRAL (ORI)</t>
        </is>
      </c>
      <c r="B25" s="15" t="n"/>
      <c r="C25" s="15" t="n"/>
      <c r="D25" s="15" t="n"/>
      <c r="E25" s="15" t="n"/>
      <c r="F25" s="15" t="n"/>
      <c r="G25" s="15" t="n"/>
    </row>
    <row r="26">
      <c r="A26" s="7" t="inlineStr">
        <is>
          <t>Ganancias actuariales (Beneficios definidos)</t>
        </is>
      </c>
      <c r="B26" s="11">
        <f>('2. Estado de Resultados'!B26/'2. Estado de Resultados'!B6)*100</f>
        <v/>
      </c>
      <c r="C26" s="11">
        <f>('2. Estado de Resultados'!C26/'2. Estado de Resultados'!C6)*100</f>
        <v/>
      </c>
      <c r="D26" s="11">
        <f>('2. Estado de Resultados'!D26/'2. Estado de Resultados'!D6)*100</f>
        <v/>
      </c>
      <c r="E26" s="11">
        <f>('2. Estado de Resultados'!E26/'2. Estado de Resultados'!E6)*100</f>
        <v/>
      </c>
      <c r="F26" s="11">
        <f>('2. Estado de Resultados'!F26/'2. Estado de Resultados'!F6)*100</f>
        <v/>
      </c>
      <c r="G26" s="11">
        <f>('2. Estado de Resultados'!G26/'2. Estado de Resultados'!G6)*100</f>
        <v/>
      </c>
    </row>
    <row r="27">
      <c r="A27" s="7" t="inlineStr">
        <is>
          <t>Coberturas flujo de efectivo</t>
        </is>
      </c>
      <c r="B27" s="11">
        <f>('2. Estado de Resultados'!B27/'2. Estado de Resultados'!B6)*100</f>
        <v/>
      </c>
      <c r="C27" s="11">
        <f>('2. Estado de Resultados'!C27/'2. Estado de Resultados'!C6)*100</f>
        <v/>
      </c>
      <c r="D27" s="11">
        <f>('2. Estado de Resultados'!D27/'2. Estado de Resultados'!D6)*100</f>
        <v/>
      </c>
      <c r="E27" s="11">
        <f>('2. Estado de Resultados'!E27/'2. Estado de Resultados'!E6)*100</f>
        <v/>
      </c>
      <c r="F27" s="11">
        <f>('2. Estado de Resultados'!F27/'2. Estado de Resultados'!F6)*100</f>
        <v/>
      </c>
      <c r="G27" s="11">
        <f>('2. Estado de Resultados'!G27/'2. Estado de Resultados'!G6)*100</f>
        <v/>
      </c>
    </row>
    <row r="28">
      <c r="A28" s="12" t="inlineStr">
        <is>
          <t>Total Otro Resultado Integral, neto</t>
        </is>
      </c>
      <c r="B28" s="15">
        <f>('2. Estado de Resultados'!B28/'2. Estado de Resultados'!B6)*100</f>
        <v/>
      </c>
      <c r="C28" s="15">
        <f>('2. Estado de Resultados'!C28/'2. Estado de Resultados'!C6)*100</f>
        <v/>
      </c>
      <c r="D28" s="15">
        <f>('2. Estado de Resultados'!D28/'2. Estado de Resultados'!D6)*100</f>
        <v/>
      </c>
      <c r="E28" s="15">
        <f>('2. Estado de Resultados'!E28/'2. Estado de Resultados'!E6)*100</f>
        <v/>
      </c>
      <c r="F28" s="15">
        <f>('2. Estado de Resultados'!F28/'2. Estado de Resultados'!F6)*100</f>
        <v/>
      </c>
      <c r="G28" s="15">
        <f>('2. Estado de Resultados'!G28/'2. Estado de Resultados'!G6)*100</f>
        <v/>
      </c>
    </row>
    <row r="29">
      <c r="A29" s="12" t="inlineStr">
        <is>
          <t>RESULTADO INTEGRAL TOTAL</t>
        </is>
      </c>
      <c r="B29" s="15">
        <f>('2. Estado de Resultados'!B29/'2. Estado de Resultados'!B6)*100</f>
        <v/>
      </c>
      <c r="C29" s="15">
        <f>('2. Estado de Resultados'!C29/'2. Estado de Resultados'!C6)*100</f>
        <v/>
      </c>
      <c r="D29" s="15">
        <f>('2. Estado de Resultados'!D29/'2. Estado de Resultados'!D6)*100</f>
        <v/>
      </c>
      <c r="E29" s="15">
        <f>('2. Estado de Resultados'!E29/'2. Estado de Resultados'!E6)*100</f>
        <v/>
      </c>
      <c r="F29" s="15">
        <f>('2. Estado de Resultados'!F29/'2. Estado de Resultados'!F6)*100</f>
        <v/>
      </c>
      <c r="G29" s="15">
        <f>('2. Estado de Resultados'!G29/'2. Estado de Resultados'!G6)*100</f>
        <v/>
      </c>
    </row>
    <row r="30">
      <c r="A30" s="7" t="n"/>
      <c r="B30" s="11" t="n"/>
      <c r="C30" s="11" t="n"/>
      <c r="D30" s="11" t="n"/>
      <c r="E30" s="11" t="n"/>
      <c r="F30" s="11" t="n"/>
      <c r="G30" s="11" t="n"/>
    </row>
    <row r="31">
      <c r="A31" s="12" t="inlineStr">
        <is>
          <t>Utilidad básica y diluida por acción ($)</t>
        </is>
      </c>
      <c r="B31" s="15">
        <f>('2. Estado de Resultados'!B31/'2. Estado de Resultados'!B6)*100</f>
        <v/>
      </c>
      <c r="C31" s="15">
        <f>('2. Estado de Resultados'!C31/'2. Estado de Resultados'!C6)*100</f>
        <v/>
      </c>
      <c r="D31" s="15">
        <f>('2. Estado de Resultados'!D31/'2. Estado de Resultados'!D6)*100</f>
        <v/>
      </c>
      <c r="E31" s="15">
        <f>('2. Estado de Resultados'!E31/'2. Estado de Resultados'!E6)*100</f>
        <v/>
      </c>
      <c r="F31" s="15">
        <f>('2. Estado de Resultados'!F31/'2. Estado de Resultados'!F6)*100</f>
        <v/>
      </c>
      <c r="G31" s="15">
        <f>('2. Estado de Resultados'!G31/'2. Estado de Resultados'!G6)*100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4" sqref="A4"/>
    </sheetView>
  </sheetViews>
  <sheetFormatPr baseColWidth="10" defaultColWidth="9.140625" defaultRowHeight="15"/>
  <cols>
    <col width="50" customWidth="1" style="85" min="1" max="1"/>
    <col width="14" customWidth="1" style="85" min="2" max="6"/>
  </cols>
  <sheetData>
    <row r="1" ht="18" customHeight="1" s="85">
      <c r="A1" s="1" t="inlineStr">
        <is>
          <t>ISAGEN S.A. E.S.P.</t>
        </is>
      </c>
    </row>
    <row r="2" ht="15.75" customHeight="1" s="85">
      <c r="A2" s="2" t="inlineStr">
        <is>
          <t>ANÁLISIS HORIZONTAL - ESTADO DE RESULTADOS</t>
        </is>
      </c>
    </row>
    <row r="3">
      <c r="A3" s="3" t="inlineStr">
        <is>
          <t>Variación porcentual interanual (%)</t>
        </is>
      </c>
    </row>
    <row r="5">
      <c r="A5" s="9" t="inlineStr">
        <is>
          <t>CONCEPTO</t>
        </is>
      </c>
      <c r="B5" s="9" t="inlineStr">
        <is>
          <t>2020-2021</t>
        </is>
      </c>
      <c r="C5" s="9" t="inlineStr">
        <is>
          <t>2021-2022</t>
        </is>
      </c>
      <c r="D5" s="9" t="inlineStr">
        <is>
          <t>2022-2023</t>
        </is>
      </c>
      <c r="E5" s="9" t="inlineStr">
        <is>
          <t>2023-2024</t>
        </is>
      </c>
      <c r="F5" s="9" t="inlineStr">
        <is>
          <t>2024-2025</t>
        </is>
      </c>
    </row>
    <row r="6">
      <c r="A6" s="7" t="inlineStr">
        <is>
          <t>Ingresos de contratos con clientes</t>
        </is>
      </c>
      <c r="B6" s="14">
        <f>(('2. Estado de Resultados'!C6-'2. Estado de Resultados'!B6)/'2. Estado de Resultados'!B6)*100</f>
        <v/>
      </c>
      <c r="C6" s="14">
        <f>(('2. Estado de Resultados'!D6-'2. Estado de Resultados'!C6)/'2. Estado de Resultados'!C6)*100</f>
        <v/>
      </c>
      <c r="D6" s="14">
        <f>(('2. Estado de Resultados'!E6-'2. Estado de Resultados'!D6)/'2. Estado de Resultados'!D6)*100</f>
        <v/>
      </c>
      <c r="E6" s="14">
        <f>(('2. Estado de Resultados'!F6-'2. Estado de Resultados'!E6)/'2. Estado de Resultados'!E6)*100</f>
        <v/>
      </c>
      <c r="F6" s="14">
        <f>(('2. Estado de Resultados'!G6-'2. Estado de Resultados'!F6)/'2. Estado de Resultados'!F6)*100</f>
        <v/>
      </c>
    </row>
    <row r="7">
      <c r="A7" s="7" t="inlineStr">
        <is>
          <t>Costo de ventas</t>
        </is>
      </c>
      <c r="B7" s="14">
        <f>(('2. Estado de Resultados'!C7-'2. Estado de Resultados'!B7)/'2. Estado de Resultados'!B7)*100</f>
        <v/>
      </c>
      <c r="C7" s="14">
        <f>(('2. Estado de Resultados'!D7-'2. Estado de Resultados'!C7)/'2. Estado de Resultados'!C7)*100</f>
        <v/>
      </c>
      <c r="D7" s="14">
        <f>(('2. Estado de Resultados'!E7-'2. Estado de Resultados'!D7)/'2. Estado de Resultados'!D7)*100</f>
        <v/>
      </c>
      <c r="E7" s="14">
        <f>(('2. Estado de Resultados'!F7-'2. Estado de Resultados'!E7)/'2. Estado de Resultados'!E7)*100</f>
        <v/>
      </c>
      <c r="F7" s="14">
        <f>(('2. Estado de Resultados'!G7-'2. Estado de Resultados'!F7)/'2. Estado de Resultados'!F7)*100</f>
        <v/>
      </c>
    </row>
    <row r="8">
      <c r="A8" s="12" t="inlineStr">
        <is>
          <t>Utilidad Bruta</t>
        </is>
      </c>
      <c r="B8" s="13">
        <f>(('2. Estado de Resultados'!C8-'2. Estado de Resultados'!B8)/'2. Estado de Resultados'!B8)*100</f>
        <v/>
      </c>
      <c r="C8" s="13">
        <f>(('2. Estado de Resultados'!D8-'2. Estado de Resultados'!C8)/'2. Estado de Resultados'!C8)*100</f>
        <v/>
      </c>
      <c r="D8" s="13">
        <f>(('2. Estado de Resultados'!E8-'2. Estado de Resultados'!D8)/'2. Estado de Resultados'!D8)*100</f>
        <v/>
      </c>
      <c r="E8" s="13">
        <f>(('2. Estado de Resultados'!F8-'2. Estado de Resultados'!E8)/'2. Estado de Resultados'!E8)*100</f>
        <v/>
      </c>
      <c r="F8" s="13">
        <f>(('2. Estado de Resultados'!G8-'2. Estado de Resultados'!F8)/'2. Estado de Resultados'!F8)*100</f>
        <v/>
      </c>
    </row>
    <row r="9">
      <c r="A9" s="7" t="inlineStr">
        <is>
          <t>Otros ingresos</t>
        </is>
      </c>
      <c r="B9" s="14">
        <f>(('2. Estado de Resultados'!C9-'2. Estado de Resultados'!B9)/'2. Estado de Resultados'!B9)*100</f>
        <v/>
      </c>
      <c r="C9" s="14">
        <f>(('2. Estado de Resultados'!D9-'2. Estado de Resultados'!C9)/'2. Estado de Resultados'!C9)*100</f>
        <v/>
      </c>
      <c r="D9" s="14">
        <f>(('2. Estado de Resultados'!E9-'2. Estado de Resultados'!D9)/'2. Estado de Resultados'!D9)*100</f>
        <v/>
      </c>
      <c r="E9" s="14">
        <f>(('2. Estado de Resultados'!F9-'2. Estado de Resultados'!E9)/'2. Estado de Resultados'!E9)*100</f>
        <v/>
      </c>
      <c r="F9" s="14">
        <f>(('2. Estado de Resultados'!G9-'2. Estado de Resultados'!F9)/'2. Estado de Resultados'!F9)*100</f>
        <v/>
      </c>
    </row>
    <row r="10">
      <c r="A10" s="7" t="inlineStr">
        <is>
          <t>Gastos de administración</t>
        </is>
      </c>
      <c r="B10" s="14">
        <f>(('2. Estado de Resultados'!C10-'2. Estado de Resultados'!B10)/'2. Estado de Resultados'!B10)*100</f>
        <v/>
      </c>
      <c r="C10" s="14">
        <f>(('2. Estado de Resultados'!D10-'2. Estado de Resultados'!C10)/'2. Estado de Resultados'!C10)*100</f>
        <v/>
      </c>
      <c r="D10" s="14">
        <f>(('2. Estado de Resultados'!E10-'2. Estado de Resultados'!D10)/'2. Estado de Resultados'!D10)*100</f>
        <v/>
      </c>
      <c r="E10" s="14">
        <f>(('2. Estado de Resultados'!F10-'2. Estado de Resultados'!E10)/'2. Estado de Resultados'!E10)*100</f>
        <v/>
      </c>
      <c r="F10" s="14">
        <f>(('2. Estado de Resultados'!G10-'2. Estado de Resultados'!F10)/'2. Estado de Resultados'!F10)*100</f>
        <v/>
      </c>
    </row>
    <row r="11">
      <c r="A11" s="7" t="inlineStr">
        <is>
          <t>Otros gastos</t>
        </is>
      </c>
      <c r="B11" s="14">
        <f>(('2. Estado de Resultados'!C11-'2. Estado de Resultados'!B11)/'2. Estado de Resultados'!B11)*100</f>
        <v/>
      </c>
      <c r="C11" s="14">
        <f>(('2. Estado de Resultados'!D11-'2. Estado de Resultados'!C11)/'2. Estado de Resultados'!C11)*100</f>
        <v/>
      </c>
      <c r="D11" s="14">
        <f>(('2. Estado de Resultados'!E11-'2. Estado de Resultados'!D11)/'2. Estado de Resultados'!D11)*100</f>
        <v/>
      </c>
      <c r="E11" s="14">
        <f>(('2. Estado de Resultados'!F11-'2. Estado de Resultados'!E11)/'2. Estado de Resultados'!E11)*100</f>
        <v/>
      </c>
      <c r="F11" s="14">
        <f>(('2. Estado de Resultados'!G11-'2. Estado de Resultados'!F11)/'2. Estado de Resultados'!F11)*100</f>
        <v/>
      </c>
    </row>
    <row r="12">
      <c r="A12" s="7" t="inlineStr">
        <is>
          <t>Ingresos financieros</t>
        </is>
      </c>
      <c r="B12" s="14">
        <f>(('2. Estado de Resultados'!C12-'2. Estado de Resultados'!B12)/'2. Estado de Resultados'!B12)*100</f>
        <v/>
      </c>
      <c r="C12" s="14">
        <f>(('2. Estado de Resultados'!D12-'2. Estado de Resultados'!C12)/'2. Estado de Resultados'!C12)*100</f>
        <v/>
      </c>
      <c r="D12" s="14">
        <f>(('2. Estado de Resultados'!E12-'2. Estado de Resultados'!D12)/'2. Estado de Resultados'!D12)*100</f>
        <v/>
      </c>
      <c r="E12" s="14">
        <f>(('2. Estado de Resultados'!F12-'2. Estado de Resultados'!E12)/'2. Estado de Resultados'!E12)*100</f>
        <v/>
      </c>
      <c r="F12" s="14">
        <f>(('2. Estado de Resultados'!G12-'2. Estado de Resultados'!F12)/'2. Estado de Resultados'!F12)*100</f>
        <v/>
      </c>
    </row>
    <row r="13">
      <c r="A13" s="7" t="inlineStr">
        <is>
          <t>Gastos financieros</t>
        </is>
      </c>
      <c r="B13" s="14">
        <f>(('2. Estado de Resultados'!C13-'2. Estado de Resultados'!B13)/'2. Estado de Resultados'!B13)*100</f>
        <v/>
      </c>
      <c r="C13" s="14">
        <f>(('2. Estado de Resultados'!D13-'2. Estado de Resultados'!C13)/'2. Estado de Resultados'!C13)*100</f>
        <v/>
      </c>
      <c r="D13" s="14">
        <f>(('2. Estado de Resultados'!E13-'2. Estado de Resultados'!D13)/'2. Estado de Resultados'!D13)*100</f>
        <v/>
      </c>
      <c r="E13" s="14">
        <f>(('2. Estado de Resultados'!F13-'2. Estado de Resultados'!E13)/'2. Estado de Resultados'!E13)*100</f>
        <v/>
      </c>
      <c r="F13" s="14">
        <f>(('2. Estado de Resultados'!G13-'2. Estado de Resultados'!F13)/'2. Estado de Resultados'!F13)*100</f>
        <v/>
      </c>
    </row>
    <row r="14">
      <c r="A14" s="7" t="inlineStr">
        <is>
          <t>Diferencia en cambio, neta</t>
        </is>
      </c>
      <c r="B14" s="14">
        <f>(('2. Estado de Resultados'!C14-'2. Estado de Resultados'!B14)/'2. Estado de Resultados'!B14)*100</f>
        <v/>
      </c>
      <c r="C14" s="14">
        <f>(('2. Estado de Resultados'!D14-'2. Estado de Resultados'!C14)/'2. Estado de Resultados'!C14)*100</f>
        <v/>
      </c>
      <c r="D14" s="14">
        <f>(('2. Estado de Resultados'!E14-'2. Estado de Resultados'!D14)/'2. Estado de Resultados'!D14)*100</f>
        <v/>
      </c>
      <c r="E14" s="14">
        <f>(('2. Estado de Resultados'!F14-'2. Estado de Resultados'!E14)/'2. Estado de Resultados'!E14)*100</f>
        <v/>
      </c>
      <c r="F14" s="14">
        <f>(('2. Estado de Resultados'!G14-'2. Estado de Resultados'!F14)/'2. Estado de Resultados'!F14)*100</f>
        <v/>
      </c>
    </row>
    <row r="15">
      <c r="A15" s="12" t="inlineStr">
        <is>
          <t>Utilidad Antes de Impuestos</t>
        </is>
      </c>
      <c r="B15" s="13">
        <f>(('2. Estado de Resultados'!C15-'2. Estado de Resultados'!B15)/'2. Estado de Resultados'!B15)*100</f>
        <v/>
      </c>
      <c r="C15" s="13">
        <f>(('2. Estado de Resultados'!D15-'2. Estado de Resultados'!C15)/'2. Estado de Resultados'!C15)*100</f>
        <v/>
      </c>
      <c r="D15" s="13">
        <f>(('2. Estado de Resultados'!E15-'2. Estado de Resultados'!D15)/'2. Estado de Resultados'!D15)*100</f>
        <v/>
      </c>
      <c r="E15" s="13">
        <f>(('2. Estado de Resultados'!F15-'2. Estado de Resultados'!E15)/'2. Estado de Resultados'!E15)*100</f>
        <v/>
      </c>
      <c r="F15" s="13">
        <f>(('2. Estado de Resultados'!G15-'2. Estado de Resultados'!F15)/'2. Estado de Resultados'!F15)*100</f>
        <v/>
      </c>
    </row>
    <row r="16">
      <c r="A16" s="12" t="inlineStr">
        <is>
          <t>EBIT</t>
        </is>
      </c>
      <c r="B16" s="13">
        <f>(('2. Estado de Resultados'!C16-'2. Estado de Resultados'!B16)/'2. Estado de Resultados'!B16)*100</f>
        <v/>
      </c>
      <c r="C16" s="13">
        <f>(('2. Estado de Resultados'!D16-'2. Estado de Resultados'!C16)/'2. Estado de Resultados'!C16)*100</f>
        <v/>
      </c>
      <c r="D16" s="13">
        <f>(('2. Estado de Resultados'!E16-'2. Estado de Resultados'!D16)/'2. Estado de Resultados'!D16)*100</f>
        <v/>
      </c>
      <c r="E16" s="13">
        <f>(('2. Estado de Resultados'!F16-'2. Estado de Resultados'!E16)/'2. Estado de Resultados'!E16)*100</f>
        <v/>
      </c>
      <c r="F16" s="13">
        <f>(('2. Estado de Resultados'!G16-'2. Estado de Resultados'!F16)/'2. Estado de Resultados'!F16)*100</f>
        <v/>
      </c>
    </row>
    <row r="17">
      <c r="A17" s="7" t="inlineStr">
        <is>
          <t>Depreciación</t>
        </is>
      </c>
      <c r="B17" s="14">
        <f>(('2. Estado de Resultados'!C17-'2. Estado de Resultados'!B17)/'2. Estado de Resultados'!B17)*100</f>
        <v/>
      </c>
      <c r="C17" s="14">
        <f>(('2. Estado de Resultados'!D17-'2. Estado de Resultados'!C17)/'2. Estado de Resultados'!C17)*100</f>
        <v/>
      </c>
      <c r="D17" s="14">
        <f>(('2. Estado de Resultados'!E17-'2. Estado de Resultados'!D17)/'2. Estado de Resultados'!D17)*100</f>
        <v/>
      </c>
      <c r="E17" s="14">
        <f>(('2. Estado de Resultados'!F17-'2. Estado de Resultados'!E17)/'2. Estado de Resultados'!E17)*100</f>
        <v/>
      </c>
      <c r="F17" s="14">
        <f>(('2. Estado de Resultados'!G17-'2. Estado de Resultados'!F17)/'2. Estado de Resultados'!F17)*100</f>
        <v/>
      </c>
    </row>
    <row r="18">
      <c r="A18" s="7" t="inlineStr">
        <is>
          <t>Amortización</t>
        </is>
      </c>
      <c r="B18" s="14">
        <f>(('2. Estado de Resultados'!C18-'2. Estado de Resultados'!B18)/'2. Estado de Resultados'!B18)*100</f>
        <v/>
      </c>
      <c r="C18" s="14">
        <f>(('2. Estado de Resultados'!D18-'2. Estado de Resultados'!C18)/'2. Estado de Resultados'!C18)*100</f>
        <v/>
      </c>
      <c r="D18" s="14">
        <f>(('2. Estado de Resultados'!E18-'2. Estado de Resultados'!D18)/'2. Estado de Resultados'!D18)*100</f>
        <v/>
      </c>
      <c r="E18" s="14">
        <f>(('2. Estado de Resultados'!F18-'2. Estado de Resultados'!E18)/'2. Estado de Resultados'!E18)*100</f>
        <v/>
      </c>
      <c r="F18" s="14">
        <f>(('2. Estado de Resultados'!G18-'2. Estado de Resultados'!F18)/'2. Estado de Resultados'!F18)*100</f>
        <v/>
      </c>
    </row>
    <row r="19">
      <c r="A19" s="12" t="inlineStr">
        <is>
          <t>EBITDA</t>
        </is>
      </c>
      <c r="B19" s="13">
        <f>(('2. Estado de Resultados'!C19-'2. Estado de Resultados'!B19)/'2. Estado de Resultados'!B19)*100</f>
        <v/>
      </c>
      <c r="C19" s="13">
        <f>(('2. Estado de Resultados'!D19-'2. Estado de Resultados'!C19)/'2. Estado de Resultados'!C19)*100</f>
        <v/>
      </c>
      <c r="D19" s="13">
        <f>(('2. Estado de Resultados'!E19-'2. Estado de Resultados'!D19)/'2. Estado de Resultados'!D19)*100</f>
        <v/>
      </c>
      <c r="E19" s="13">
        <f>(('2. Estado de Resultados'!F19-'2. Estado de Resultados'!E19)/'2. Estado de Resultados'!E19)*100</f>
        <v/>
      </c>
      <c r="F19" s="13">
        <f>(('2. Estado de Resultados'!G19-'2. Estado de Resultados'!F19)/'2. Estado de Resultados'!F19)*100</f>
        <v/>
      </c>
    </row>
    <row r="20">
      <c r="A20" s="7" t="inlineStr">
        <is>
          <t>Impuesto de renta - Corriente</t>
        </is>
      </c>
      <c r="B20" s="14">
        <f>(('2. Estado de Resultados'!C20-'2. Estado de Resultados'!B20)/'2. Estado de Resultados'!B20)*100</f>
        <v/>
      </c>
      <c r="C20" s="14">
        <f>(('2. Estado de Resultados'!D20-'2. Estado de Resultados'!C20)/'2. Estado de Resultados'!C20)*100</f>
        <v/>
      </c>
      <c r="D20" s="14">
        <f>(('2. Estado de Resultados'!E20-'2. Estado de Resultados'!D20)/'2. Estado de Resultados'!D20)*100</f>
        <v/>
      </c>
      <c r="E20" s="14">
        <f>(('2. Estado de Resultados'!F20-'2. Estado de Resultados'!E20)/'2. Estado de Resultados'!E20)*100</f>
        <v/>
      </c>
      <c r="F20" s="14">
        <f>(('2. Estado de Resultados'!G20-'2. Estado de Resultados'!F20)/'2. Estado de Resultados'!F20)*100</f>
        <v/>
      </c>
    </row>
    <row r="21">
      <c r="A21" s="7" t="inlineStr">
        <is>
          <t>Impuesto de renta - Diferido</t>
        </is>
      </c>
      <c r="B21" s="14">
        <f>(('2. Estado de Resultados'!C21-'2. Estado de Resultados'!B21)/'2. Estado de Resultados'!B21)*100</f>
        <v/>
      </c>
      <c r="C21" s="14">
        <f>(('2. Estado de Resultados'!D21-'2. Estado de Resultados'!C21)/'2. Estado de Resultados'!C21)*100</f>
        <v/>
      </c>
      <c r="D21" s="14">
        <f>(('2. Estado de Resultados'!E21-'2. Estado de Resultados'!D21)/'2. Estado de Resultados'!D21)*100</f>
        <v/>
      </c>
      <c r="E21" s="14">
        <f>(('2. Estado de Resultados'!F21-'2. Estado de Resultados'!E21)/'2. Estado de Resultados'!E21)*100</f>
        <v/>
      </c>
      <c r="F21" s="14">
        <f>(('2. Estado de Resultados'!G21-'2. Estado de Resultados'!F21)/'2. Estado de Resultados'!F21)*100</f>
        <v/>
      </c>
    </row>
    <row r="22">
      <c r="A22" s="12" t="inlineStr">
        <is>
          <t>Utilidad Neta del Periodo</t>
        </is>
      </c>
      <c r="B22" s="13">
        <f>(('2. Estado de Resultados'!C22-'2. Estado de Resultados'!B22)/'2. Estado de Resultados'!B22)*100</f>
        <v/>
      </c>
      <c r="C22" s="13">
        <f>(('2. Estado de Resultados'!D22-'2. Estado de Resultados'!C22)/'2. Estado de Resultados'!C22)*100</f>
        <v/>
      </c>
      <c r="D22" s="13">
        <f>(('2. Estado de Resultados'!E22-'2. Estado de Resultados'!D22)/'2. Estado de Resultados'!D22)*100</f>
        <v/>
      </c>
      <c r="E22" s="13">
        <f>(('2. Estado de Resultados'!F22-'2. Estado de Resultados'!E22)/'2. Estado de Resultados'!E22)*100</f>
        <v/>
      </c>
      <c r="F22" s="13">
        <f>(('2. Estado de Resultados'!G22-'2. Estado de Resultados'!F22)/'2. Estado de Resultados'!F22)*100</f>
        <v/>
      </c>
    </row>
    <row r="23">
      <c r="A23" s="7" t="n"/>
      <c r="B23" s="14" t="n"/>
      <c r="C23" s="14" t="n"/>
      <c r="D23" s="14" t="n"/>
      <c r="E23" s="14" t="n"/>
      <c r="F23" s="14" t="n"/>
    </row>
    <row r="24">
      <c r="A24" s="7" t="n"/>
      <c r="B24" s="14" t="n"/>
      <c r="C24" s="14" t="n"/>
      <c r="D24" s="14" t="n"/>
      <c r="E24" s="14" t="n"/>
      <c r="F24" s="14" t="n"/>
    </row>
    <row r="25">
      <c r="A25" s="12" t="inlineStr">
        <is>
          <t>OTRO RESULTADO INTEGRAL (ORI)</t>
        </is>
      </c>
      <c r="B25" s="13" t="n"/>
      <c r="C25" s="13" t="n"/>
      <c r="D25" s="13" t="n"/>
      <c r="E25" s="13" t="n"/>
      <c r="F25" s="13" t="n"/>
    </row>
    <row r="26">
      <c r="A26" s="7" t="inlineStr">
        <is>
          <t>Ganancias actuariales (Beneficios definidos)</t>
        </is>
      </c>
      <c r="B26" s="14">
        <f>(('2. Estado de Resultados'!C26-'2. Estado de Resultados'!B26)/'2. Estado de Resultados'!B26)*100</f>
        <v/>
      </c>
      <c r="C26" s="14">
        <f>(('2. Estado de Resultados'!D26-'2. Estado de Resultados'!C26)/'2. Estado de Resultados'!C26)*100</f>
        <v/>
      </c>
      <c r="D26" s="14">
        <f>(('2. Estado de Resultados'!E26-'2. Estado de Resultados'!D26)/'2. Estado de Resultados'!D26)*100</f>
        <v/>
      </c>
      <c r="E26" s="14">
        <f>(('2. Estado de Resultados'!F26-'2. Estado de Resultados'!E26)/'2. Estado de Resultados'!E26)*100</f>
        <v/>
      </c>
      <c r="F26" s="14">
        <f>(('2. Estado de Resultados'!G26-'2. Estado de Resultados'!F26)/'2. Estado de Resultados'!F26)*100</f>
        <v/>
      </c>
    </row>
    <row r="27">
      <c r="A27" s="7" t="inlineStr">
        <is>
          <t>Coberturas flujo de efectivo</t>
        </is>
      </c>
      <c r="B27" s="14">
        <f>(('2. Estado de Resultados'!C27-'2. Estado de Resultados'!B27)/'2. Estado de Resultados'!B27)*100</f>
        <v/>
      </c>
      <c r="C27" s="14">
        <f>(('2. Estado de Resultados'!D27-'2. Estado de Resultados'!C27)/'2. Estado de Resultados'!C27)*100</f>
        <v/>
      </c>
      <c r="D27" s="14">
        <f>(('2. Estado de Resultados'!E27-'2. Estado de Resultados'!D27)/'2. Estado de Resultados'!D27)*100</f>
        <v/>
      </c>
      <c r="E27" s="14">
        <f>(('2. Estado de Resultados'!F27-'2. Estado de Resultados'!E27)/'2. Estado de Resultados'!E27)*100</f>
        <v/>
      </c>
      <c r="F27" s="14">
        <f>(('2. Estado de Resultados'!G27-'2. Estado de Resultados'!F27)/'2. Estado de Resultados'!F27)*100</f>
        <v/>
      </c>
    </row>
    <row r="28">
      <c r="A28" s="12" t="inlineStr">
        <is>
          <t>Total Otro Resultado Integral, neto</t>
        </is>
      </c>
      <c r="B28" s="13">
        <f>(('2. Estado de Resultados'!C28-'2. Estado de Resultados'!B28)/'2. Estado de Resultados'!B28)*100</f>
        <v/>
      </c>
      <c r="C28" s="13">
        <f>(('2. Estado de Resultados'!D28-'2. Estado de Resultados'!C28)/'2. Estado de Resultados'!C28)*100</f>
        <v/>
      </c>
      <c r="D28" s="13">
        <f>(('2. Estado de Resultados'!E28-'2. Estado de Resultados'!D28)/'2. Estado de Resultados'!D28)*100</f>
        <v/>
      </c>
      <c r="E28" s="13">
        <f>(('2. Estado de Resultados'!F28-'2. Estado de Resultados'!E28)/'2. Estado de Resultados'!E28)*100</f>
        <v/>
      </c>
      <c r="F28" s="13">
        <f>(('2. Estado de Resultados'!G28-'2. Estado de Resultados'!F28)/'2. Estado de Resultados'!F28)*100</f>
        <v/>
      </c>
    </row>
    <row r="29">
      <c r="A29" s="12" t="inlineStr">
        <is>
          <t>RESULTADO INTEGRAL TOTAL</t>
        </is>
      </c>
      <c r="B29" s="13">
        <f>(('2. Estado de Resultados'!C29-'2. Estado de Resultados'!B29)/'2. Estado de Resultados'!B29)*100</f>
        <v/>
      </c>
      <c r="C29" s="13">
        <f>(('2. Estado de Resultados'!D29-'2. Estado de Resultados'!C29)/'2. Estado de Resultados'!C29)*100</f>
        <v/>
      </c>
      <c r="D29" s="13">
        <f>(('2. Estado de Resultados'!E29-'2. Estado de Resultados'!D29)/'2. Estado de Resultados'!D29)*100</f>
        <v/>
      </c>
      <c r="E29" s="13">
        <f>(('2. Estado de Resultados'!F29-'2. Estado de Resultados'!E29)/'2. Estado de Resultados'!E29)*100</f>
        <v/>
      </c>
      <c r="F29" s="13">
        <f>(('2. Estado de Resultados'!G29-'2. Estado de Resultados'!F29)/'2. Estado de Resultados'!F29)*100</f>
        <v/>
      </c>
    </row>
    <row r="30">
      <c r="A30" s="7" t="n"/>
      <c r="B30" s="14" t="n"/>
      <c r="C30" s="14" t="n"/>
      <c r="D30" s="14" t="n"/>
      <c r="E30" s="14" t="n"/>
      <c r="F30" s="14" t="n"/>
    </row>
    <row r="31">
      <c r="A31" s="12" t="inlineStr">
        <is>
          <t>Utilidad básica y diluida por acción ($)</t>
        </is>
      </c>
      <c r="B31" s="13">
        <f>(('2. Estado de Resultados'!C31-'2. Estado de Resultados'!B31)/'2. Estado de Resultados'!B31)*100</f>
        <v/>
      </c>
      <c r="C31" s="13">
        <f>(('2. Estado de Resultados'!D31-'2. Estado de Resultados'!C31)/'2. Estado de Resultados'!C31)*100</f>
        <v/>
      </c>
      <c r="D31" s="13">
        <f>(('2. Estado de Resultados'!E31-'2. Estado de Resultados'!D31)/'2. Estado de Resultados'!D31)*100</f>
        <v/>
      </c>
      <c r="E31" s="13">
        <f>(('2. Estado de Resultados'!F31-'2. Estado de Resultados'!E31)/'2. Estado de Resultados'!E31)*100</f>
        <v/>
      </c>
      <c r="F31" s="13">
        <f>(('2. Estado de Resultados'!G31-'2. Estado de Resultados'!F31)/'2. Estado de Resultados'!F31)*100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B9" sqref="B9"/>
    </sheetView>
  </sheetViews>
  <sheetFormatPr baseColWidth="10" defaultColWidth="9.140625" defaultRowHeight="15"/>
  <cols>
    <col width="50" customWidth="1" style="85" min="1" max="1"/>
    <col width="16" customWidth="1" style="85" min="2" max="7"/>
  </cols>
  <sheetData>
    <row r="1" ht="18" customHeight="1" s="85">
      <c r="A1" s="1" t="inlineStr">
        <is>
          <t>ISAGEN S.A. E.S.P.</t>
        </is>
      </c>
    </row>
    <row r="2" ht="15.75" customHeight="1" s="85">
      <c r="A2" s="2" t="inlineStr">
        <is>
          <t>INDICADORES FINANCIEROS CLAVE</t>
        </is>
      </c>
    </row>
    <row r="3">
      <c r="A3" s="3" t="inlineStr">
        <is>
          <t>Valores en millones de pesos colombianos (COP)</t>
        </is>
      </c>
    </row>
    <row r="5">
      <c r="A5" s="9" t="inlineStr">
        <is>
          <t>INDICADOR</t>
        </is>
      </c>
      <c r="B5" s="9" t="inlineStr">
        <is>
          <t>2020</t>
        </is>
      </c>
      <c r="C5" s="9" t="inlineStr">
        <is>
          <t>2021</t>
        </is>
      </c>
      <c r="D5" s="9" t="inlineStr">
        <is>
          <t>2022</t>
        </is>
      </c>
      <c r="E5" s="9" t="inlineStr">
        <is>
          <t>2023</t>
        </is>
      </c>
      <c r="F5" s="9" t="inlineStr">
        <is>
          <t>2024</t>
        </is>
      </c>
      <c r="G5" s="9" t="inlineStr">
        <is>
          <t>2025 (Sep)</t>
        </is>
      </c>
    </row>
    <row r="6">
      <c r="A6" s="16" t="inlineStr">
        <is>
          <t>EBITDA</t>
        </is>
      </c>
      <c r="B6" s="17">
        <f>'2. Estado de Resultados'!B19</f>
        <v/>
      </c>
      <c r="C6" s="17">
        <f>'2. Estado de Resultados'!C19</f>
        <v/>
      </c>
      <c r="D6" s="17">
        <f>'2. Estado de Resultados'!D19</f>
        <v/>
      </c>
      <c r="E6" s="17">
        <f>'2. Estado de Resultados'!E19</f>
        <v/>
      </c>
      <c r="F6" s="17">
        <f>'2. Estado de Resultados'!F19</f>
        <v/>
      </c>
      <c r="G6" s="17">
        <f>'2. Estado de Resultados'!G19</f>
        <v/>
      </c>
    </row>
    <row r="8">
      <c r="A8" s="18" t="inlineStr">
        <is>
          <t>CAPITAL DE TRABAJO NETO OPERATIVO (KTNO)</t>
        </is>
      </c>
      <c r="B8" s="19" t="n"/>
      <c r="C8" s="19" t="n"/>
      <c r="D8" s="19" t="n"/>
      <c r="E8" s="19" t="n"/>
      <c r="F8" s="19" t="n"/>
      <c r="G8" s="19" t="n"/>
    </row>
    <row r="9">
      <c r="A9" t="inlineStr">
        <is>
          <t>Activos Corrientes Operativos</t>
        </is>
      </c>
      <c r="B9" s="8">
        <f>'1. Balance General'!B25-'1. Balance General'!B24-'1. Balance General'!B23</f>
        <v/>
      </c>
      <c r="C9" s="8">
        <f>'1. Balance General'!C25-'1. Balance General'!C24-'1. Balance General'!C23</f>
        <v/>
      </c>
      <c r="D9" s="8">
        <f>'1. Balance General'!D25-'1. Balance General'!D24-'1. Balance General'!D23</f>
        <v/>
      </c>
      <c r="E9" s="8">
        <f>'1. Balance General'!E25-'1. Balance General'!E24-'1. Balance General'!E23</f>
        <v/>
      </c>
      <c r="F9" s="8">
        <f>'1. Balance General'!F25-'1. Balance General'!F24-'1. Balance General'!F23</f>
        <v/>
      </c>
      <c r="G9" s="8">
        <f>'1. Balance General'!G25-'1. Balance General'!G24-'1. Balance General'!G23</f>
        <v/>
      </c>
    </row>
    <row r="10">
      <c r="A10" t="inlineStr">
        <is>
          <t>Pasivos Corrientes Operativos</t>
        </is>
      </c>
      <c r="B10" s="8">
        <f>'1. Balance General'!B57-'1. Balance General'!B49-'1. Balance General'!B52-'1. Balance General'!B51</f>
        <v/>
      </c>
      <c r="C10" s="8">
        <f>'1. Balance General'!C57-'1. Balance General'!C49-'1. Balance General'!C52-'1. Balance General'!C51</f>
        <v/>
      </c>
      <c r="D10" s="8">
        <f>'1. Balance General'!D57-'1. Balance General'!D49-'1. Balance General'!D52-'1. Balance General'!D51</f>
        <v/>
      </c>
      <c r="E10" s="8">
        <f>'1. Balance General'!E57-'1. Balance General'!E49-'1. Balance General'!E52-'1. Balance General'!E51</f>
        <v/>
      </c>
      <c r="F10" s="8">
        <f>'1. Balance General'!F57-'1. Balance General'!F49-'1. Balance General'!F52-'1. Balance General'!F51</f>
        <v/>
      </c>
      <c r="G10" s="8">
        <f>'1. Balance General'!G57-'1. Balance General'!G49-'1. Balance General'!G52-'1. Balance General'!G51</f>
        <v/>
      </c>
    </row>
    <row r="11">
      <c r="A11" s="20" t="inlineStr">
        <is>
          <t>KTNO</t>
        </is>
      </c>
      <c r="B11" s="21">
        <f>B9-B10</f>
        <v/>
      </c>
      <c r="C11" s="21">
        <f>C9-C10</f>
        <v/>
      </c>
      <c r="D11" s="21">
        <f>D9-D10</f>
        <v/>
      </c>
      <c r="E11" s="21">
        <f>E9-E10</f>
        <v/>
      </c>
      <c r="F11" s="21">
        <f>F9-F10</f>
        <v/>
      </c>
      <c r="G11" s="21">
        <f>G9-G10</f>
        <v/>
      </c>
    </row>
    <row r="13">
      <c r="A13" s="20" t="inlineStr">
        <is>
          <t>ΔKTNO (Variación del KTNO)</t>
        </is>
      </c>
      <c r="B13" s="22" t="inlineStr">
        <is>
          <t>N/A</t>
        </is>
      </c>
      <c r="C13" s="21">
        <f>C11-B11</f>
        <v/>
      </c>
      <c r="D13" s="21">
        <f>D11-C11</f>
        <v/>
      </c>
      <c r="E13" s="21">
        <f>E11-D11</f>
        <v/>
      </c>
      <c r="F13" s="21">
        <f>F11-E11</f>
        <v/>
      </c>
      <c r="G13" s="21">
        <f>G11-F11</f>
        <v/>
      </c>
    </row>
    <row r="15">
      <c r="A15" s="20" t="inlineStr">
        <is>
          <t>ANDEO (Activos Netos de Operación)</t>
        </is>
      </c>
      <c r="B15" s="21">
        <f>'1. Balance General'!B27-'1. Balance General'!B50+'1. Balance General'!B52+'1. Balance General'!B53+'1. Balance General'!B54+'1. Balance General'!B55+'1. Balance General'!B56</f>
        <v/>
      </c>
      <c r="C15" s="21">
        <f>'1. Balance General'!C27-'1. Balance General'!C50+'1. Balance General'!C52+'1. Balance General'!C53+'1. Balance General'!C54+'1. Balance General'!C55+'1. Balance General'!C56</f>
        <v/>
      </c>
      <c r="D15" s="21">
        <f>'1. Balance General'!D27-'1. Balance General'!D50+'1. Balance General'!D52+'1. Balance General'!D53+'1. Balance General'!D54+'1. Balance General'!D55+'1. Balance General'!D56</f>
        <v/>
      </c>
      <c r="E15" s="21">
        <f>'1. Balance General'!E27-'1. Balance General'!E50+'1. Balance General'!E52+'1. Balance General'!E53+'1. Balance General'!E54+'1. Balance General'!E55+'1. Balance General'!E56</f>
        <v/>
      </c>
      <c r="F15" s="21">
        <f>'1. Balance General'!F27-'1. Balance General'!F50+'1. Balance General'!F52+'1. Balance General'!F53+'1. Balance General'!F54+'1. Balance General'!F55+'1. Balance General'!F56</f>
        <v/>
      </c>
      <c r="G15" s="21">
        <f>'1. Balance General'!G27-'1. Balance General'!G50+'1. Balance General'!G52+'1. Balance General'!G53+'1. Balance General'!G54+'1. Balance General'!G55+'1. Balance General'!G56</f>
        <v/>
      </c>
    </row>
    <row r="17">
      <c r="A17" s="18" t="inlineStr">
        <is>
          <t>CICLO DE CONVERSIÓN DE EFECTIVO (CCE)</t>
        </is>
      </c>
      <c r="B17" s="19" t="n"/>
      <c r="C17" s="19" t="n"/>
      <c r="D17" s="19" t="n"/>
      <c r="E17" s="19" t="n"/>
      <c r="F17" s="19" t="n"/>
      <c r="G17" s="19" t="n"/>
    </row>
    <row r="18">
      <c r="A18" t="inlineStr">
        <is>
          <t>Días de Inventario</t>
        </is>
      </c>
      <c r="B18" s="23">
        <f>(('1. Balance General'!B17/ABS('2. Estado de Resultados'!B7))*365)</f>
        <v/>
      </c>
      <c r="C18" s="23">
        <f>(('1. Balance General'!C17/ABS('2. Estado de Resultados'!C7))*365)</f>
        <v/>
      </c>
      <c r="D18" s="23">
        <f>(('1. Balance General'!D17/ABS('2. Estado de Resultados'!D7))*365)</f>
        <v/>
      </c>
      <c r="E18" s="23">
        <f>(('1. Balance General'!E17/ABS('2. Estado de Resultados'!E7))*365)</f>
        <v/>
      </c>
      <c r="F18" s="23">
        <f>(('1. Balance General'!F17/ABS('2. Estado de Resultados'!F7))*365)</f>
        <v/>
      </c>
      <c r="G18" s="23">
        <f>(('1. Balance General'!G17/ABS('2. Estado de Resultados'!G7))*365)</f>
        <v/>
      </c>
    </row>
    <row r="19">
      <c r="A19" t="inlineStr">
        <is>
          <t>Días de Cartera (CxC)</t>
        </is>
      </c>
      <c r="B19" s="23">
        <f>(('1. Balance General'!B18/'2. Estado de Resultados'!B6)*365)</f>
        <v/>
      </c>
      <c r="C19" s="23">
        <f>(('1. Balance General'!C18/'2. Estado de Resultados'!C6)*365)</f>
        <v/>
      </c>
      <c r="D19" s="23">
        <f>(('1. Balance General'!D18/'2. Estado de Resultados'!D6)*365)</f>
        <v/>
      </c>
      <c r="E19" s="23">
        <f>(('1. Balance General'!E18/'2. Estado de Resultados'!E6)*365)</f>
        <v/>
      </c>
      <c r="F19" s="23">
        <f>(('1. Balance General'!F18/'2. Estado de Resultados'!F6)*365)</f>
        <v/>
      </c>
      <c r="G19" s="23">
        <f>(('1. Balance General'!G18/'2. Estado de Resultados'!G6)*365)</f>
        <v/>
      </c>
    </row>
    <row r="20">
      <c r="A20" t="inlineStr">
        <is>
          <t>Días de Proveedores (CxP)</t>
        </is>
      </c>
      <c r="B20" s="23">
        <f>(('1. Balance General'!B50/ABS('2. Estado de Resultados'!B7))*365)</f>
        <v/>
      </c>
      <c r="C20" s="23">
        <f>(('1. Balance General'!C50/ABS('2. Estado de Resultados'!C7))*365)</f>
        <v/>
      </c>
      <c r="D20" s="23">
        <f>(('1. Balance General'!D50/ABS('2. Estado de Resultados'!D7))*365)</f>
        <v/>
      </c>
      <c r="E20" s="23">
        <f>(('1. Balance General'!E50/ABS('2. Estado de Resultados'!E7))*365)</f>
        <v/>
      </c>
      <c r="F20" s="23">
        <f>(('1. Balance General'!F50/ABS('2. Estado de Resultados'!F7))*365)</f>
        <v/>
      </c>
      <c r="G20" s="23">
        <f>(('1. Balance General'!G50/ABS('2. Estado de Resultados'!G7))*365)</f>
        <v/>
      </c>
    </row>
    <row r="21">
      <c r="A21" s="20" t="inlineStr">
        <is>
          <t>CCE (días)</t>
        </is>
      </c>
      <c r="B21" s="24">
        <f>B18+B19-B20</f>
        <v/>
      </c>
      <c r="C21" s="24">
        <f>C18+C19-C20</f>
        <v/>
      </c>
      <c r="D21" s="24">
        <f>D18+D19-D20</f>
        <v/>
      </c>
      <c r="E21" s="24">
        <f>E18+E19-E20</f>
        <v/>
      </c>
      <c r="F21" s="24">
        <f>F18+F19-F20</f>
        <v/>
      </c>
      <c r="G21" s="24">
        <f>G18+G19-G20</f>
        <v/>
      </c>
    </row>
    <row r="23">
      <c r="A23" s="20" t="inlineStr">
        <is>
          <t>PKT - Productividad del Capital de Trabajo</t>
        </is>
      </c>
      <c r="B23" s="25">
        <f>'2. Estado de Resultados'!B6/B11</f>
        <v/>
      </c>
      <c r="C23" s="25">
        <f>'2. Estado de Resultados'!C6/C11</f>
        <v/>
      </c>
      <c r="D23" s="25">
        <f>'2. Estado de Resultados'!D6/D11</f>
        <v/>
      </c>
      <c r="E23" s="25">
        <f>'2. Estado de Resultados'!E6/E11</f>
        <v/>
      </c>
      <c r="F23" s="25">
        <f>'2. Estado de Resultados'!F6/F11</f>
        <v/>
      </c>
      <c r="G23" s="25">
        <f>'2. Estado de Resultados'!G6/G11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C16" sqref="C16"/>
    </sheetView>
  </sheetViews>
  <sheetFormatPr baseColWidth="10" defaultColWidth="9.140625" defaultRowHeight="15"/>
  <cols>
    <col width="50" customWidth="1" style="85" min="1" max="1"/>
    <col width="16" customWidth="1" style="85" min="2" max="7"/>
  </cols>
  <sheetData>
    <row r="1" ht="18" customHeight="1" s="85">
      <c r="A1" s="1" t="inlineStr">
        <is>
          <t>ISAGEN S.A. E.S.P.</t>
        </is>
      </c>
    </row>
    <row r="2" ht="15.75" customHeight="1" s="85">
      <c r="A2" s="2" t="inlineStr">
        <is>
          <t>FLUJOS DE CAJA</t>
        </is>
      </c>
    </row>
    <row r="3">
      <c r="A3" s="3" t="inlineStr">
        <is>
          <t>Valores en millones de pesos colombianos (COP)</t>
        </is>
      </c>
    </row>
    <row r="5">
      <c r="A5" s="9" t="inlineStr">
        <is>
          <t>CONCEPTO</t>
        </is>
      </c>
      <c r="B5" s="9" t="inlineStr">
        <is>
          <t>2020</t>
        </is>
      </c>
      <c r="C5" s="9" t="inlineStr">
        <is>
          <t>2021</t>
        </is>
      </c>
      <c r="D5" s="9" t="inlineStr">
        <is>
          <t>2022</t>
        </is>
      </c>
      <c r="E5" s="9" t="inlineStr">
        <is>
          <t>2023</t>
        </is>
      </c>
      <c r="F5" s="9" t="inlineStr">
        <is>
          <t>2024</t>
        </is>
      </c>
      <c r="G5" s="9" t="inlineStr">
        <is>
          <t>2025 (Sep)</t>
        </is>
      </c>
    </row>
    <row r="6">
      <c r="A6" s="18" t="inlineStr">
        <is>
          <t>A. FLUJO DE CAJA OPERACIONAL (FCO)</t>
        </is>
      </c>
      <c r="B6" s="19" t="n"/>
      <c r="C6" s="19" t="n"/>
      <c r="D6" s="19" t="n"/>
      <c r="E6" s="19" t="n"/>
      <c r="F6" s="19" t="n"/>
      <c r="G6" s="19" t="n"/>
    </row>
    <row r="7">
      <c r="A7" t="inlineStr">
        <is>
          <t>EBITDA</t>
        </is>
      </c>
      <c r="B7" s="8">
        <f>'7. Indicadores Financieros'!B6</f>
        <v/>
      </c>
      <c r="C7" s="8">
        <f>'7. Indicadores Financieros'!C6</f>
        <v/>
      </c>
      <c r="D7" s="8">
        <f>'7. Indicadores Financieros'!D6</f>
        <v/>
      </c>
      <c r="E7" s="8">
        <f>'7. Indicadores Financieros'!E6</f>
        <v/>
      </c>
      <c r="F7" s="8">
        <f>'7. Indicadores Financieros'!F6</f>
        <v/>
      </c>
      <c r="G7" s="8">
        <f>'7. Indicadores Financieros'!G6</f>
        <v/>
      </c>
    </row>
    <row r="8">
      <c r="A8" t="inlineStr">
        <is>
          <t>(-) Impuesto de Renta Total</t>
        </is>
      </c>
      <c r="B8" s="8">
        <f>'2. Estado de Resultados'!B20+'2. Estado de Resultados'!B21</f>
        <v/>
      </c>
      <c r="C8" s="8">
        <f>'2. Estado de Resultados'!C20+'2. Estado de Resultados'!C21</f>
        <v/>
      </c>
      <c r="D8" s="8">
        <f>'2. Estado de Resultados'!D20+'2. Estado de Resultados'!D21</f>
        <v/>
      </c>
      <c r="E8" s="8">
        <f>'2. Estado de Resultados'!E20+'2. Estado de Resultados'!E21</f>
        <v/>
      </c>
      <c r="F8" s="8">
        <f>'2. Estado de Resultados'!F20+'2. Estado de Resultados'!F21</f>
        <v/>
      </c>
      <c r="G8" s="8">
        <f>'2. Estado de Resultados'!G20+'2. Estado de Resultados'!G21</f>
        <v/>
      </c>
    </row>
    <row r="9">
      <c r="A9" t="inlineStr">
        <is>
          <t>(-) ΔKTNO</t>
        </is>
      </c>
      <c r="B9" s="8">
        <f>'7. Indicadores Financieros'!B13</f>
        <v/>
      </c>
      <c r="C9" s="8">
        <f>'7. Indicadores Financieros'!C13</f>
        <v/>
      </c>
      <c r="D9" s="8">
        <f>'7. Indicadores Financieros'!D13</f>
        <v/>
      </c>
      <c r="E9" s="8">
        <f>'7. Indicadores Financieros'!E13</f>
        <v/>
      </c>
      <c r="F9" s="8">
        <f>'7. Indicadores Financieros'!F13</f>
        <v/>
      </c>
      <c r="G9" s="8">
        <f>'7. Indicadores Financieros'!G13</f>
        <v/>
      </c>
    </row>
    <row r="10">
      <c r="A10" s="20" t="inlineStr">
        <is>
          <t>(Flujo de Caja Operacional)</t>
        </is>
      </c>
      <c r="B10" s="26">
        <f>B7+B8-B9</f>
        <v/>
      </c>
      <c r="C10" s="26">
        <f>C7+C8-C9</f>
        <v/>
      </c>
      <c r="D10" s="26">
        <f>D7+D8-D9</f>
        <v/>
      </c>
      <c r="E10" s="26">
        <f>E7+E8-E9</f>
        <v/>
      </c>
      <c r="F10" s="26">
        <f>F7+F8-F9</f>
        <v/>
      </c>
      <c r="G10" s="26">
        <f>G7+G8-G9</f>
        <v/>
      </c>
    </row>
    <row r="12">
      <c r="A12" s="18" t="inlineStr">
        <is>
          <t>B. FLUJO DE CAJA DE INVERSIÓN (FCI)</t>
        </is>
      </c>
      <c r="B12" s="19" t="n"/>
      <c r="C12" s="19" t="n"/>
      <c r="D12" s="19" t="n"/>
      <c r="E12" s="19" t="n"/>
      <c r="F12" s="19" t="n"/>
      <c r="G12" s="19" t="n"/>
    </row>
    <row r="13">
      <c r="A13" t="inlineStr">
        <is>
          <t>CAPEX (Inversión en PPE)</t>
        </is>
      </c>
      <c r="B13" s="22" t="inlineStr">
        <is>
          <t>N/A</t>
        </is>
      </c>
      <c r="C13" s="8">
        <f>('1. Balance General'!C7-'1. Balance General'!B7)+'2. Estado de Resultados'!C17</f>
        <v/>
      </c>
      <c r="D13" s="8">
        <f>('1. Balance General'!D7-'1. Balance General'!C7)+'2. Estado de Resultados'!D17</f>
        <v/>
      </c>
      <c r="E13" s="8">
        <f>('1. Balance General'!E7-'1. Balance General'!D7)+'2. Estado de Resultados'!E17</f>
        <v/>
      </c>
      <c r="F13" s="8">
        <f>('1. Balance General'!F7-'1. Balance General'!E7)+'2. Estado de Resultados'!F17</f>
        <v/>
      </c>
      <c r="G13" s="8">
        <f>('1. Balance General'!G7-'1. Balance General'!F7)+'2. Estado de Resultados'!G17</f>
        <v/>
      </c>
    </row>
    <row r="14">
      <c r="A14" s="20" t="inlineStr">
        <is>
          <t>(Flujo de Caja de Inversión)</t>
        </is>
      </c>
      <c r="B14" s="22" t="inlineStr">
        <is>
          <t>N/A</t>
        </is>
      </c>
      <c r="C14" s="26">
        <f>-C13</f>
        <v/>
      </c>
      <c r="D14" s="26">
        <f>-D13</f>
        <v/>
      </c>
      <c r="E14" s="26">
        <f>-E13</f>
        <v/>
      </c>
      <c r="F14" s="26">
        <f>-F13</f>
        <v/>
      </c>
      <c r="G14" s="26">
        <f>-G13</f>
        <v/>
      </c>
    </row>
    <row r="16">
      <c r="A16" s="16" t="inlineStr">
        <is>
          <t>C. FCFF -</t>
        </is>
      </c>
      <c r="B16" s="22" t="inlineStr">
        <is>
          <t>N/A</t>
        </is>
      </c>
      <c r="C16" s="6">
        <f>C10+C14</f>
        <v/>
      </c>
      <c r="D16" s="6">
        <f>D10+D14</f>
        <v/>
      </c>
      <c r="E16" s="6">
        <f>E10+E14</f>
        <v/>
      </c>
      <c r="F16" s="6">
        <f>F10+F14</f>
        <v/>
      </c>
      <c r="G16" s="6">
        <f>G10+G14</f>
        <v/>
      </c>
    </row>
    <row r="18">
      <c r="A18" s="18" t="inlineStr">
        <is>
          <t>D. FLUJO DE CAJA DE LA DEUDA (FCD)</t>
        </is>
      </c>
      <c r="B18" s="19" t="n"/>
      <c r="C18" s="19" t="n"/>
      <c r="D18" s="19" t="n"/>
      <c r="E18" s="19" t="n"/>
      <c r="F18" s="19" t="n"/>
      <c r="G18" s="19" t="n"/>
    </row>
    <row r="19">
      <c r="A19" t="inlineStr">
        <is>
          <t>Variación Deuda Financiera</t>
        </is>
      </c>
      <c r="B19" s="22" t="inlineStr">
        <is>
          <t>N/A</t>
        </is>
      </c>
      <c r="C19" s="8">
        <f>(('1. Balance General'!C39+'1. Balance General'!C49)-('1. Balance General'!B39+'1. Balance General'!B49))</f>
        <v/>
      </c>
      <c r="D19" s="8">
        <f>(('1. Balance General'!D39+'1. Balance General'!D49)-('1. Balance General'!C39+'1. Balance General'!C49))</f>
        <v/>
      </c>
      <c r="E19" s="8">
        <f>(('1. Balance General'!E39+'1. Balance General'!E49)-('1. Balance General'!D39+'1. Balance General'!D49))</f>
        <v/>
      </c>
      <c r="F19" s="8">
        <f>(('1. Balance General'!F39+'1. Balance General'!F49)-('1. Balance General'!E39+'1. Balance General'!E49))</f>
        <v/>
      </c>
      <c r="G19" s="8">
        <f>(('1. Balance General'!G39+'1. Balance General'!G49)-('1. Balance General'!F39+'1. Balance General'!F49))</f>
        <v/>
      </c>
    </row>
    <row r="20">
      <c r="A20" t="inlineStr">
        <is>
          <t>(-) Intereses × (1-T)</t>
        </is>
      </c>
      <c r="B20" s="8">
        <f>'2. Estado de Resultados'!B13*0.65</f>
        <v/>
      </c>
      <c r="C20" s="8">
        <f>'2. Estado de Resultados'!C13*0.65</f>
        <v/>
      </c>
      <c r="D20" s="8">
        <f>'2. Estado de Resultados'!D13*0.65</f>
        <v/>
      </c>
      <c r="E20" s="8">
        <f>'2. Estado de Resultados'!E13*0.65</f>
        <v/>
      </c>
      <c r="F20" s="8">
        <f>'2. Estado de Resultados'!F13*0.65</f>
        <v/>
      </c>
      <c r="G20" s="8">
        <f>'2. Estado de Resultados'!G13*0.65</f>
        <v/>
      </c>
    </row>
    <row r="21">
      <c r="A21" s="20">
        <f>FCD (Flujo de Caja de la Deuda)</f>
        <v/>
      </c>
      <c r="B21" s="22" t="inlineStr">
        <is>
          <t>N/A</t>
        </is>
      </c>
      <c r="C21" s="26">
        <f>C19+C20</f>
        <v/>
      </c>
      <c r="D21" s="26">
        <f>D19+D20</f>
        <v/>
      </c>
      <c r="E21" s="26">
        <f>E19+E20</f>
        <v/>
      </c>
      <c r="F21" s="26">
        <f>F19+F20</f>
        <v/>
      </c>
      <c r="G21" s="26">
        <f>G19+G20</f>
        <v/>
      </c>
    </row>
    <row r="23">
      <c r="A23" s="16" t="inlineStr">
        <is>
          <t xml:space="preserve">E. FCFE </t>
        </is>
      </c>
      <c r="B23" s="22" t="inlineStr">
        <is>
          <t>N/A</t>
        </is>
      </c>
      <c r="C23" s="6">
        <f>C16+C21</f>
        <v/>
      </c>
      <c r="D23" s="6">
        <f>D16+D21</f>
        <v/>
      </c>
      <c r="E23" s="6">
        <f>E16+E21</f>
        <v/>
      </c>
      <c r="F23" s="6">
        <f>F16+F21</f>
        <v/>
      </c>
      <c r="G23" s="6">
        <f>G16+G21</f>
        <v/>
      </c>
    </row>
    <row r="26">
      <c r="A26" t="inlineStr">
        <is>
          <t>CELSIA</t>
        </is>
      </c>
      <c r="B26" s="27" t="n">
        <v>0.55465</v>
      </c>
      <c r="C26" s="28" t="n">
        <v>0.557443822</v>
      </c>
      <c r="D26" s="28" t="n">
        <v>0.564361551</v>
      </c>
      <c r="E26" s="28" t="n">
        <v>0.571158076</v>
      </c>
      <c r="F26" s="28" t="n">
        <v>0.574438302</v>
      </c>
      <c r="G26" s="28" t="n">
        <v>0.58767</v>
      </c>
    </row>
    <row r="27">
      <c r="A27" s="27" t="inlineStr">
        <is>
          <t>Rm</t>
        </is>
      </c>
      <c r="B27" s="29" t="n">
        <v>-0.08309999999999999</v>
      </c>
      <c r="C27" s="30" t="n">
        <v>-0.08511000000000001</v>
      </c>
      <c r="D27" s="30" t="n">
        <v>-0.09707</v>
      </c>
      <c r="E27" s="30" t="n">
        <v>-0.08814</v>
      </c>
      <c r="F27" s="30" t="n">
        <v>0.0388</v>
      </c>
      <c r="G27" s="29" t="n">
        <v>0.0388</v>
      </c>
    </row>
    <row r="28">
      <c r="A28" s="27" t="inlineStr">
        <is>
          <t>Rf</t>
        </is>
      </c>
      <c r="B28" s="31" t="n">
        <v>0.15</v>
      </c>
      <c r="C28" s="30" t="n">
        <v>0.15132</v>
      </c>
      <c r="D28" s="30" t="n">
        <v>0.2813</v>
      </c>
      <c r="E28" s="30" t="n">
        <v>0.11863</v>
      </c>
      <c r="F28" s="30" t="n">
        <v>0.1454</v>
      </c>
      <c r="G28" s="29" t="n">
        <v>0.152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topLeftCell="A17" workbookViewId="0">
      <selection activeCell="B25" sqref="B25:G25"/>
    </sheetView>
  </sheetViews>
  <sheetFormatPr baseColWidth="10" defaultColWidth="9.140625" defaultRowHeight="15"/>
  <cols>
    <col width="50" customWidth="1" style="85" min="1" max="1"/>
    <col width="16" customWidth="1" style="85" min="2" max="7"/>
  </cols>
  <sheetData>
    <row r="1" ht="18" customHeight="1" s="85">
      <c r="A1" s="32" t="inlineStr">
        <is>
          <t>ISAGEN S.A. E.S.P.</t>
        </is>
      </c>
    </row>
    <row r="2" ht="15.75" customHeight="1" s="85">
      <c r="A2" s="33" t="inlineStr">
        <is>
          <t>COSTO DE CAPITAL Y WACC</t>
        </is>
      </c>
    </row>
    <row r="3">
      <c r="A3" s="34" t="inlineStr">
        <is>
          <t>Weighted Average Cost of Capital</t>
        </is>
      </c>
    </row>
    <row r="5">
      <c r="A5" s="35" t="inlineStr">
        <is>
          <t>PARÁMETRO</t>
        </is>
      </c>
      <c r="B5" s="35" t="inlineStr">
        <is>
          <t>2020</t>
        </is>
      </c>
      <c r="C5" s="35" t="inlineStr">
        <is>
          <t>2021</t>
        </is>
      </c>
      <c r="D5" s="35" t="inlineStr">
        <is>
          <t>2022</t>
        </is>
      </c>
      <c r="E5" s="35" t="inlineStr">
        <is>
          <t>2023</t>
        </is>
      </c>
      <c r="F5" s="35" t="inlineStr">
        <is>
          <t>2024</t>
        </is>
      </c>
      <c r="G5" s="35" t="inlineStr">
        <is>
          <t>2025 (Sep)</t>
        </is>
      </c>
    </row>
    <row r="6">
      <c r="A6" s="36" t="inlineStr">
        <is>
          <t>A. PARÁMETROS DE MERCADO</t>
        </is>
      </c>
      <c r="B6" s="37" t="n"/>
      <c r="C6" s="37" t="n"/>
      <c r="D6" s="37" t="n"/>
      <c r="E6" s="37" t="n"/>
      <c r="F6" s="37" t="n"/>
      <c r="G6" s="37" t="n"/>
    </row>
    <row r="7">
      <c r="A7" t="inlineStr">
        <is>
          <t>Rf - Tasa Libre de Riesgo (TES 10 años)</t>
        </is>
      </c>
      <c r="B7" s="38">
        <f>'8. Flujos de Caja'!B28</f>
        <v/>
      </c>
      <c r="C7" s="38">
        <f>'8. Flujos de Caja'!C28</f>
        <v/>
      </c>
      <c r="D7" s="38">
        <f>'8. Flujos de Caja'!D28</f>
        <v/>
      </c>
      <c r="E7" s="38">
        <f>'8. Flujos de Caja'!E28</f>
        <v/>
      </c>
      <c r="F7" s="38">
        <f>'8. Flujos de Caja'!F28</f>
        <v/>
      </c>
      <c r="G7" s="38">
        <f>'8. Flujos de Caja'!G28</f>
        <v/>
      </c>
    </row>
    <row r="8">
      <c r="A8" t="inlineStr">
        <is>
          <t>Rm - Retorno del Mercado (COLCAP)</t>
        </is>
      </c>
      <c r="B8" s="38">
        <f>'8. Flujos de Caja'!B27</f>
        <v/>
      </c>
      <c r="C8" s="38">
        <f>'8. Flujos de Caja'!C27</f>
        <v/>
      </c>
      <c r="D8" s="38">
        <f>'8. Flujos de Caja'!D27</f>
        <v/>
      </c>
      <c r="E8" s="38">
        <f>'8. Flujos de Caja'!E27</f>
        <v/>
      </c>
      <c r="F8" s="38">
        <f>'8. Flujos de Caja'!F27</f>
        <v/>
      </c>
      <c r="G8" s="38">
        <f>'8. Flujos de Caja'!G27</f>
        <v/>
      </c>
    </row>
    <row r="9">
      <c r="A9" s="39" t="inlineStr">
        <is>
          <t>Prima de Riesgo de Mercado (Rm - Rf)</t>
        </is>
      </c>
      <c r="B9" s="40">
        <f>B8-B7</f>
        <v/>
      </c>
      <c r="C9" s="40">
        <f>C8-C7</f>
        <v/>
      </c>
      <c r="D9" s="40">
        <f>D8-D7</f>
        <v/>
      </c>
      <c r="E9" s="40">
        <f>E8-E7</f>
        <v/>
      </c>
      <c r="F9" s="40">
        <f>F8-F7</f>
        <v/>
      </c>
      <c r="G9" s="40">
        <f>G8-G7</f>
        <v/>
      </c>
    </row>
    <row r="10">
      <c r="A10" t="inlineStr">
        <is>
          <t>Riesgo País Colombia</t>
        </is>
      </c>
      <c r="B10" s="38" t="n">
        <v>0.025</v>
      </c>
      <c r="C10" s="38" t="n">
        <v>0.025</v>
      </c>
      <c r="D10" s="38" t="n">
        <v>0.025</v>
      </c>
      <c r="E10" s="38" t="n">
        <v>0.025</v>
      </c>
      <c r="F10" s="38" t="n">
        <v>0.025</v>
      </c>
      <c r="G10" s="38" t="n">
        <v>0.025</v>
      </c>
    </row>
    <row r="11">
      <c r="A11" t="inlineStr">
        <is>
          <t>Beta del Sector (Comparable: CELSIA)</t>
        </is>
      </c>
      <c r="B11" s="41">
        <f>'8. Flujos de Caja'!B26</f>
        <v/>
      </c>
      <c r="C11" s="41">
        <f>'8. Flujos de Caja'!C26</f>
        <v/>
      </c>
      <c r="D11" s="41">
        <f>'8. Flujos de Caja'!D26</f>
        <v/>
      </c>
      <c r="E11" s="41">
        <f>'8. Flujos de Caja'!E26</f>
        <v/>
      </c>
      <c r="F11" s="41">
        <f>'8. Flujos de Caja'!F26</f>
        <v/>
      </c>
      <c r="G11" s="41">
        <f>'8. Flujos de Caja'!G26</f>
        <v/>
      </c>
    </row>
    <row r="13">
      <c r="A13" s="36" t="inlineStr">
        <is>
          <t>B. ESTRUCTURA DE CAPITAL</t>
        </is>
      </c>
      <c r="B13" s="37" t="n"/>
      <c r="C13" s="37" t="n"/>
      <c r="D13" s="37" t="n"/>
      <c r="E13" s="37" t="n"/>
      <c r="F13" s="37" t="n"/>
      <c r="G13" s="37" t="n"/>
    </row>
    <row r="14">
      <c r="A14" t="inlineStr">
        <is>
          <t>D - Deuda Financiera Total</t>
        </is>
      </c>
      <c r="B14" s="42">
        <f>'1. Balance General'!B39+'1. Balance General'!B49</f>
        <v/>
      </c>
      <c r="C14" s="42">
        <f>'1. Balance General'!C39+'1. Balance General'!C49</f>
        <v/>
      </c>
      <c r="D14" s="42">
        <f>'1. Balance General'!D39+'1. Balance General'!D49</f>
        <v/>
      </c>
      <c r="E14" s="42">
        <f>'1. Balance General'!E39+'1. Balance General'!E49</f>
        <v/>
      </c>
      <c r="F14" s="42">
        <f>'1. Balance General'!F39+'1. Balance General'!F49</f>
        <v/>
      </c>
      <c r="G14" s="42">
        <f>'1. Balance General'!G39+'1. Balance General'!G49</f>
        <v/>
      </c>
    </row>
    <row r="15">
      <c r="A15" t="inlineStr">
        <is>
          <t>E - Patrimonio Total</t>
        </is>
      </c>
      <c r="B15" s="42">
        <f>'1. Balance General'!B36</f>
        <v/>
      </c>
      <c r="C15" s="42">
        <f>'1. Balance General'!C36</f>
        <v/>
      </c>
      <c r="D15" s="42">
        <f>'1. Balance General'!D36</f>
        <v/>
      </c>
      <c r="E15" s="42">
        <f>'1. Balance General'!E36</f>
        <v/>
      </c>
      <c r="F15" s="42">
        <f>'1. Balance General'!F36</f>
        <v/>
      </c>
      <c r="G15" s="42">
        <f>'1. Balance General'!G36</f>
        <v/>
      </c>
    </row>
    <row r="16">
      <c r="A16" s="39" t="inlineStr">
        <is>
          <t>D + E (Valor Total)</t>
        </is>
      </c>
      <c r="B16" s="43">
        <f>B14+B15</f>
        <v/>
      </c>
      <c r="C16" s="43">
        <f>C14+C15</f>
        <v/>
      </c>
      <c r="D16" s="43">
        <f>D14+D15</f>
        <v/>
      </c>
      <c r="E16" s="43">
        <f>E14+E15</f>
        <v/>
      </c>
      <c r="F16" s="43">
        <f>F14+F15</f>
        <v/>
      </c>
      <c r="G16" s="43">
        <f>G14+G15</f>
        <v/>
      </c>
    </row>
    <row r="17">
      <c r="A17" s="39" t="inlineStr">
        <is>
          <t>D/E - Ratio Deuda/Patrimonio</t>
        </is>
      </c>
      <c r="B17" s="44">
        <f>B14/B15</f>
        <v/>
      </c>
      <c r="C17" s="44">
        <f>C14/C15</f>
        <v/>
      </c>
      <c r="D17" s="44">
        <f>D14/D15</f>
        <v/>
      </c>
      <c r="E17" s="44">
        <f>E14/E15</f>
        <v/>
      </c>
      <c r="F17" s="44">
        <f>F14/F15</f>
        <v/>
      </c>
      <c r="G17" s="44">
        <f>G14/G15</f>
        <v/>
      </c>
    </row>
    <row r="18">
      <c r="A18" t="inlineStr">
        <is>
          <t>% Deuda = D/(D+E)</t>
        </is>
      </c>
      <c r="B18" s="45">
        <f>B14/B16</f>
        <v/>
      </c>
      <c r="C18" s="45">
        <f>C14/C16</f>
        <v/>
      </c>
      <c r="D18" s="45">
        <f>D14/D16</f>
        <v/>
      </c>
      <c r="E18" s="45">
        <f>E14/E16</f>
        <v/>
      </c>
      <c r="F18" s="45">
        <f>F14/F16</f>
        <v/>
      </c>
      <c r="G18" s="45">
        <f>G14/G16</f>
        <v/>
      </c>
    </row>
    <row r="19">
      <c r="A19" t="inlineStr">
        <is>
          <t>% Patrimonio = E/(D+E)</t>
        </is>
      </c>
      <c r="B19" s="45">
        <f>B15/B16</f>
        <v/>
      </c>
      <c r="C19" s="45">
        <f>C15/C16</f>
        <v/>
      </c>
      <c r="D19" s="45">
        <f>D15/D16</f>
        <v/>
      </c>
      <c r="E19" s="45">
        <f>E15/E16</f>
        <v/>
      </c>
      <c r="F19" s="45">
        <f>F15/F16</f>
        <v/>
      </c>
      <c r="G19" s="45">
        <f>G15/G16</f>
        <v/>
      </c>
    </row>
    <row r="21">
      <c r="A21" s="36" t="inlineStr">
        <is>
          <t>C. COSTO DE LA DEUDA (Kd)</t>
        </is>
      </c>
      <c r="B21" s="37" t="n"/>
      <c r="C21" s="37" t="n"/>
      <c r="D21" s="37" t="n"/>
      <c r="E21" s="37" t="n"/>
      <c r="F21" s="37" t="n"/>
      <c r="G21" s="37" t="n"/>
    </row>
    <row r="22">
      <c r="A22" t="inlineStr">
        <is>
          <t>Gastos Financieros</t>
        </is>
      </c>
      <c r="B22" s="42">
        <f>'2. Estado de Resultados'!B13</f>
        <v/>
      </c>
      <c r="C22" s="42">
        <f>'2. Estado de Resultados'!C13</f>
        <v/>
      </c>
      <c r="D22" s="42">
        <f>'2. Estado de Resultados'!D13</f>
        <v/>
      </c>
      <c r="E22" s="42">
        <f>'2. Estado de Resultados'!E13</f>
        <v/>
      </c>
      <c r="F22" s="42">
        <f>'2. Estado de Resultados'!F13</f>
        <v/>
      </c>
      <c r="G22" s="42">
        <f>'2. Estado de Resultados'!G13</f>
        <v/>
      </c>
    </row>
    <row r="23">
      <c r="A23" s="39" t="inlineStr">
        <is>
          <t>Kd - Costo de la Deuda (antes de impuestos)</t>
        </is>
      </c>
      <c r="B23" s="40">
        <f>ABS(B22/B14)</f>
        <v/>
      </c>
      <c r="C23" s="40">
        <f>ABS(C22/C14)</f>
        <v/>
      </c>
      <c r="D23" s="40">
        <f>ABS(D22/D14)</f>
        <v/>
      </c>
      <c r="E23" s="40">
        <f>ABS(E22/E14)</f>
        <v/>
      </c>
      <c r="F23" s="40">
        <f>ABS(F22/F14)</f>
        <v/>
      </c>
      <c r="G23" s="40">
        <f>ABS(G22/G14)</f>
        <v/>
      </c>
    </row>
    <row r="24">
      <c r="A24" t="inlineStr">
        <is>
          <t>T - Tasa de Impuestos (efectiva)</t>
        </is>
      </c>
      <c r="B24" s="45">
        <f>ABS(('2. Estado de Resultados'!B20+'2. Estado de Resultados'!B21)/'2. Estado de Resultados'!B15)</f>
        <v/>
      </c>
      <c r="C24" s="45">
        <f>ABS(('2. Estado de Resultados'!C20+'2. Estado de Resultados'!C21)/'2. Estado de Resultados'!C15)</f>
        <v/>
      </c>
      <c r="D24" s="45">
        <f>ABS(('2. Estado de Resultados'!D20+'2. Estado de Resultados'!D21)/'2. Estado de Resultados'!D15)</f>
        <v/>
      </c>
      <c r="E24" s="45">
        <f>ABS(('2. Estado de Resultados'!E20+'2. Estado de Resultados'!E21)/'2. Estado de Resultados'!E15)</f>
        <v/>
      </c>
      <c r="F24" s="45">
        <f>ABS(('2. Estado de Resultados'!F20+'2. Estado de Resultados'!F21)/'2. Estado de Resultados'!F15)</f>
        <v/>
      </c>
      <c r="G24" s="45">
        <f>ABS(('2. Estado de Resultados'!G20+'2. Estado de Resultados'!G21)/'2. Estado de Resultados'!G15)</f>
        <v/>
      </c>
    </row>
    <row r="25">
      <c r="A25" s="39" t="inlineStr">
        <is>
          <t>Kd (neto) = Kd × (1-T)</t>
        </is>
      </c>
      <c r="B25" s="46">
        <f>B23*(1-B24)</f>
        <v/>
      </c>
      <c r="C25" s="46">
        <f>C23*(1-C24)</f>
        <v/>
      </c>
      <c r="D25" s="46">
        <f>D23*(1-D24)</f>
        <v/>
      </c>
      <c r="E25" s="46">
        <f>E23*(1-E24)</f>
        <v/>
      </c>
      <c r="F25" s="46">
        <f>F23*(1-F24)</f>
        <v/>
      </c>
      <c r="G25" s="46">
        <f>G23*(1-G24)</f>
        <v/>
      </c>
    </row>
    <row r="27">
      <c r="A27" s="36" t="inlineStr">
        <is>
          <t>D. BETA Y COSTO DEL PATRIMONIO (Ke)</t>
        </is>
      </c>
      <c r="B27" s="37" t="n"/>
      <c r="C27" s="37" t="n"/>
      <c r="D27" s="37" t="n"/>
      <c r="E27" s="37" t="n"/>
      <c r="F27" s="37" t="n"/>
      <c r="G27" s="37" t="n"/>
    </row>
    <row r="28">
      <c r="A28" s="39" t="inlineStr">
        <is>
          <t>Bu - Beta Desapalancado</t>
        </is>
      </c>
      <c r="B28" s="47">
        <f>B11/(1+(1-B24)*B17)</f>
        <v/>
      </c>
      <c r="C28" s="47">
        <f>C11/(1+(1-C24)*C17)</f>
        <v/>
      </c>
      <c r="D28" s="47">
        <f>D11/(1+(1-D24)*D17)</f>
        <v/>
      </c>
      <c r="E28" s="47">
        <f>E11/(1+(1-E24)*E17)</f>
        <v/>
      </c>
      <c r="F28" s="47">
        <f>F11/(1+(1-F24)*F17)</f>
        <v/>
      </c>
      <c r="G28" s="47">
        <f>G11/(1+(1-G24)*G17)</f>
        <v/>
      </c>
    </row>
    <row r="29">
      <c r="A29" s="39" t="inlineStr">
        <is>
          <t>BL - Beta Apalancado (ISAGEN)</t>
        </is>
      </c>
      <c r="B29" s="47">
        <f>B28*(1+(1-B24)*B17)</f>
        <v/>
      </c>
      <c r="C29" s="47">
        <f>C28*(1+(1-C24)*C17)</f>
        <v/>
      </c>
      <c r="D29" s="47">
        <f>D28*(1+(1-D24)*D17)</f>
        <v/>
      </c>
      <c r="E29" s="47">
        <f>E28*(1+(1-E24)*E17)</f>
        <v/>
      </c>
      <c r="F29" s="47">
        <f>F28*(1+(1-F24)*F17)</f>
        <v/>
      </c>
      <c r="G29" s="47">
        <f>G28*(1+(1-G24)*G17)</f>
        <v/>
      </c>
    </row>
    <row r="30">
      <c r="A30" s="39" t="inlineStr">
        <is>
          <t>Ke - Costo del Patrimonio (CAPM)</t>
        </is>
      </c>
      <c r="B30" s="46">
        <f>B7+B29*B9+B10</f>
        <v/>
      </c>
      <c r="C30" s="46">
        <f>C7+C29*C9+C10</f>
        <v/>
      </c>
      <c r="D30" s="46">
        <f>D7+D29*D9+D10</f>
        <v/>
      </c>
      <c r="E30" s="46">
        <f>E7+E29*E9+E10</f>
        <v/>
      </c>
      <c r="F30" s="46">
        <f>F7+F29*F9+F10</f>
        <v/>
      </c>
      <c r="G30" s="46">
        <f>G7+G29*G9+G10</f>
        <v/>
      </c>
    </row>
    <row r="32">
      <c r="A32" s="36" t="inlineStr">
        <is>
          <t>E. WACC - COSTO PROMEDIO PONDERADO DE CAPITAL</t>
        </is>
      </c>
      <c r="B32" s="37" t="n"/>
      <c r="C32" s="37" t="n"/>
      <c r="D32" s="37" t="n"/>
      <c r="E32" s="37" t="n"/>
      <c r="F32" s="37" t="n"/>
      <c r="G32" s="37" t="n"/>
    </row>
    <row r="33">
      <c r="A33" s="48" t="inlineStr">
        <is>
          <t xml:space="preserve">WACC </t>
        </is>
      </c>
      <c r="B33" s="49">
        <f>B30*B19+B25*B18</f>
        <v/>
      </c>
      <c r="C33" s="49">
        <f>C30*C19+C25*C18</f>
        <v/>
      </c>
      <c r="D33" s="49">
        <f>D30*D19+D25*D18</f>
        <v/>
      </c>
      <c r="E33" s="49">
        <f>E30*E19+E25*E18</f>
        <v/>
      </c>
      <c r="F33" s="49">
        <f>F30*F19+F25*F18</f>
        <v/>
      </c>
      <c r="G33" s="49">
        <f>G30*G19+G25*G18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topLeftCell="A14" workbookViewId="0">
      <selection activeCell="B22" sqref="B22"/>
    </sheetView>
  </sheetViews>
  <sheetFormatPr baseColWidth="10" defaultColWidth="9.140625" defaultRowHeight="15"/>
  <cols>
    <col width="50" customWidth="1" style="85" min="1" max="1"/>
    <col width="14" customWidth="1" style="85" min="2" max="14"/>
  </cols>
  <sheetData>
    <row r="1" ht="18" customHeight="1" s="85">
      <c r="A1" s="32" t="inlineStr">
        <is>
          <t>ISAGEN S.A. E.S.P.</t>
        </is>
      </c>
    </row>
    <row r="2" ht="15.75" customHeight="1" s="85">
      <c r="A2" s="33" t="inlineStr">
        <is>
          <t>VALORACIÓN POR FLUJOS DE CAJA DESCONTADOS (DCF)</t>
        </is>
      </c>
    </row>
    <row r="3">
      <c r="A3" s="34" t="inlineStr">
        <is>
          <t>Proyecciones 2026-2035 y Valor Terminal</t>
        </is>
      </c>
    </row>
    <row r="4"/>
    <row r="5">
      <c r="A5" s="35" t="inlineStr">
        <is>
          <t>CONCEPTO</t>
        </is>
      </c>
      <c r="B5" s="35" t="inlineStr">
        <is>
          <t>2023</t>
        </is>
      </c>
      <c r="C5" s="35" t="inlineStr">
        <is>
          <t>2024</t>
        </is>
      </c>
      <c r="D5" s="35" t="inlineStr">
        <is>
          <t>2025</t>
        </is>
      </c>
      <c r="E5" s="35" t="inlineStr">
        <is>
          <t>2026</t>
        </is>
      </c>
      <c r="F5" s="35" t="inlineStr">
        <is>
          <t>2027</t>
        </is>
      </c>
      <c r="G5" s="35" t="inlineStr">
        <is>
          <t>2028</t>
        </is>
      </c>
      <c r="H5" s="35" t="inlineStr">
        <is>
          <t>2029</t>
        </is>
      </c>
      <c r="I5" s="35" t="inlineStr">
        <is>
          <t>2030</t>
        </is>
      </c>
      <c r="J5" s="35" t="inlineStr">
        <is>
          <t>2031</t>
        </is>
      </c>
      <c r="K5" s="35" t="inlineStr">
        <is>
          <t>2032</t>
        </is>
      </c>
      <c r="L5" s="35" t="inlineStr">
        <is>
          <t>2033</t>
        </is>
      </c>
      <c r="M5" s="35" t="inlineStr">
        <is>
          <t>2034</t>
        </is>
      </c>
      <c r="N5" s="35" t="inlineStr">
        <is>
          <t>2035</t>
        </is>
      </c>
    </row>
    <row r="6">
      <c r="A6" s="36" t="inlineStr">
        <is>
          <t>A. SUPUESTOS DE PROYECCIÓN</t>
        </is>
      </c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</row>
    <row r="7">
      <c r="A7" t="inlineStr">
        <is>
          <t>Tasa de Crecimiento FCFF (g)</t>
        </is>
      </c>
      <c r="B7" s="22" t="inlineStr">
        <is>
          <t>N/A</t>
        </is>
      </c>
      <c r="C7" s="22" t="inlineStr">
        <is>
          <t>N/A</t>
        </is>
      </c>
      <c r="D7" s="22" t="inlineStr">
        <is>
          <t>N/A</t>
        </is>
      </c>
      <c r="E7" s="50" t="n">
        <v>0.04</v>
      </c>
      <c r="F7" s="50" t="n">
        <v>0.04</v>
      </c>
      <c r="G7" s="50" t="n">
        <v>0.04</v>
      </c>
      <c r="H7" s="50" t="n">
        <v>0.04</v>
      </c>
      <c r="I7" s="50" t="n">
        <v>0.04</v>
      </c>
      <c r="J7" s="50" t="n">
        <v>0.04</v>
      </c>
      <c r="K7" s="50" t="n">
        <v>0.04</v>
      </c>
      <c r="L7" s="50" t="n">
        <v>0.04</v>
      </c>
      <c r="M7" s="50" t="n">
        <v>0.04</v>
      </c>
      <c r="N7" s="50" t="n">
        <v>0.04</v>
      </c>
    </row>
    <row r="8">
      <c r="A8" t="inlineStr">
        <is>
          <t>Tasa de Crecimiento Perpetuo (g terminal)</t>
        </is>
      </c>
      <c r="B8" s="50" t="n">
        <v>0.035</v>
      </c>
      <c r="C8" s="50" t="n">
        <v>0.035</v>
      </c>
      <c r="D8" s="50" t="n">
        <v>0.035</v>
      </c>
      <c r="E8" s="50" t="n">
        <v>0.035</v>
      </c>
      <c r="F8" s="50" t="n">
        <v>0.035</v>
      </c>
      <c r="G8" s="50" t="n">
        <v>0.035</v>
      </c>
      <c r="H8" s="50" t="n">
        <v>0.035</v>
      </c>
      <c r="I8" s="50" t="n">
        <v>0.035</v>
      </c>
      <c r="J8" s="50" t="n">
        <v>0.035</v>
      </c>
      <c r="K8" s="50" t="n">
        <v>0.035</v>
      </c>
      <c r="L8" s="50" t="n">
        <v>0.035</v>
      </c>
      <c r="M8" s="50" t="n">
        <v>0.035</v>
      </c>
      <c r="N8" s="50" t="n">
        <v>0.035</v>
      </c>
    </row>
    <row r="9"/>
    <row r="10">
      <c r="A10" s="64" t="inlineStr">
        <is>
          <t>B. FCFF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</row>
    <row r="11">
      <c r="A11" s="39" t="inlineStr">
        <is>
          <t>FCFF</t>
        </is>
      </c>
      <c r="B11" s="43">
        <f>'8. Flujos de Caja'!E16</f>
        <v/>
      </c>
      <c r="C11" s="43">
        <f>'8. Flujos de Caja'!F16</f>
        <v/>
      </c>
      <c r="D11" s="43">
        <f>'8. Flujos de Caja'!G16</f>
        <v/>
      </c>
      <c r="E11" s="43">
        <f>AVERAGE(B11:D11)</f>
        <v/>
      </c>
      <c r="F11" s="43">
        <f>E11*(1+F7)</f>
        <v/>
      </c>
      <c r="G11" s="43">
        <f>F11*(1+G7)</f>
        <v/>
      </c>
      <c r="H11" s="43">
        <f>G11*(1+H7)</f>
        <v/>
      </c>
      <c r="I11" s="43">
        <f>H11*(1+I7)</f>
        <v/>
      </c>
      <c r="J11" s="43">
        <f>I11*(1+J7)</f>
        <v/>
      </c>
      <c r="K11" s="43">
        <f>J11*(1+K7)</f>
        <v/>
      </c>
      <c r="L11" s="43">
        <f>K11*(1+L7)</f>
        <v/>
      </c>
      <c r="M11" s="43">
        <f>L11*(1+M7)</f>
        <v/>
      </c>
      <c r="N11" s="43">
        <f>M11*(1+N7)</f>
        <v/>
      </c>
    </row>
    <row r="12">
      <c r="C12" s="65" t="n"/>
    </row>
    <row r="13">
      <c r="A13" s="36" t="inlineStr">
        <is>
          <t>C. TASA DE DESCUENTO (WACC)</t>
        </is>
      </c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</row>
    <row r="14">
      <c r="A14" s="39" t="inlineStr">
        <is>
          <t>WACC</t>
        </is>
      </c>
      <c r="B14" s="40">
        <f>'9. Costo de Capital WACC'!E33</f>
        <v/>
      </c>
      <c r="C14" s="40">
        <f>'9. Costo de Capital WACC'!F33</f>
        <v/>
      </c>
      <c r="D14" s="40">
        <f>'9. Costo de Capital WACC'!G33</f>
        <v/>
      </c>
      <c r="E14" s="40">
        <f>'14. WACC Proyectado'!C15</f>
        <v/>
      </c>
      <c r="F14" s="40">
        <f>'14. WACC Proyectado'!D15</f>
        <v/>
      </c>
      <c r="G14" s="40">
        <f>'14. WACC Proyectado'!E15</f>
        <v/>
      </c>
      <c r="H14" s="40">
        <f>'14. WACC Proyectado'!F15</f>
        <v/>
      </c>
      <c r="I14" s="40">
        <f>'14. WACC Proyectado'!G15</f>
        <v/>
      </c>
      <c r="J14" s="40">
        <f>'14. WACC Proyectado'!H15</f>
        <v/>
      </c>
      <c r="K14" s="40">
        <f>'14. WACC Proyectado'!I15</f>
        <v/>
      </c>
      <c r="L14" s="40">
        <f>'14. WACC Proyectado'!J15</f>
        <v/>
      </c>
      <c r="M14" s="40">
        <f>'14. WACC Proyectado'!K15</f>
        <v/>
      </c>
      <c r="N14" s="40">
        <f>'14. WACC Proyectado'!L15</f>
        <v/>
      </c>
    </row>
    <row r="15">
      <c r="A15" t="inlineStr">
        <is>
          <t>Período (años desde 2025)</t>
        </is>
      </c>
      <c r="B15" s="52" t="n">
        <v>-2</v>
      </c>
      <c r="C15" s="52" t="n">
        <v>-1</v>
      </c>
      <c r="D15" s="52" t="n">
        <v>0</v>
      </c>
      <c r="E15" s="52" t="n">
        <v>1</v>
      </c>
      <c r="F15" s="52" t="n">
        <v>2</v>
      </c>
      <c r="G15" s="52" t="n">
        <v>3</v>
      </c>
      <c r="H15" s="52" t="n">
        <v>4</v>
      </c>
      <c r="I15" s="52" t="n">
        <v>5</v>
      </c>
      <c r="J15" s="52" t="n">
        <v>6</v>
      </c>
      <c r="K15" s="52" t="n">
        <v>7</v>
      </c>
      <c r="L15" s="52" t="n">
        <v>8</v>
      </c>
      <c r="M15" s="52" t="n">
        <v>9</v>
      </c>
      <c r="N15" s="52" t="n">
        <v>10</v>
      </c>
    </row>
    <row r="16">
      <c r="A16" t="inlineStr">
        <is>
          <t>Factor de Descuento = 1/(1+WACC)^n</t>
        </is>
      </c>
      <c r="B16" s="53">
        <f>1/((1+B14)^B15)</f>
        <v/>
      </c>
      <c r="C16" s="53">
        <f>1/((1+C14)^C15)</f>
        <v/>
      </c>
      <c r="D16" s="53">
        <f>1/((1+D14)^D15)</f>
        <v/>
      </c>
      <c r="E16" s="53">
        <f>'14. WACC Proyectado'!C10</f>
        <v/>
      </c>
      <c r="F16" s="53">
        <f>'14. WACC Proyectado'!D10</f>
        <v/>
      </c>
      <c r="G16" s="53">
        <f>'14. WACC Proyectado'!E10</f>
        <v/>
      </c>
      <c r="H16" s="53">
        <f>'14. WACC Proyectado'!F10</f>
        <v/>
      </c>
      <c r="I16" s="53">
        <f>'14. WACC Proyectado'!G10</f>
        <v/>
      </c>
      <c r="J16" s="53">
        <f>'14. WACC Proyectado'!H10</f>
        <v/>
      </c>
      <c r="K16" s="53">
        <f>'14. WACC Proyectado'!I10</f>
        <v/>
      </c>
      <c r="L16" s="53">
        <f>'14. WACC Proyectado'!J10</f>
        <v/>
      </c>
      <c r="M16" s="53">
        <f>'14. WACC Proyectado'!K10</f>
        <v/>
      </c>
      <c r="N16" s="53">
        <f>'14. WACC Proyectado'!L10</f>
        <v/>
      </c>
    </row>
    <row r="17">
      <c r="A17" s="39" t="inlineStr">
        <is>
          <t>FCFF Descontado (VP)</t>
        </is>
      </c>
      <c r="B17" s="51">
        <f>B11*B16</f>
        <v/>
      </c>
      <c r="C17" s="51">
        <f>C11*C16</f>
        <v/>
      </c>
      <c r="D17" s="51">
        <f>D11*D16</f>
        <v/>
      </c>
      <c r="E17" s="51">
        <f>E11*E16</f>
        <v/>
      </c>
      <c r="F17" s="51">
        <f>F11*F16</f>
        <v/>
      </c>
      <c r="G17" s="51">
        <f>G11*G16</f>
        <v/>
      </c>
      <c r="H17" s="51">
        <f>H11*H16</f>
        <v/>
      </c>
      <c r="I17" s="51">
        <f>I11*I16</f>
        <v/>
      </c>
      <c r="J17" s="51">
        <f>J11*J16</f>
        <v/>
      </c>
      <c r="K17" s="51">
        <f>K11*K16</f>
        <v/>
      </c>
      <c r="L17" s="51">
        <f>L11*L16</f>
        <v/>
      </c>
      <c r="M17" s="51">
        <f>M11*M16</f>
        <v/>
      </c>
      <c r="N17" s="51">
        <f>N11*N16</f>
        <v/>
      </c>
    </row>
    <row r="18"/>
    <row r="19">
      <c r="A19" s="36" t="inlineStr">
        <is>
          <t>D. VALOR TERMINAL (2035)</t>
        </is>
      </c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 ht="15.75" customHeight="1" s="85" thickBot="1">
      <c r="A20" t="inlineStr">
        <is>
          <t>FCFF 2036 = FCFF2035 × (1+g)</t>
        </is>
      </c>
      <c r="N20" s="54">
        <f>(N17*(1+N8))/(N14-N8)</f>
        <v/>
      </c>
    </row>
    <row r="21" ht="15.75" customHeight="1" s="85" thickBot="1">
      <c r="A21" s="20" t="inlineStr">
        <is>
          <t>Valor Operación</t>
        </is>
      </c>
      <c r="B21" s="55">
        <f>(C21+B17)/(1+B14)</f>
        <v/>
      </c>
      <c r="C21" s="55">
        <f>(D21+C17)/(1+C14)</f>
        <v/>
      </c>
      <c r="D21" s="55">
        <f>(E21+D17)/(1+D14)</f>
        <v/>
      </c>
      <c r="E21" s="55">
        <f>(F21+E17)/(1+E14)</f>
        <v/>
      </c>
      <c r="F21" s="55">
        <f>(G21+F17)/(1+F14)</f>
        <v/>
      </c>
      <c r="G21" s="55">
        <f>(H21+G17)/(1+G14)</f>
        <v/>
      </c>
      <c r="H21" s="55">
        <f>(I21+H17)/(1+H14)</f>
        <v/>
      </c>
      <c r="I21" s="55">
        <f>(J21+I17)/(1+I14)</f>
        <v/>
      </c>
      <c r="J21" s="55">
        <f>(K21+J17)/(1+J14)</f>
        <v/>
      </c>
      <c r="K21" s="55">
        <f>(L21+K17)/(1+K14)</f>
        <v/>
      </c>
      <c r="L21" s="55">
        <f>(M21+L17)/(1+L14)</f>
        <v/>
      </c>
      <c r="M21" s="55">
        <f>(N21+M17)/(1+M14)</f>
        <v/>
      </c>
      <c r="N21" s="55">
        <f>(N20+N17)/(1+N14)</f>
        <v/>
      </c>
    </row>
    <row r="22" ht="15.75" customHeight="1" s="85" thickBot="1">
      <c r="A22" s="86" t="inlineStr">
        <is>
          <t>(+) Otros activos</t>
        </is>
      </c>
      <c r="B22" s="70" t="n"/>
      <c r="N22" s="55">
        <f>N21*N16</f>
        <v/>
      </c>
    </row>
    <row r="23">
      <c r="A23" s="86" t="inlineStr">
        <is>
          <t>(-) Otros pasivos</t>
        </is>
      </c>
    </row>
    <row r="24">
      <c r="A24" s="36" t="inlineStr">
        <is>
          <t>E. VALORACIÓN DE LA EMPRESA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t="inlineStr">
        <is>
          <t>Valor Presente FCFF Proyectados</t>
        </is>
      </c>
      <c r="N25" s="56">
        <f>SUM(E17:N17)</f>
        <v/>
      </c>
    </row>
    <row r="26">
      <c r="A26" t="inlineStr">
        <is>
          <t>(+) Valor Terminal Descontado</t>
        </is>
      </c>
      <c r="N26" s="56">
        <f>N22</f>
        <v/>
      </c>
    </row>
    <row r="27" ht="15.75" customHeight="1" s="85">
      <c r="A27" s="48">
        <f>VALOR de OPERACIÓN (Enterprise Value)</f>
        <v/>
      </c>
      <c r="N27" s="57">
        <f>N25+N22</f>
        <v/>
      </c>
    </row>
    <row r="28"/>
    <row r="29">
      <c r="A29" t="inlineStr">
        <is>
          <t>(-) Deuda Financiera Neta</t>
        </is>
      </c>
      <c r="N29" s="42">
        <f>'1. Balance General'!F38+'1. Balance General'!F49-'1. Balance General'!F24</f>
        <v/>
      </c>
    </row>
    <row r="30">
      <c r="A30" t="inlineStr">
        <is>
          <t>(+) Activos No Operacionales</t>
        </is>
      </c>
      <c r="N30" s="42" t="n">
        <v>0</v>
      </c>
    </row>
    <row r="31" ht="15.75" customHeight="1" s="85">
      <c r="A31" s="48">
        <f>VALOR PATRIMONIAL (Equity Value)</f>
        <v/>
      </c>
      <c r="N31" s="58">
        <f>N27-N29+N30</f>
        <v/>
      </c>
    </row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selection activeCell="A1" sqref="A1"/>
    </sheetView>
  </sheetViews>
  <sheetFormatPr baseColWidth="10" defaultColWidth="9.140625" defaultRowHeight="15"/>
  <cols>
    <col width="20" customWidth="1" style="85" min="1" max="1"/>
    <col width="16" customWidth="1" style="85" min="2" max="9"/>
  </cols>
  <sheetData>
    <row r="1" ht="18" customHeight="1" s="85">
      <c r="A1" s="32" t="inlineStr">
        <is>
          <t>ISAGEN S.A. E.S.P.</t>
        </is>
      </c>
    </row>
    <row r="2" ht="15.75" customHeight="1" s="85">
      <c r="A2" s="33" t="inlineStr">
        <is>
          <t>ANÁLISIS DE SENSIBILIDAD DEL VALOR PATRIMONIAL</t>
        </is>
      </c>
    </row>
    <row r="3">
      <c r="A3" s="34" t="inlineStr">
        <is>
          <t>Variaciones en WACC y Tasa de Crecimiento Perpetuo (g)</t>
        </is>
      </c>
    </row>
    <row r="5">
      <c r="A5" s="36" t="inlineStr">
        <is>
          <t>VALORES BASE DEL MODELO</t>
        </is>
      </c>
      <c r="B5" s="37" t="n"/>
      <c r="C5" s="37" t="n"/>
      <c r="D5" s="37" t="n"/>
      <c r="E5" s="37" t="n"/>
      <c r="F5" s="37" t="n"/>
      <c r="G5" s="37" t="n"/>
      <c r="H5" s="37" t="n"/>
      <c r="I5" s="37" t="n"/>
    </row>
    <row r="6">
      <c r="A6" t="inlineStr">
        <is>
          <t>WACC Base (2024)</t>
        </is>
      </c>
      <c r="B6" s="40">
        <f>'9. Costo de Capital WACC'!F39</f>
        <v/>
      </c>
    </row>
    <row r="7">
      <c r="A7" t="inlineStr">
        <is>
          <t>Tasa Crecimiento Perpetuo Base (g)</t>
        </is>
      </c>
      <c r="B7" s="40">
        <f>'10. Valoración DCF'!N9</f>
        <v/>
      </c>
    </row>
    <row r="8">
      <c r="A8" t="inlineStr">
        <is>
          <t>Valor Patrimonial Base</t>
        </is>
      </c>
      <c r="B8" s="56">
        <f>'10. Valoración DCF'!N32</f>
        <v/>
      </c>
    </row>
    <row r="11">
      <c r="A11" s="59" t="inlineStr">
        <is>
          <t>TABLA DE SENSIBILIDAD: VALOR PATRIMONIAL</t>
        </is>
      </c>
      <c r="B11" s="60" t="n"/>
      <c r="C11" s="60" t="n"/>
      <c r="D11" s="60" t="n"/>
      <c r="E11" s="60" t="n"/>
      <c r="F11" s="60" t="n"/>
      <c r="G11" s="60" t="n"/>
      <c r="H11" s="60" t="n"/>
      <c r="I11" s="60" t="n"/>
    </row>
    <row r="12">
      <c r="A12" s="34" t="inlineStr">
        <is>
          <t>Variación en WACC y Tasa de Crecimiento Perpetuo (g)</t>
        </is>
      </c>
    </row>
    <row r="13">
      <c r="A13" s="61" t="inlineStr">
        <is>
          <t>WACC \ g</t>
        </is>
      </c>
      <c r="B13" s="62" t="inlineStr">
        <is>
          <t>g-2.0%</t>
        </is>
      </c>
      <c r="C13" s="62" t="inlineStr">
        <is>
          <t>g-1.0%</t>
        </is>
      </c>
      <c r="D13" s="62" t="inlineStr">
        <is>
          <t>g-0.5%</t>
        </is>
      </c>
      <c r="E13" s="62" t="inlineStr">
        <is>
          <t>BASE</t>
        </is>
      </c>
      <c r="F13" s="62" t="inlineStr">
        <is>
          <t>g+0.5%</t>
        </is>
      </c>
      <c r="G13" s="62" t="inlineStr">
        <is>
          <t>g+1.0%</t>
        </is>
      </c>
      <c r="H13" s="62" t="inlineStr">
        <is>
          <t>g+2.0%</t>
        </is>
      </c>
    </row>
    <row r="14">
      <c r="A14" s="62" t="inlineStr">
        <is>
          <t>WACC-2.0%</t>
        </is>
      </c>
      <c r="B14" s="63">
        <f>$B$8*(1+-0.02*10)*(1--0.02*20)</f>
        <v/>
      </c>
      <c r="C14" s="63">
        <f>$B$8*(1+-0.01*10)*(1--0.02*20)</f>
        <v/>
      </c>
      <c r="D14" s="63">
        <f>$B$8*(1+-0.005*10)*(1--0.02*20)</f>
        <v/>
      </c>
      <c r="E14" s="63">
        <f>$B$8*(1+0*10)*(1--0.02*20)</f>
        <v/>
      </c>
      <c r="F14" s="63">
        <f>$B$8*(1+0.005*10)*(1--0.02*20)</f>
        <v/>
      </c>
      <c r="G14" s="63">
        <f>$B$8*(1+0.01*10)*(1--0.02*20)</f>
        <v/>
      </c>
      <c r="H14" s="63">
        <f>$B$8*(1+0.02*10)*(1--0.02*20)</f>
        <v/>
      </c>
    </row>
    <row r="15">
      <c r="A15" s="62" t="inlineStr">
        <is>
          <t>WACC-1.0%</t>
        </is>
      </c>
      <c r="B15" s="63">
        <f>$B$8*(1+-0.02*10)*(1--0.01*20)</f>
        <v/>
      </c>
      <c r="C15" s="63">
        <f>$B$8*(1+-0.01*10)*(1--0.01*20)</f>
        <v/>
      </c>
      <c r="D15" s="63">
        <f>$B$8*(1+-0.005*10)*(1--0.01*20)</f>
        <v/>
      </c>
      <c r="E15" s="63">
        <f>$B$8*(1+0*10)*(1--0.01*20)</f>
        <v/>
      </c>
      <c r="F15" s="63">
        <f>$B$8*(1+0.005*10)*(1--0.01*20)</f>
        <v/>
      </c>
      <c r="G15" s="63">
        <f>$B$8*(1+0.01*10)*(1--0.01*20)</f>
        <v/>
      </c>
      <c r="H15" s="63">
        <f>$B$8*(1+0.02*10)*(1--0.01*20)</f>
        <v/>
      </c>
    </row>
    <row r="16">
      <c r="A16" s="62" t="inlineStr">
        <is>
          <t>BASE</t>
        </is>
      </c>
      <c r="B16" s="63">
        <f>$B$8*(1+-0.02*10)*(1-0*20)</f>
        <v/>
      </c>
      <c r="C16" s="63">
        <f>$B$8*(1+-0.01*10)*(1-0*20)</f>
        <v/>
      </c>
      <c r="D16" s="63">
        <f>$B$8*(1+-0.005*10)*(1-0*20)</f>
        <v/>
      </c>
      <c r="E16" s="56">
        <f>$B$8*(1+0*10)*(1-0*20)</f>
        <v/>
      </c>
      <c r="F16" s="63">
        <f>$B$8*(1+0.005*10)*(1-0*20)</f>
        <v/>
      </c>
      <c r="G16" s="63">
        <f>$B$8*(1+0.01*10)*(1-0*20)</f>
        <v/>
      </c>
      <c r="H16" s="63">
        <f>$B$8*(1+0.02*10)*(1-0*20)</f>
        <v/>
      </c>
    </row>
    <row r="17">
      <c r="A17" s="62" t="inlineStr">
        <is>
          <t>WACC+1.0%</t>
        </is>
      </c>
      <c r="B17" s="63">
        <f>$B$8*(1+-0.02*10)*(1-0.01*20)</f>
        <v/>
      </c>
      <c r="C17" s="63">
        <f>$B$8*(1+-0.01*10)*(1-0.01*20)</f>
        <v/>
      </c>
      <c r="D17" s="63">
        <f>$B$8*(1+-0.005*10)*(1-0.01*20)</f>
        <v/>
      </c>
      <c r="E17" s="63">
        <f>$B$8*(1+0*10)*(1-0.01*20)</f>
        <v/>
      </c>
      <c r="F17" s="63">
        <f>$B$8*(1+0.005*10)*(1-0.01*20)</f>
        <v/>
      </c>
      <c r="G17" s="63">
        <f>$B$8*(1+0.01*10)*(1-0.01*20)</f>
        <v/>
      </c>
      <c r="H17" s="63">
        <f>$B$8*(1+0.02*10)*(1-0.01*20)</f>
        <v/>
      </c>
    </row>
    <row r="18">
      <c r="A18" s="62" t="inlineStr">
        <is>
          <t>WACC+2.0%</t>
        </is>
      </c>
      <c r="B18" s="63">
        <f>$B$8*(1+-0.02*10)*(1-0.02*20)</f>
        <v/>
      </c>
      <c r="C18" s="63">
        <f>$B$8*(1+-0.01*10)*(1-0.02*20)</f>
        <v/>
      </c>
      <c r="D18" s="63">
        <f>$B$8*(1+-0.005*10)*(1-0.02*20)</f>
        <v/>
      </c>
      <c r="E18" s="63">
        <f>$B$8*(1+0*10)*(1-0.02*20)</f>
        <v/>
      </c>
      <c r="F18" s="63">
        <f>$B$8*(1+0.005*10)*(1-0.02*20)</f>
        <v/>
      </c>
      <c r="G18" s="63">
        <f>$B$8*(1+0.01*10)*(1-0.02*20)</f>
        <v/>
      </c>
      <c r="H18" s="63">
        <f>$B$8*(1+0.02*10)*(1-0.02*20)</f>
        <v/>
      </c>
    </row>
    <row r="21">
      <c r="A21" s="36" t="inlineStr">
        <is>
          <t>INTERPRETACIÓN DEL ANÁLISIS DE SENSIBILIDAD</t>
        </is>
      </c>
      <c r="B21" s="37" t="n"/>
      <c r="C21" s="37" t="n"/>
      <c r="D21" s="37" t="n"/>
      <c r="E21" s="37" t="n"/>
      <c r="F21" s="37" t="n"/>
      <c r="G21" s="37" t="n"/>
      <c r="H21" s="37" t="n"/>
      <c r="I21" s="37" t="n"/>
    </row>
    <row r="22">
      <c r="A22" s="84" t="inlineStr">
        <is>
          <t xml:space="preserve">
NOTAS IMPORTANTES:
1. La tabla muestra cómo varía el Valor Patrimonial de ISAGEN según cambios en:
   - WACC (Costo Promedio Ponderado de Capital)
   - g (Tasa de Crecimiento Perpetuo)
2. SENSIBILIDAD AL WACC:
   - Un aumento en el WACC reduce el valor de la empresa (mayor costo de capital = menor valor)
   - Una disminución en el WACC aumenta el valor de la empresa
3. SENSIBILIDAD A LA TASA DE CRECIMIENTO (g):
   - Un aumento en g aumenta el valor terminal y por ende el valor de la empresa
   - Una disminución en g reduce el valor terminal
4. LIMITACIONES:
   - Esta tabla proporciona una aproximación de la sensibilidad
   - Para un análisis exacto, cada celda requeriría recalcular todo el modelo DCF
   - Se recomienda validar los rangos razonables de WACC y g según el sector energético
5. RANGO RAZONABLE PARA ISAGEN (Sector Energía):
   - WACC: 7% - 12% (típico para empresas de servicios públicos en Colombia)
   - g: 2.5% - 4.5% (considerando inflación y crecimiento económico de Colombia)
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mergeCells count="1">
    <mergeCell ref="A22:I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topLeftCell="B1" workbookViewId="0">
      <selection activeCell="C15" sqref="C15:L15"/>
    </sheetView>
  </sheetViews>
  <sheetFormatPr baseColWidth="10" defaultColWidth="9.140625" defaultRowHeight="15"/>
  <cols>
    <col width="35" customWidth="1" style="85" min="1" max="1"/>
    <col width="15" customWidth="1" style="85" min="2" max="13"/>
  </cols>
  <sheetData>
    <row r="1" ht="18.75" customHeight="1" s="85">
      <c r="A1" t="inlineStr">
        <is>
          <t>WACC PROYECTADO (2026-2035)</t>
        </is>
      </c>
    </row>
    <row r="3">
      <c r="A3" s="87" t="inlineStr">
        <is>
          <t>CONCEPTO</t>
        </is>
      </c>
      <c r="B3" s="87" t="n">
        <v>2025</v>
      </c>
      <c r="C3" s="87" t="n">
        <v>2026</v>
      </c>
      <c r="D3" s="87" t="n">
        <v>2027</v>
      </c>
      <c r="E3" s="87" t="n">
        <v>2028</v>
      </c>
      <c r="F3" s="87" t="n">
        <v>2029</v>
      </c>
      <c r="G3" s="87" t="n">
        <v>2030</v>
      </c>
      <c r="H3" s="87" t="n">
        <v>2031</v>
      </c>
      <c r="I3" s="87" t="n">
        <v>2032</v>
      </c>
      <c r="J3" s="87" t="n">
        <v>2033</v>
      </c>
      <c r="K3" s="87" t="n">
        <v>2034</v>
      </c>
      <c r="L3" s="87" t="n">
        <v>2035</v>
      </c>
      <c r="M3" s="87" t="n"/>
    </row>
    <row r="5">
      <c r="A5" t="inlineStr">
        <is>
          <t>Deuda (D)</t>
        </is>
      </c>
      <c r="B5">
        <f>'13. BSC Proyectado'!B38+'13. BSC Proyectado'!B48</f>
        <v/>
      </c>
      <c r="C5">
        <f>'13. BSC Proyectado'!C38+'13. BSC Proyectado'!C48</f>
        <v/>
      </c>
      <c r="D5">
        <f>'13. BSC Proyectado'!D38+'13. BSC Proyectado'!D48</f>
        <v/>
      </c>
      <c r="E5">
        <f>'13. BSC Proyectado'!E38+'13. BSC Proyectado'!E48</f>
        <v/>
      </c>
      <c r="F5">
        <f>'13. BSC Proyectado'!F38+'13. BSC Proyectado'!F48</f>
        <v/>
      </c>
      <c r="G5">
        <f>'13. BSC Proyectado'!G38+'13. BSC Proyectado'!G48</f>
        <v/>
      </c>
      <c r="H5">
        <f>'13. BSC Proyectado'!H38+'13. BSC Proyectado'!H48</f>
        <v/>
      </c>
      <c r="I5">
        <f>'13. BSC Proyectado'!I38+'13. BSC Proyectado'!I48</f>
        <v/>
      </c>
      <c r="J5">
        <f>'13. BSC Proyectado'!J38+'13. BSC Proyectado'!J48</f>
        <v/>
      </c>
      <c r="K5">
        <f>'13. BSC Proyectado'!K38+'13. BSC Proyectado'!K48</f>
        <v/>
      </c>
      <c r="L5">
        <f>'13. BSC Proyectado'!L38+'13. BSC Proyectado'!L48</f>
        <v/>
      </c>
    </row>
    <row r="6">
      <c r="A6" t="inlineStr">
        <is>
          <t>Patrimonio (E)</t>
        </is>
      </c>
      <c r="B6">
        <f>'13. BSC Proyectado'!B35</f>
        <v/>
      </c>
      <c r="C6">
        <f>'13. BSC Proyectado'!C35</f>
        <v/>
      </c>
      <c r="D6">
        <f>'13. BSC Proyectado'!D35</f>
        <v/>
      </c>
      <c r="E6">
        <f>'13. BSC Proyectado'!E35</f>
        <v/>
      </c>
      <c r="F6">
        <f>'13. BSC Proyectado'!F35</f>
        <v/>
      </c>
      <c r="G6">
        <f>'13. BSC Proyectado'!G35</f>
        <v/>
      </c>
      <c r="H6">
        <f>'13. BSC Proyectado'!H35</f>
        <v/>
      </c>
      <c r="I6">
        <f>'13. BSC Proyectado'!I35</f>
        <v/>
      </c>
      <c r="J6">
        <f>'13. BSC Proyectado'!J35</f>
        <v/>
      </c>
      <c r="K6">
        <f>'13. BSC Proyectado'!K35</f>
        <v/>
      </c>
      <c r="L6">
        <f>'13. BSC Proyectado'!L35</f>
        <v/>
      </c>
    </row>
    <row r="10">
      <c r="A10" t="inlineStr">
        <is>
          <t>WACC</t>
        </is>
      </c>
      <c r="B10" s="29">
        <f>B6/(B5+B6)*='9. Costo de Capital WACC'!F37 + B5/(B5+B6)*='9. Costo de Capital WACC'!F33</f>
        <v/>
      </c>
      <c r="C10" s="29">
        <f>C6/(C5+C6)*='9. Costo de Capital WACC'!F37 + C5/(C5+C6)*='9. Costo de Capital WACC'!F33</f>
        <v/>
      </c>
      <c r="D10" s="29">
        <f>D6/(D5+D6)*='9. Costo de Capital WACC'!F37 + D5/(D5+D6)*='9. Costo de Capital WACC'!F33</f>
        <v/>
      </c>
      <c r="E10" s="29">
        <f>E6/(E5+E6)*='9. Costo de Capital WACC'!F37 + E5/(E5+E6)*='9. Costo de Capital WACC'!F33</f>
        <v/>
      </c>
      <c r="F10" s="29">
        <f>F6/(F5+F6)*='9. Costo de Capital WACC'!F37 + F5/(F5+F6)*='9. Costo de Capital WACC'!F33</f>
        <v/>
      </c>
      <c r="G10" s="29">
        <f>G6/(G5+G6)*='9. Costo de Capital WACC'!F37 + G5/(G5+G6)*='9. Costo de Capital WACC'!F33</f>
        <v/>
      </c>
      <c r="H10" s="29">
        <f>H6/(H5+H6)*='9. Costo de Capital WACC'!F37 + H5/(H5+H6)*='9. Costo de Capital WACC'!F33</f>
        <v/>
      </c>
      <c r="I10" s="29">
        <f>I6/(I5+I6)*='9. Costo de Capital WACC'!F37 + I5/(I5+I6)*='9. Costo de Capital WACC'!F33</f>
        <v/>
      </c>
      <c r="J10" s="29">
        <f>J6/(J5+J6)*='9. Costo de Capital WACC'!F37 + J5/(J5+J6)*='9. Costo de Capital WACC'!F33</f>
        <v/>
      </c>
      <c r="K10" s="29">
        <f>K6/(K5+K6)*='9. Costo de Capital WACC'!F37 + K5/(K5+K6)*='9. Costo de Capital WACC'!F33</f>
        <v/>
      </c>
      <c r="L10" s="29">
        <f>L6/(L5+L6)*='9. Costo de Capital WACC'!F37 + L5/(L5+L6)*='9. Costo de Capital WACC'!F33</f>
        <v/>
      </c>
    </row>
    <row r="15" ht="15.75" customHeight="1" s="85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sheetData>
    <row r="1">
      <c r="A1" s="88" t="inlineStr">
        <is>
          <t>ESTADO DE RESULTADOS PROYECTADO (2026-2035)</t>
        </is>
      </c>
    </row>
    <row r="3">
      <c r="A3" s="87" t="inlineStr">
        <is>
          <t>CONCEPTO</t>
        </is>
      </c>
      <c r="B3" s="87" t="n">
        <v>2025</v>
      </c>
      <c r="C3" s="87" t="n">
        <v>2026</v>
      </c>
      <c r="D3" s="87" t="n">
        <v>2027</v>
      </c>
      <c r="E3" s="87" t="n">
        <v>2028</v>
      </c>
      <c r="F3" s="87" t="n">
        <v>2029</v>
      </c>
      <c r="G3" s="87" t="n">
        <v>2030</v>
      </c>
      <c r="H3" s="87" t="n">
        <v>2031</v>
      </c>
      <c r="I3" s="87" t="n">
        <v>2032</v>
      </c>
      <c r="J3" s="87" t="n">
        <v>2033</v>
      </c>
      <c r="K3" s="87" t="n">
        <v>2034</v>
      </c>
      <c r="L3" s="87" t="n">
        <v>2035</v>
      </c>
      <c r="M3" s="87" t="n"/>
    </row>
    <row r="4">
      <c r="A4" t="inlineStr">
        <is>
          <t>Ingresos de contratos con clientes</t>
        </is>
      </c>
      <c r="B4" s="70">
        <f>'2. Estado de Resultados'!G6/9*12</f>
        <v/>
      </c>
      <c r="C4" s="70">
        <f>B4*(1+0.04)</f>
        <v/>
      </c>
      <c r="D4" s="70">
        <f>C4*(1+0.04)</f>
        <v/>
      </c>
      <c r="E4" s="70">
        <f>D4*(1+0.04)</f>
        <v/>
      </c>
      <c r="F4" s="70">
        <f>E4*(1+0.04)</f>
        <v/>
      </c>
      <c r="G4" s="70">
        <f>F4*(1+0.04)</f>
        <v/>
      </c>
      <c r="H4" s="70">
        <f>G4*(1+0.04)</f>
        <v/>
      </c>
      <c r="I4" s="70">
        <f>H4*(1+0.04)</f>
        <v/>
      </c>
      <c r="J4" s="70">
        <f>I4*(1+0.04)</f>
        <v/>
      </c>
      <c r="K4" s="70">
        <f>J4*(1+0.04)</f>
        <v/>
      </c>
      <c r="L4" s="70">
        <f>K4*(1+0.04)</f>
        <v/>
      </c>
    </row>
    <row r="5">
      <c r="A5" t="inlineStr">
        <is>
          <t>Costo de ventas</t>
        </is>
      </c>
      <c r="B5" s="70">
        <f>'2. Estado de Resultados'!G7/9*12</f>
        <v/>
      </c>
      <c r="C5" s="70">
        <f>C4*(B5/B4)</f>
        <v/>
      </c>
      <c r="D5" s="70">
        <f>D4*(C5/C4)</f>
        <v/>
      </c>
      <c r="E5" s="70">
        <f>E4*(D5/D4)</f>
        <v/>
      </c>
      <c r="F5" s="70">
        <f>F4*(E5/E4)</f>
        <v/>
      </c>
      <c r="G5" s="70">
        <f>G4*(F5/F4)</f>
        <v/>
      </c>
      <c r="H5" s="70">
        <f>H4*(G5/G4)</f>
        <v/>
      </c>
      <c r="I5" s="70">
        <f>I4*(H5/H4)</f>
        <v/>
      </c>
      <c r="J5" s="70">
        <f>J4*(I5/I4)</f>
        <v/>
      </c>
      <c r="K5" s="70">
        <f>K4*(J5/J4)</f>
        <v/>
      </c>
      <c r="L5" s="70">
        <f>L4*(K5/K4)</f>
        <v/>
      </c>
    </row>
    <row r="6">
      <c r="A6" s="89" t="inlineStr">
        <is>
          <t>Utilidad Bruta</t>
        </is>
      </c>
      <c r="B6" s="70">
        <f>'2. Estado de Resultados'!G8/9*12</f>
        <v/>
      </c>
      <c r="C6" s="90">
        <f>C4+C5</f>
        <v/>
      </c>
      <c r="D6" s="90">
        <f>D4+D5</f>
        <v/>
      </c>
      <c r="E6" s="90">
        <f>E4+E5</f>
        <v/>
      </c>
      <c r="F6" s="90">
        <f>F4+F5</f>
        <v/>
      </c>
      <c r="G6" s="90">
        <f>G4+G5</f>
        <v/>
      </c>
      <c r="H6" s="90">
        <f>H4+H5</f>
        <v/>
      </c>
      <c r="I6" s="90">
        <f>I4+I5</f>
        <v/>
      </c>
      <c r="J6" s="90">
        <f>J4+J5</f>
        <v/>
      </c>
      <c r="K6" s="90">
        <f>K4+K5</f>
        <v/>
      </c>
      <c r="L6" s="90">
        <f>L4+L5</f>
        <v/>
      </c>
    </row>
    <row r="7">
      <c r="A7" t="inlineStr">
        <is>
          <t>Otros ingresos</t>
        </is>
      </c>
      <c r="B7" s="70">
        <f>'2. Estado de Resultados'!G9/9*12</f>
        <v/>
      </c>
      <c r="C7" s="70" t="n"/>
      <c r="D7" s="70" t="n"/>
      <c r="E7" s="70" t="n"/>
      <c r="F7" s="70" t="n"/>
      <c r="G7" s="70" t="n"/>
      <c r="H7" s="70" t="n"/>
      <c r="I7" s="70" t="n"/>
      <c r="J7" s="70" t="n"/>
      <c r="K7" s="70" t="n"/>
      <c r="L7" s="70" t="n"/>
    </row>
    <row r="8">
      <c r="A8" t="inlineStr">
        <is>
          <t>Gastos de administración</t>
        </is>
      </c>
      <c r="B8" s="70">
        <f>'2. Estado de Resultados'!G10/9*12</f>
        <v/>
      </c>
      <c r="C8" s="70">
        <f>C4*(B8/B4)</f>
        <v/>
      </c>
      <c r="D8" s="70">
        <f>D4*(C8/C4)</f>
        <v/>
      </c>
      <c r="E8" s="70">
        <f>E4*(D8/D4)</f>
        <v/>
      </c>
      <c r="F8" s="70">
        <f>F4*(E8/E4)</f>
        <v/>
      </c>
      <c r="G8" s="70">
        <f>G4*(F8/F4)</f>
        <v/>
      </c>
      <c r="H8" s="70">
        <f>H4*(G8/G4)</f>
        <v/>
      </c>
      <c r="I8" s="70">
        <f>I4*(H8/H4)</f>
        <v/>
      </c>
      <c r="J8" s="70">
        <f>J4*(I8/I4)</f>
        <v/>
      </c>
      <c r="K8" s="70">
        <f>K4*(J8/J4)</f>
        <v/>
      </c>
      <c r="L8" s="70">
        <f>L4*(K8/K4)</f>
        <v/>
      </c>
    </row>
    <row r="9">
      <c r="A9" t="inlineStr">
        <is>
          <t>Otros gastos</t>
        </is>
      </c>
      <c r="B9" s="70">
        <f>'2. Estado de Resultados'!G11/9*12</f>
        <v/>
      </c>
      <c r="C9" s="70">
        <f>C4*(B9/B4)</f>
        <v/>
      </c>
      <c r="D9" s="70">
        <f>D4*(C9/C4)</f>
        <v/>
      </c>
      <c r="E9" s="70">
        <f>E4*(D9/D4)</f>
        <v/>
      </c>
      <c r="F9" s="70">
        <f>F4*(E9/E4)</f>
        <v/>
      </c>
      <c r="G9" s="70">
        <f>G4*(F9/F4)</f>
        <v/>
      </c>
      <c r="H9" s="70">
        <f>H4*(G9/G4)</f>
        <v/>
      </c>
      <c r="I9" s="70">
        <f>I4*(H9/H4)</f>
        <v/>
      </c>
      <c r="J9" s="70">
        <f>J4*(I9/I4)</f>
        <v/>
      </c>
      <c r="K9" s="70">
        <f>K4*(J9/J4)</f>
        <v/>
      </c>
      <c r="L9" s="70">
        <f>L4*(K9/K4)</f>
        <v/>
      </c>
    </row>
    <row r="10">
      <c r="A10" t="inlineStr">
        <is>
          <t>Ingresos financieros</t>
        </is>
      </c>
      <c r="B10" s="70">
        <f>'2. Estado de Resultados'!G12/9*12</f>
        <v/>
      </c>
      <c r="C10" s="70" t="n"/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</row>
    <row r="11">
      <c r="A11" t="inlineStr">
        <is>
          <t>Gastos financieros</t>
        </is>
      </c>
      <c r="B11" s="70">
        <f>'2. Estado de Resultados'!G13/9*12</f>
        <v/>
      </c>
      <c r="C11" s="70">
        <f>-('13. BSC Proyectado'!B38 + '13. BSC Proyectado'!B48)*0.14</f>
        <v/>
      </c>
      <c r="D11" s="70">
        <f>-('13. BSC Proyectado'!C38 + '13. BSC Proyectado'!C48)*0.14</f>
        <v/>
      </c>
      <c r="E11" s="70">
        <f>-('13. BSC Proyectado'!D38 + '13. BSC Proyectado'!D48)*0.14</f>
        <v/>
      </c>
      <c r="F11" s="70">
        <f>-('13. BSC Proyectado'!E38 + '13. BSC Proyectado'!E48)*0.14</f>
        <v/>
      </c>
      <c r="G11" s="70">
        <f>-('13. BSC Proyectado'!F38 + '13. BSC Proyectado'!F48)*0.14</f>
        <v/>
      </c>
      <c r="H11" s="70">
        <f>-('13. BSC Proyectado'!G38 + '13. BSC Proyectado'!G48)*0.14</f>
        <v/>
      </c>
      <c r="I11" s="70">
        <f>-('13. BSC Proyectado'!H38 + '13. BSC Proyectado'!H48)*0.14</f>
        <v/>
      </c>
      <c r="J11" s="70">
        <f>-('13. BSC Proyectado'!I38 + '13. BSC Proyectado'!I48)*0.14</f>
        <v/>
      </c>
      <c r="K11" s="70">
        <f>-('13. BSC Proyectado'!J38 + '13. BSC Proyectado'!J48)*0.14</f>
        <v/>
      </c>
      <c r="L11" s="70">
        <f>-('13. BSC Proyectado'!K38 + '13. BSC Proyectado'!K48)*0.14</f>
        <v/>
      </c>
    </row>
    <row r="12">
      <c r="A12" s="89" t="inlineStr">
        <is>
          <t>Diferencia en cambio, neta</t>
        </is>
      </c>
      <c r="B12" s="70">
        <f>'2. Estado de Resultados'!G14/9*12</f>
        <v/>
      </c>
      <c r="C12" s="70" t="n"/>
      <c r="D12" s="70" t="n"/>
      <c r="E12" s="70" t="n"/>
      <c r="F12" s="70" t="n"/>
      <c r="G12" s="70" t="n"/>
      <c r="H12" s="70" t="n"/>
      <c r="I12" s="70" t="n"/>
      <c r="J12" s="70" t="n"/>
      <c r="K12" s="70" t="n"/>
      <c r="L12" s="70" t="n"/>
    </row>
    <row r="13">
      <c r="A13" s="89" t="inlineStr">
        <is>
          <t>Utilidad Antes de Impuestos</t>
        </is>
      </c>
      <c r="B13" s="70">
        <f>'2. Estado de Resultados'!G15/9*12</f>
        <v/>
      </c>
      <c r="C13" s="90">
        <f>SUM(C6:C12)</f>
        <v/>
      </c>
      <c r="D13" s="90">
        <f>SUM(D6:D12)</f>
        <v/>
      </c>
      <c r="E13" s="90">
        <f>SUM(E6:E12)</f>
        <v/>
      </c>
      <c r="F13" s="90">
        <f>SUM(F6:F12)</f>
        <v/>
      </c>
      <c r="G13" s="90">
        <f>SUM(G6:G12)</f>
        <v/>
      </c>
      <c r="H13" s="90">
        <f>SUM(H6:H12)</f>
        <v/>
      </c>
      <c r="I13" s="90">
        <f>SUM(I6:I12)</f>
        <v/>
      </c>
      <c r="J13" s="90">
        <f>SUM(J6:J12)</f>
        <v/>
      </c>
      <c r="K13" s="90">
        <f>SUM(K6:K12)</f>
        <v/>
      </c>
      <c r="L13" s="90">
        <f>SUM(L6:L12)</f>
        <v/>
      </c>
    </row>
    <row r="14">
      <c r="A14" s="89" t="inlineStr">
        <is>
          <t>EBIT</t>
        </is>
      </c>
      <c r="B14" s="70">
        <f>'2. Estado de Resultados'!G16/9*12</f>
        <v/>
      </c>
      <c r="C14" s="90">
        <f>C6+C7+C8+C9</f>
        <v/>
      </c>
      <c r="D14" s="90">
        <f>D6+D7+D8+D9</f>
        <v/>
      </c>
      <c r="E14" s="90">
        <f>E6+E7+E8+E9</f>
        <v/>
      </c>
      <c r="F14" s="90">
        <f>F6+F7+F8+F9</f>
        <v/>
      </c>
      <c r="G14" s="90">
        <f>G6+G7+G8+G9</f>
        <v/>
      </c>
      <c r="H14" s="90">
        <f>H6+H7+H8+H9</f>
        <v/>
      </c>
      <c r="I14" s="90">
        <f>I6+I7+I8+I9</f>
        <v/>
      </c>
      <c r="J14" s="90">
        <f>J6+J7+J8+J9</f>
        <v/>
      </c>
      <c r="K14" s="90">
        <f>K6+K7+K8+K9</f>
        <v/>
      </c>
      <c r="L14" s="90">
        <f>L6+L7+L8+L9</f>
        <v/>
      </c>
    </row>
    <row r="15">
      <c r="A15" t="inlineStr">
        <is>
          <t>Depreciación</t>
        </is>
      </c>
      <c r="B15" s="70">
        <f>'2. Estado de Resultados'!G17/9*12</f>
        <v/>
      </c>
      <c r="C15" s="70" t="n"/>
      <c r="D15" s="70" t="n"/>
      <c r="E15" s="70" t="n"/>
      <c r="F15" s="70" t="n"/>
      <c r="G15" s="70" t="n"/>
      <c r="H15" s="70" t="n"/>
      <c r="I15" s="70" t="n"/>
      <c r="J15" s="70" t="n"/>
      <c r="K15" s="70" t="n"/>
      <c r="L15" s="70" t="n"/>
    </row>
    <row r="16">
      <c r="A16" t="inlineStr">
        <is>
          <t>Amortización</t>
        </is>
      </c>
      <c r="B16" s="70">
        <f>'2. Estado de Resultados'!G18/9*12</f>
        <v/>
      </c>
      <c r="C16" s="70" t="n"/>
      <c r="D16" s="70" t="n"/>
      <c r="E16" s="70" t="n"/>
      <c r="F16" s="70" t="n"/>
      <c r="G16" s="70" t="n"/>
      <c r="H16" s="70" t="n"/>
      <c r="I16" s="70" t="n"/>
      <c r="J16" s="70" t="n"/>
      <c r="K16" s="70" t="n"/>
      <c r="L16" s="70" t="n"/>
    </row>
    <row r="17">
      <c r="A17" s="89" t="inlineStr">
        <is>
          <t>EBITDA</t>
        </is>
      </c>
      <c r="B17" s="70">
        <f>'2. Estado de Resultados'!G19/9*12</f>
        <v/>
      </c>
      <c r="C17" s="70" t="n"/>
      <c r="D17" s="70" t="n"/>
      <c r="E17" s="70" t="n"/>
      <c r="F17" s="70" t="n"/>
      <c r="G17" s="70" t="n"/>
      <c r="H17" s="70" t="n"/>
      <c r="I17" s="70" t="n"/>
      <c r="J17" s="70" t="n"/>
      <c r="K17" s="70" t="n"/>
      <c r="L17" s="70" t="n"/>
    </row>
    <row r="18">
      <c r="A18" t="inlineStr">
        <is>
          <t>Impuesto de renta - Corriente</t>
        </is>
      </c>
      <c r="B18" s="70">
        <f>'2. Estado de Resultados'!G20/9*12</f>
        <v/>
      </c>
      <c r="C18" s="70">
        <f>-C13*0.35</f>
        <v/>
      </c>
      <c r="D18" s="70">
        <f>-D13*0.35</f>
        <v/>
      </c>
      <c r="E18" s="70">
        <f>-E13*0.35</f>
        <v/>
      </c>
      <c r="F18" s="70">
        <f>-F13*0.35</f>
        <v/>
      </c>
      <c r="G18" s="70">
        <f>-G13*0.35</f>
        <v/>
      </c>
      <c r="H18" s="70">
        <f>-H13*0.35</f>
        <v/>
      </c>
      <c r="I18" s="70">
        <f>-I13*0.35</f>
        <v/>
      </c>
      <c r="J18" s="70">
        <f>-J13*0.35</f>
        <v/>
      </c>
      <c r="K18" s="70">
        <f>-K13*0.35</f>
        <v/>
      </c>
      <c r="L18" s="70">
        <f>-L13*0.35</f>
        <v/>
      </c>
    </row>
    <row r="19">
      <c r="A19" t="inlineStr">
        <is>
          <t>Impuesto de renta - Diferido</t>
        </is>
      </c>
      <c r="B19" s="70">
        <f>'2. Estado de Resultados'!G21/9*12</f>
        <v/>
      </c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</row>
    <row r="20">
      <c r="A20" s="89" t="inlineStr">
        <is>
          <t>Utilidad Neta del Periodo</t>
        </is>
      </c>
      <c r="B20" s="70">
        <f>'2. Estado de Resultados'!G22/9*12</f>
        <v/>
      </c>
      <c r="C20" s="90">
        <f>C13+SUM(C18:C19)</f>
        <v/>
      </c>
      <c r="D20" s="90">
        <f>D13+SUM(D18:D19)</f>
        <v/>
      </c>
      <c r="E20" s="90">
        <f>E13+SUM(E18:E19)</f>
        <v/>
      </c>
      <c r="F20" s="90">
        <f>F13+SUM(F18:F19)</f>
        <v/>
      </c>
      <c r="G20" s="90">
        <f>G13+SUM(G18:G19)</f>
        <v/>
      </c>
      <c r="H20" s="90">
        <f>H13+SUM(H18:H19)</f>
        <v/>
      </c>
      <c r="I20" s="90">
        <f>I13+SUM(I18:I19)</f>
        <v/>
      </c>
      <c r="J20" s="90">
        <f>J13+SUM(J18:J19)</f>
        <v/>
      </c>
      <c r="K20" s="90">
        <f>K13+SUM(K18:K19)</f>
        <v/>
      </c>
      <c r="L20" s="90">
        <f>L13+SUM(L18:L19)</f>
        <v/>
      </c>
    </row>
    <row r="21">
      <c r="B21" s="70">
        <f>'2. Estado de Resultados'!G23/9*12</f>
        <v/>
      </c>
      <c r="C21" s="70" t="n"/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</row>
    <row r="22">
      <c r="B22" s="70">
        <f>'2. Estado de Resultados'!G24/9*12</f>
        <v/>
      </c>
      <c r="C22" s="70" t="n"/>
      <c r="D22" s="70" t="n"/>
      <c r="E22" s="70" t="n"/>
      <c r="F22" s="70" t="n"/>
      <c r="G22" s="70" t="n"/>
      <c r="H22" s="70" t="n"/>
      <c r="I22" s="70" t="n"/>
      <c r="J22" s="70" t="n"/>
      <c r="K22" s="70" t="n"/>
      <c r="L22" s="70" t="n"/>
    </row>
    <row r="23">
      <c r="A23" t="inlineStr">
        <is>
          <t>OTRO RESULTADO INTEGRAL (ORI)</t>
        </is>
      </c>
      <c r="B23" s="70">
        <f>'2. Estado de Resultados'!G25/9*12</f>
        <v/>
      </c>
      <c r="C23" s="70" t="n"/>
      <c r="D23" s="70" t="n"/>
      <c r="E23" s="70" t="n"/>
      <c r="F23" s="70" t="n"/>
      <c r="G23" s="70" t="n"/>
      <c r="H23" s="70" t="n"/>
      <c r="I23" s="70" t="n"/>
      <c r="J23" s="70" t="n"/>
      <c r="K23" s="70" t="n"/>
      <c r="L23" s="70" t="n"/>
    </row>
    <row r="24">
      <c r="A24" t="inlineStr">
        <is>
          <t>Ganancias actuariales (Beneficios definidos)</t>
        </is>
      </c>
      <c r="B24" s="70">
        <f>'2. Estado de Resultados'!G26/9*12</f>
        <v/>
      </c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</row>
    <row r="25">
      <c r="A25" t="inlineStr">
        <is>
          <t>Coberturas flujo de efectivo</t>
        </is>
      </c>
      <c r="B25" s="70">
        <f>'2. Estado de Resultados'!G27/9*12</f>
        <v/>
      </c>
      <c r="C25" s="70" t="n"/>
      <c r="D25" s="70" t="n"/>
      <c r="E25" s="70" t="n"/>
      <c r="F25" s="70" t="n"/>
      <c r="G25" s="70" t="n"/>
      <c r="H25" s="70" t="n"/>
      <c r="I25" s="70" t="n"/>
      <c r="J25" s="70" t="n"/>
      <c r="K25" s="70" t="n"/>
      <c r="L25" s="70" t="n"/>
    </row>
    <row r="26">
      <c r="A26" s="89" t="inlineStr">
        <is>
          <t>Total Otro Resultado Integral, neto</t>
        </is>
      </c>
      <c r="B26" s="70">
        <f>'2. Estado de Resultados'!G28/9*12</f>
        <v/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</row>
    <row r="27">
      <c r="A27" s="89" t="inlineStr">
        <is>
          <t>RESULTADO INTEGRAL TOTAL</t>
        </is>
      </c>
      <c r="B27" s="70">
        <f>'2. Estado de Resultados'!G29/9*12</f>
        <v/>
      </c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</row>
    <row r="28">
      <c r="B28" s="70">
        <f>'2. Estado de Resultados'!G30/9*12</f>
        <v/>
      </c>
      <c r="C28" s="70" t="n"/>
      <c r="D28" s="70" t="n"/>
      <c r="E28" s="70" t="n"/>
      <c r="F28" s="70" t="n"/>
      <c r="G28" s="70" t="n"/>
      <c r="H28" s="70" t="n"/>
      <c r="I28" s="70" t="n"/>
      <c r="J28" s="70" t="n"/>
      <c r="K28" s="70" t="n"/>
      <c r="L28" s="70" t="n"/>
    </row>
    <row r="29">
      <c r="A29" s="89" t="inlineStr">
        <is>
          <t>Utilidad básica y diluida por acción ($)</t>
        </is>
      </c>
      <c r="B29" s="70">
        <f>'2. Estado de Resultados'!G31/9*12</f>
        <v/>
      </c>
      <c r="C29" s="70" t="n"/>
      <c r="D29" s="70" t="n"/>
      <c r="E29" s="70" t="n"/>
      <c r="F29" s="70" t="n"/>
      <c r="G29" s="70" t="n"/>
      <c r="H29" s="70" t="n"/>
      <c r="I29" s="70" t="n"/>
      <c r="J29" s="70" t="n"/>
      <c r="K29" s="70" t="n"/>
      <c r="L29" s="70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9"/>
  <sheetViews>
    <sheetView showGridLines="0" workbookViewId="0">
      <selection activeCell="A1" sqref="A1"/>
    </sheetView>
  </sheetViews>
  <sheetFormatPr baseColWidth="8" defaultRowHeight="15"/>
  <sheetData>
    <row r="1">
      <c r="A1" s="91" t="inlineStr">
        <is>
          <t>CONTROL (Activo - Pasivo - Patrimonio)</t>
        </is>
      </c>
      <c r="C1" s="92">
        <f>C26-C59</f>
        <v/>
      </c>
      <c r="D1" s="92">
        <f>D26-D59</f>
        <v/>
      </c>
      <c r="E1" s="92">
        <f>E26-E59</f>
        <v/>
      </c>
      <c r="F1" s="92">
        <f>F26-F59</f>
        <v/>
      </c>
      <c r="G1" s="92">
        <f>G26-G59</f>
        <v/>
      </c>
      <c r="H1" s="92">
        <f>H26-H59</f>
        <v/>
      </c>
      <c r="I1" s="92">
        <f>I26-I59</f>
        <v/>
      </c>
      <c r="J1" s="92">
        <f>J26-J59</f>
        <v/>
      </c>
      <c r="K1" s="92">
        <f>K26-K59</f>
        <v/>
      </c>
      <c r="L1" s="92">
        <f>L26-L59</f>
        <v/>
      </c>
    </row>
    <row r="2">
      <c r="A2" s="88" t="inlineStr">
        <is>
          <t>BALANCE GENERAL PROYECTADO (2026-2035)</t>
        </is>
      </c>
    </row>
    <row r="4">
      <c r="A4" s="87" t="inlineStr">
        <is>
          <t>CONCEPTO</t>
        </is>
      </c>
      <c r="B4" s="87" t="n">
        <v>2025</v>
      </c>
      <c r="C4" s="87" t="n">
        <v>2026</v>
      </c>
      <c r="D4" s="87" t="n">
        <v>2027</v>
      </c>
      <c r="E4" s="87" t="n">
        <v>2028</v>
      </c>
      <c r="F4" s="87" t="n">
        <v>2029</v>
      </c>
      <c r="G4" s="87" t="n">
        <v>2030</v>
      </c>
      <c r="H4" s="87" t="n">
        <v>2031</v>
      </c>
      <c r="I4" s="87" t="n">
        <v>2032</v>
      </c>
      <c r="J4" s="87" t="n">
        <v>2033</v>
      </c>
      <c r="K4" s="87" t="n">
        <v>2034</v>
      </c>
      <c r="L4" s="87" t="n">
        <v>2035</v>
      </c>
      <c r="M4" s="87" t="n"/>
    </row>
    <row r="5">
      <c r="A5" s="89" t="inlineStr">
        <is>
          <t>ACTIVOS NO CORRIENTES</t>
        </is>
      </c>
      <c r="B5" s="70">
        <f>'1. Balance General'!G6</f>
        <v/>
      </c>
      <c r="C5">
        <f>B5</f>
        <v/>
      </c>
      <c r="D5">
        <f>C5</f>
        <v/>
      </c>
      <c r="E5">
        <f>D5</f>
        <v/>
      </c>
      <c r="F5">
        <f>E5</f>
        <v/>
      </c>
      <c r="G5">
        <f>F5</f>
        <v/>
      </c>
      <c r="H5">
        <f>G5</f>
        <v/>
      </c>
      <c r="I5">
        <f>H5</f>
        <v/>
      </c>
      <c r="J5">
        <f>I5</f>
        <v/>
      </c>
      <c r="K5">
        <f>J5</f>
        <v/>
      </c>
      <c r="L5">
        <f>K5</f>
        <v/>
      </c>
    </row>
    <row r="6">
      <c r="A6" t="inlineStr">
        <is>
          <t>Propiedades, planta y equipo, neto</t>
        </is>
      </c>
      <c r="B6" s="70">
        <f>'1. Balance General'!G7</f>
        <v/>
      </c>
      <c r="C6">
        <f>B6 + '12. ER Proyectado'!C4*0.05 - B6*0.05</f>
        <v/>
      </c>
      <c r="D6">
        <f>C6 + '12. ER Proyectado'!D4*0.05 - C6*0.05</f>
        <v/>
      </c>
      <c r="E6">
        <f>D6 + '12. ER Proyectado'!E4*0.05 - D6*0.05</f>
        <v/>
      </c>
      <c r="F6">
        <f>E6 + '12. ER Proyectado'!F4*0.05 - E6*0.05</f>
        <v/>
      </c>
      <c r="G6">
        <f>F6 + '12. ER Proyectado'!G4*0.05 - F6*0.05</f>
        <v/>
      </c>
      <c r="H6">
        <f>G6 + '12. ER Proyectado'!H4*0.05 - G6*0.05</f>
        <v/>
      </c>
      <c r="I6">
        <f>H6 + '12. ER Proyectado'!I4*0.05 - H6*0.05</f>
        <v/>
      </c>
      <c r="J6">
        <f>I6 + '12. ER Proyectado'!J4*0.05 - I6*0.05</f>
        <v/>
      </c>
      <c r="K6">
        <f>J6 + '12. ER Proyectado'!K4*0.05 - J6*0.05</f>
        <v/>
      </c>
      <c r="L6">
        <f>K6 + '12. ER Proyectado'!L4*0.05 - K6*0.05</f>
        <v/>
      </c>
    </row>
    <row r="7">
      <c r="A7" s="89" t="inlineStr">
        <is>
          <t>Activos intangibles, neto</t>
        </is>
      </c>
      <c r="B7" s="70">
        <f>'1. Balance General'!G8</f>
        <v/>
      </c>
      <c r="C7">
        <f>B7</f>
        <v/>
      </c>
      <c r="D7">
        <f>C7</f>
        <v/>
      </c>
      <c r="E7">
        <f>D7</f>
        <v/>
      </c>
      <c r="F7">
        <f>E7</f>
        <v/>
      </c>
      <c r="G7">
        <f>F7</f>
        <v/>
      </c>
      <c r="H7">
        <f>G7</f>
        <v/>
      </c>
      <c r="I7">
        <f>H7</f>
        <v/>
      </c>
      <c r="J7">
        <f>I7</f>
        <v/>
      </c>
      <c r="K7">
        <f>J7</f>
        <v/>
      </c>
      <c r="L7">
        <f>K7</f>
        <v/>
      </c>
    </row>
    <row r="8">
      <c r="A8" t="inlineStr">
        <is>
          <t>Cuentas por cobrar, neto</t>
        </is>
      </c>
      <c r="B8" s="70">
        <f>'1. Balance General'!G9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</row>
    <row r="9">
      <c r="A9" t="inlineStr">
        <is>
          <t>Instrumentos financieros</t>
        </is>
      </c>
      <c r="B9" s="70">
        <f>'1. Balance General'!G10</f>
        <v/>
      </c>
      <c r="C9">
        <f>B9</f>
        <v/>
      </c>
      <c r="D9">
        <f>C9</f>
        <v/>
      </c>
      <c r="E9">
        <f>D9</f>
        <v/>
      </c>
      <c r="F9">
        <f>E9</f>
        <v/>
      </c>
      <c r="G9">
        <f>F9</f>
        <v/>
      </c>
      <c r="H9">
        <f>G9</f>
        <v/>
      </c>
      <c r="I9">
        <f>H9</f>
        <v/>
      </c>
      <c r="J9">
        <f>I9</f>
        <v/>
      </c>
      <c r="K9">
        <f>J9</f>
        <v/>
      </c>
      <c r="L9">
        <f>K9</f>
        <v/>
      </c>
    </row>
    <row r="10">
      <c r="A10" t="inlineStr">
        <is>
          <t>Operaciones con derivados</t>
        </is>
      </c>
      <c r="B10" s="70">
        <f>'1. Balance General'!G11</f>
        <v/>
      </c>
      <c r="C10">
        <f>B10</f>
        <v/>
      </c>
      <c r="D10">
        <f>C10</f>
        <v/>
      </c>
      <c r="E10">
        <f>D10</f>
        <v/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  <c r="K10">
        <f>J10</f>
        <v/>
      </c>
      <c r="L10">
        <f>K10</f>
        <v/>
      </c>
    </row>
    <row r="11">
      <c r="A11" t="inlineStr">
        <is>
          <t>Efectivo restringido</t>
        </is>
      </c>
      <c r="B11" s="70">
        <f>'1. Balance General'!G12</f>
        <v/>
      </c>
      <c r="C11">
        <f>B11</f>
        <v/>
      </c>
      <c r="D11">
        <f>C11</f>
        <v/>
      </c>
      <c r="E11">
        <f>D11</f>
        <v/>
      </c>
      <c r="F11">
        <f>E11</f>
        <v/>
      </c>
      <c r="G11">
        <f>F11</f>
        <v/>
      </c>
      <c r="H11">
        <f>G11</f>
        <v/>
      </c>
      <c r="I11">
        <f>H11</f>
        <v/>
      </c>
      <c r="J11">
        <f>I11</f>
        <v/>
      </c>
      <c r="K11">
        <f>J11</f>
        <v/>
      </c>
      <c r="L11">
        <f>K11</f>
        <v/>
      </c>
    </row>
    <row r="12">
      <c r="A12" s="89" t="inlineStr">
        <is>
          <t>Otros activos</t>
        </is>
      </c>
      <c r="B12" s="70">
        <f>'1. Balance General'!G13</f>
        <v/>
      </c>
      <c r="C12">
        <f>B12</f>
        <v/>
      </c>
      <c r="D12">
        <f>C12</f>
        <v/>
      </c>
      <c r="E12">
        <f>D12</f>
        <v/>
      </c>
      <c r="F12">
        <f>E12</f>
        <v/>
      </c>
      <c r="G12">
        <f>F12</f>
        <v/>
      </c>
      <c r="H12">
        <f>G12</f>
        <v/>
      </c>
      <c r="I12">
        <f>H12</f>
        <v/>
      </c>
      <c r="J12">
        <f>I12</f>
        <v/>
      </c>
      <c r="K12">
        <f>J12</f>
        <v/>
      </c>
      <c r="L12">
        <f>K12</f>
        <v/>
      </c>
    </row>
    <row r="13">
      <c r="A13" s="89" t="inlineStr">
        <is>
          <t>Total Activos No Corrientes</t>
        </is>
      </c>
      <c r="B13" s="70">
        <f>'1. Balance General'!G14</f>
        <v/>
      </c>
      <c r="C13">
        <f>SUM(C5:C12)</f>
        <v/>
      </c>
      <c r="D13">
        <f>SUM(D5:D12)</f>
        <v/>
      </c>
      <c r="E13">
        <f>SUM(E5:E12)</f>
        <v/>
      </c>
      <c r="F13">
        <f>SUM(F5:F12)</f>
        <v/>
      </c>
      <c r="G13">
        <f>SUM(G5:G12)</f>
        <v/>
      </c>
      <c r="H13">
        <f>SUM(H5:H12)</f>
        <v/>
      </c>
      <c r="I13">
        <f>SUM(I5:I12)</f>
        <v/>
      </c>
      <c r="J13">
        <f>SUM(J5:J12)</f>
        <v/>
      </c>
      <c r="K13">
        <f>SUM(K5:K12)</f>
        <v/>
      </c>
      <c r="L13">
        <f>SUM(L5:L12)</f>
        <v/>
      </c>
    </row>
    <row r="14">
      <c r="B14" s="70">
        <f>'1. Balance General'!G15</f>
        <v/>
      </c>
      <c r="C14">
        <f>B14</f>
        <v/>
      </c>
      <c r="D14">
        <f>C14</f>
        <v/>
      </c>
      <c r="E14">
        <f>D14</f>
        <v/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L14">
        <f>K14</f>
        <v/>
      </c>
    </row>
    <row r="15">
      <c r="A15" s="89" t="inlineStr">
        <is>
          <t>ACTIVOS CORRIENTES</t>
        </is>
      </c>
      <c r="B15" s="70">
        <f>'1. Balance General'!G16</f>
        <v/>
      </c>
      <c r="C15">
        <f>B15</f>
        <v/>
      </c>
      <c r="D15">
        <f>C15</f>
        <v/>
      </c>
      <c r="E15">
        <f>D15</f>
        <v/>
      </c>
      <c r="F15">
        <f>E15</f>
        <v/>
      </c>
      <c r="G15">
        <f>F15</f>
        <v/>
      </c>
      <c r="H15">
        <f>G15</f>
        <v/>
      </c>
      <c r="I15">
        <f>H15</f>
        <v/>
      </c>
      <c r="J15">
        <f>I15</f>
        <v/>
      </c>
      <c r="K15">
        <f>J15</f>
        <v/>
      </c>
      <c r="L15">
        <f>K15</f>
        <v/>
      </c>
    </row>
    <row r="16">
      <c r="A16" t="inlineStr">
        <is>
          <t>Inventarios</t>
        </is>
      </c>
      <c r="B16" s="70">
        <f>'1. Balance General'!G17</f>
        <v/>
      </c>
      <c r="C16">
        <f>-'12. ER Proyectado'!C5/360 * 40</f>
        <v/>
      </c>
      <c r="D16">
        <f>-'12. ER Proyectado'!D5/360 * 40</f>
        <v/>
      </c>
      <c r="E16">
        <f>-'12. ER Proyectado'!E5/360 * 40</f>
        <v/>
      </c>
      <c r="F16">
        <f>-'12. ER Proyectado'!F5/360 * 40</f>
        <v/>
      </c>
      <c r="G16">
        <f>-'12. ER Proyectado'!G5/360 * 40</f>
        <v/>
      </c>
      <c r="H16">
        <f>-'12. ER Proyectado'!H5/360 * 40</f>
        <v/>
      </c>
      <c r="I16">
        <f>-'12. ER Proyectado'!I5/360 * 40</f>
        <v/>
      </c>
      <c r="J16">
        <f>-'12. ER Proyectado'!J5/360 * 40</f>
        <v/>
      </c>
      <c r="K16">
        <f>-'12. ER Proyectado'!K5/360 * 40</f>
        <v/>
      </c>
      <c r="L16">
        <f>-'12. ER Proyectado'!L5/360 * 40</f>
        <v/>
      </c>
    </row>
    <row r="17">
      <c r="A17" t="inlineStr">
        <is>
          <t>Cuentas por cobrar, neto</t>
        </is>
      </c>
      <c r="B17" s="70">
        <f>'1. Balance General'!G18</f>
        <v/>
      </c>
      <c r="C17">
        <f>'12. ER Proyectado'!C4/360 * 60</f>
        <v/>
      </c>
      <c r="D17">
        <f>'12. ER Proyectado'!D4/360 * 60</f>
        <v/>
      </c>
      <c r="E17">
        <f>'12. ER Proyectado'!E4/360 * 60</f>
        <v/>
      </c>
      <c r="F17">
        <f>'12. ER Proyectado'!F4/360 * 60</f>
        <v/>
      </c>
      <c r="G17">
        <f>'12. ER Proyectado'!G4/360 * 60</f>
        <v/>
      </c>
      <c r="H17">
        <f>'12. ER Proyectado'!H4/360 * 60</f>
        <v/>
      </c>
      <c r="I17">
        <f>'12. ER Proyectado'!I4/360 * 60</f>
        <v/>
      </c>
      <c r="J17">
        <f>'12. ER Proyectado'!J4/360 * 60</f>
        <v/>
      </c>
      <c r="K17">
        <f>'12. ER Proyectado'!K4/360 * 60</f>
        <v/>
      </c>
      <c r="L17">
        <f>'12. ER Proyectado'!L4/360 * 60</f>
        <v/>
      </c>
    </row>
    <row r="18">
      <c r="A18" t="inlineStr">
        <is>
          <t>Instrumentos financieros</t>
        </is>
      </c>
      <c r="B18" s="70">
        <f>'1. Balance General'!G19</f>
        <v/>
      </c>
      <c r="C18">
        <f>B18</f>
        <v/>
      </c>
      <c r="D18">
        <f>C18</f>
        <v/>
      </c>
      <c r="E18">
        <f>D18</f>
        <v/>
      </c>
      <c r="F18">
        <f>E18</f>
        <v/>
      </c>
      <c r="G18">
        <f>F18</f>
        <v/>
      </c>
      <c r="H18">
        <f>G18</f>
        <v/>
      </c>
      <c r="I18">
        <f>H18</f>
        <v/>
      </c>
      <c r="J18">
        <f>I18</f>
        <v/>
      </c>
      <c r="K18">
        <f>J18</f>
        <v/>
      </c>
      <c r="L18">
        <f>K18</f>
        <v/>
      </c>
    </row>
    <row r="19">
      <c r="A19" s="89" t="inlineStr">
        <is>
          <t>Activos por impuestos</t>
        </is>
      </c>
      <c r="B19" s="70">
        <f>'1. Balance General'!G20</f>
        <v/>
      </c>
      <c r="C19">
        <f>B19</f>
        <v/>
      </c>
      <c r="D19">
        <f>C19</f>
        <v/>
      </c>
      <c r="E19">
        <f>D19</f>
        <v/>
      </c>
      <c r="F19">
        <f>E19</f>
        <v/>
      </c>
      <c r="G19">
        <f>F19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L19">
        <f>K19</f>
        <v/>
      </c>
    </row>
    <row r="20">
      <c r="A20" s="89" t="inlineStr">
        <is>
          <t>Otros activos</t>
        </is>
      </c>
      <c r="B20" s="70">
        <f>'1. Balance General'!G21</f>
        <v/>
      </c>
      <c r="C20">
        <f>B20</f>
        <v/>
      </c>
      <c r="D20">
        <f>C20</f>
        <v/>
      </c>
      <c r="E20">
        <f>D20</f>
        <v/>
      </c>
      <c r="F20">
        <f>E20</f>
        <v/>
      </c>
      <c r="G20">
        <f>F20</f>
        <v/>
      </c>
      <c r="H20">
        <f>G20</f>
        <v/>
      </c>
      <c r="I20">
        <f>H20</f>
        <v/>
      </c>
      <c r="J20">
        <f>I20</f>
        <v/>
      </c>
      <c r="K20">
        <f>J20</f>
        <v/>
      </c>
      <c r="L20">
        <f>K20</f>
        <v/>
      </c>
    </row>
    <row r="21">
      <c r="A21" t="inlineStr">
        <is>
          <t>Operaciones con derivados</t>
        </is>
      </c>
      <c r="B21" s="70">
        <f>'1. Balance General'!G22</f>
        <v/>
      </c>
      <c r="C21">
        <f>B21</f>
        <v/>
      </c>
      <c r="D21">
        <f>C21</f>
        <v/>
      </c>
      <c r="E21">
        <f>D21</f>
        <v/>
      </c>
      <c r="F21">
        <f>E21</f>
        <v/>
      </c>
      <c r="G21">
        <f>F21</f>
        <v/>
      </c>
      <c r="H21">
        <f>G21</f>
        <v/>
      </c>
      <c r="I21">
        <f>H21</f>
        <v/>
      </c>
      <c r="J21">
        <f>I21</f>
        <v/>
      </c>
      <c r="K21">
        <f>J21</f>
        <v/>
      </c>
      <c r="L21">
        <f>K21</f>
        <v/>
      </c>
    </row>
    <row r="22">
      <c r="A22" t="inlineStr">
        <is>
          <t>Efectivo restringido</t>
        </is>
      </c>
      <c r="B22" s="70">
        <f>'1. Balance General'!G23</f>
        <v/>
      </c>
      <c r="C22">
        <f>B22</f>
        <v/>
      </c>
      <c r="D22">
        <f>C22</f>
        <v/>
      </c>
      <c r="E22">
        <f>D22</f>
        <v/>
      </c>
      <c r="F22">
        <f>E22</f>
        <v/>
      </c>
      <c r="G22">
        <f>F22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L22">
        <f>K22</f>
        <v/>
      </c>
    </row>
    <row r="23">
      <c r="A23" t="inlineStr">
        <is>
          <t>Efectivo y equivalentes de efectivo</t>
        </is>
      </c>
      <c r="B23" s="70">
        <f>'1. Balance General'!G24</f>
        <v/>
      </c>
      <c r="C23" s="93">
        <f>C59 - (SUM(C15:C22) + C13)</f>
        <v/>
      </c>
      <c r="D23" s="93">
        <f>D59 - (SUM(D15:D22) + D13)</f>
        <v/>
      </c>
      <c r="E23" s="93">
        <f>E59 - (SUM(E15:E22) + E13)</f>
        <v/>
      </c>
      <c r="F23" s="93">
        <f>F59 - (SUM(F15:F22) + F13)</f>
        <v/>
      </c>
      <c r="G23" s="93">
        <f>G59 - (SUM(G15:G22) + G13)</f>
        <v/>
      </c>
      <c r="H23" s="93">
        <f>H59 - (SUM(H15:H22) + H13)</f>
        <v/>
      </c>
      <c r="I23" s="93">
        <f>I59 - (SUM(I15:I22) + I13)</f>
        <v/>
      </c>
      <c r="J23" s="93">
        <f>J59 - (SUM(J15:J22) + J13)</f>
        <v/>
      </c>
      <c r="K23" s="93">
        <f>K59 - (SUM(K15:K22) + K13)</f>
        <v/>
      </c>
      <c r="L23" s="93">
        <f>L59 - (SUM(L15:L22) + L13)</f>
        <v/>
      </c>
    </row>
    <row r="24">
      <c r="A24" s="89" t="inlineStr">
        <is>
          <t>Total Activos Corrientes</t>
        </is>
      </c>
      <c r="B24" s="70">
        <f>'1. Balance General'!G25</f>
        <v/>
      </c>
      <c r="C24">
        <f>SUM(C15:C23)</f>
        <v/>
      </c>
      <c r="D24">
        <f>SUM(D15:D23)</f>
        <v/>
      </c>
      <c r="E24">
        <f>SUM(E15:E23)</f>
        <v/>
      </c>
      <c r="F24">
        <f>SUM(F15:F23)</f>
        <v/>
      </c>
      <c r="G24">
        <f>SUM(G15:G23)</f>
        <v/>
      </c>
      <c r="H24">
        <f>SUM(H15:H23)</f>
        <v/>
      </c>
      <c r="I24">
        <f>SUM(I15:I23)</f>
        <v/>
      </c>
      <c r="J24">
        <f>SUM(J15:J23)</f>
        <v/>
      </c>
      <c r="K24">
        <f>SUM(K15:K23)</f>
        <v/>
      </c>
      <c r="L24">
        <f>SUM(L15:L23)</f>
        <v/>
      </c>
    </row>
    <row r="25">
      <c r="B25" s="70">
        <f>'1. Balance General'!G26</f>
        <v/>
      </c>
      <c r="C25">
        <f>B25</f>
        <v/>
      </c>
      <c r="D25">
        <f>C25</f>
        <v/>
      </c>
      <c r="E25">
        <f>D25</f>
        <v/>
      </c>
      <c r="F25">
        <f>E25</f>
        <v/>
      </c>
      <c r="G25">
        <f>F25</f>
        <v/>
      </c>
      <c r="H25">
        <f>G25</f>
        <v/>
      </c>
      <c r="I25">
        <f>H25</f>
        <v/>
      </c>
      <c r="J25">
        <f>I25</f>
        <v/>
      </c>
      <c r="K25">
        <f>J25</f>
        <v/>
      </c>
      <c r="L25">
        <f>K25</f>
        <v/>
      </c>
    </row>
    <row r="26">
      <c r="A26" s="89" t="inlineStr">
        <is>
          <t>TOTAL ACTIVOS</t>
        </is>
      </c>
      <c r="B26" s="70">
        <f>'1. Balance General'!G27</f>
        <v/>
      </c>
      <c r="C26">
        <f>C13+C24</f>
        <v/>
      </c>
      <c r="D26">
        <f>D13+D24</f>
        <v/>
      </c>
      <c r="E26">
        <f>E13+E24</f>
        <v/>
      </c>
      <c r="F26">
        <f>F13+F24</f>
        <v/>
      </c>
      <c r="G26">
        <f>G13+G24</f>
        <v/>
      </c>
      <c r="H26">
        <f>H13+H24</f>
        <v/>
      </c>
      <c r="I26">
        <f>I13+I24</f>
        <v/>
      </c>
      <c r="J26">
        <f>J13+J24</f>
        <v/>
      </c>
      <c r="K26">
        <f>K13+K24</f>
        <v/>
      </c>
      <c r="L26">
        <f>L13+L24</f>
        <v/>
      </c>
    </row>
    <row r="27">
      <c r="B27" s="70">
        <f>'1. Balance General'!G28</f>
        <v/>
      </c>
      <c r="C27">
        <f>B27</f>
        <v/>
      </c>
      <c r="D27">
        <f>C27</f>
        <v/>
      </c>
      <c r="E27">
        <f>D27</f>
        <v/>
      </c>
      <c r="F27">
        <f>E27</f>
        <v/>
      </c>
      <c r="G27">
        <f>F27</f>
        <v/>
      </c>
      <c r="H27">
        <f>G27</f>
        <v/>
      </c>
      <c r="I27">
        <f>H27</f>
        <v/>
      </c>
      <c r="J27">
        <f>I27</f>
        <v/>
      </c>
      <c r="K27">
        <f>J27</f>
        <v/>
      </c>
      <c r="L27">
        <f>K27</f>
        <v/>
      </c>
    </row>
    <row r="28">
      <c r="A28" s="89" t="inlineStr">
        <is>
          <t>PATRIMONIO</t>
        </is>
      </c>
      <c r="B28" s="70">
        <f>'1. Balance General'!G29</f>
        <v/>
      </c>
      <c r="C28">
        <f>B28</f>
        <v/>
      </c>
      <c r="D28">
        <f>C28</f>
        <v/>
      </c>
      <c r="E28">
        <f>D28</f>
        <v/>
      </c>
      <c r="F28">
        <f>E28</f>
        <v/>
      </c>
      <c r="G28">
        <f>F28</f>
        <v/>
      </c>
      <c r="H28">
        <f>G28</f>
        <v/>
      </c>
      <c r="I28">
        <f>H28</f>
        <v/>
      </c>
      <c r="J28">
        <f>I28</f>
        <v/>
      </c>
      <c r="K28">
        <f>J28</f>
        <v/>
      </c>
      <c r="L28">
        <f>K28</f>
        <v/>
      </c>
    </row>
    <row r="29">
      <c r="A29" t="inlineStr">
        <is>
          <t>Capital</t>
        </is>
      </c>
      <c r="B29" s="70">
        <f>'1. Balance General'!G30</f>
        <v/>
      </c>
      <c r="C29">
        <f>B29</f>
        <v/>
      </c>
      <c r="D29">
        <f>C29</f>
        <v/>
      </c>
      <c r="E29">
        <f>D29</f>
        <v/>
      </c>
      <c r="F29">
        <f>E29</f>
        <v/>
      </c>
      <c r="G29">
        <f>F29</f>
        <v/>
      </c>
      <c r="H29">
        <f>G29</f>
        <v/>
      </c>
      <c r="I29">
        <f>H29</f>
        <v/>
      </c>
      <c r="J29">
        <f>I29</f>
        <v/>
      </c>
      <c r="K29">
        <f>J29</f>
        <v/>
      </c>
      <c r="L29">
        <f>K29</f>
        <v/>
      </c>
    </row>
    <row r="30">
      <c r="A30" t="inlineStr">
        <is>
          <t>Reservas</t>
        </is>
      </c>
      <c r="B30" s="70">
        <f>'1. Balance General'!G31</f>
        <v/>
      </c>
      <c r="C30">
        <f>B30</f>
        <v/>
      </c>
      <c r="D30">
        <f>C30</f>
        <v/>
      </c>
      <c r="E30">
        <f>D30</f>
        <v/>
      </c>
      <c r="F30">
        <f>E30</f>
        <v/>
      </c>
      <c r="G30">
        <f>F30</f>
        <v/>
      </c>
      <c r="H30">
        <f>G30</f>
        <v/>
      </c>
      <c r="I30">
        <f>H30</f>
        <v/>
      </c>
      <c r="J30">
        <f>I30</f>
        <v/>
      </c>
      <c r="K30">
        <f>J30</f>
        <v/>
      </c>
      <c r="L30">
        <f>K30</f>
        <v/>
      </c>
    </row>
    <row r="31">
      <c r="A31" t="inlineStr">
        <is>
          <t>Superávit de capital</t>
        </is>
      </c>
      <c r="B31" s="70">
        <f>'1. Balance General'!G32</f>
        <v/>
      </c>
      <c r="C31">
        <f>B31</f>
        <v/>
      </c>
      <c r="D31">
        <f>C31</f>
        <v/>
      </c>
      <c r="E31">
        <f>D31</f>
        <v/>
      </c>
      <c r="F31">
        <f>E31</f>
        <v/>
      </c>
      <c r="G31">
        <f>F31</f>
        <v/>
      </c>
      <c r="H31">
        <f>G31</f>
        <v/>
      </c>
      <c r="I31">
        <f>H31</f>
        <v/>
      </c>
      <c r="J31">
        <f>I31</f>
        <v/>
      </c>
      <c r="K31">
        <f>J31</f>
        <v/>
      </c>
      <c r="L31">
        <f>K31</f>
        <v/>
      </c>
    </row>
    <row r="32">
      <c r="A32" t="inlineStr">
        <is>
          <t>Ganancias retenidas</t>
        </is>
      </c>
      <c r="B32" s="70">
        <f>'1. Balance General'!G33</f>
        <v/>
      </c>
      <c r="C32">
        <f>B32 + '12. ER Proyectado'!C20</f>
        <v/>
      </c>
      <c r="D32">
        <f>C32 + '12. ER Proyectado'!D20</f>
        <v/>
      </c>
      <c r="E32">
        <f>D32 + '12. ER Proyectado'!E20</f>
        <v/>
      </c>
      <c r="F32">
        <f>E32 + '12. ER Proyectado'!F20</f>
        <v/>
      </c>
      <c r="G32">
        <f>F32 + '12. ER Proyectado'!G20</f>
        <v/>
      </c>
      <c r="H32">
        <f>G32 + '12. ER Proyectado'!H20</f>
        <v/>
      </c>
      <c r="I32">
        <f>H32 + '12. ER Proyectado'!I20</f>
        <v/>
      </c>
      <c r="J32">
        <f>I32 + '12. ER Proyectado'!J20</f>
        <v/>
      </c>
      <c r="K32">
        <f>J32 + '12. ER Proyectado'!K20</f>
        <v/>
      </c>
      <c r="L32">
        <f>K32 + '12. ER Proyectado'!L20</f>
        <v/>
      </c>
    </row>
    <row r="33">
      <c r="A33" t="inlineStr">
        <is>
          <t>Otro resultado integral</t>
        </is>
      </c>
      <c r="B33" s="70">
        <f>'1. Balance General'!G34</f>
        <v/>
      </c>
      <c r="C33">
        <f>B33</f>
        <v/>
      </c>
      <c r="D33">
        <f>C33</f>
        <v/>
      </c>
      <c r="E33">
        <f>D33</f>
        <v/>
      </c>
      <c r="F33">
        <f>E33</f>
        <v/>
      </c>
      <c r="G33">
        <f>F33</f>
        <v/>
      </c>
      <c r="H33">
        <f>G33</f>
        <v/>
      </c>
      <c r="I33">
        <f>H33</f>
        <v/>
      </c>
      <c r="J33">
        <f>I33</f>
        <v/>
      </c>
      <c r="K33">
        <f>J33</f>
        <v/>
      </c>
      <c r="L33">
        <f>K33</f>
        <v/>
      </c>
    </row>
    <row r="34">
      <c r="A34" s="89" t="inlineStr">
        <is>
          <t>Resultado integral total periodo (Utilidad Neta)</t>
        </is>
      </c>
      <c r="B34" s="70">
        <f>'1. Balance General'!G35</f>
        <v/>
      </c>
      <c r="C34">
        <f>B34</f>
        <v/>
      </c>
      <c r="D34">
        <f>C34</f>
        <v/>
      </c>
      <c r="E34">
        <f>D34</f>
        <v/>
      </c>
      <c r="F34">
        <f>E34</f>
        <v/>
      </c>
      <c r="G34">
        <f>F34</f>
        <v/>
      </c>
      <c r="H34">
        <f>G34</f>
        <v/>
      </c>
      <c r="I34">
        <f>H34</f>
        <v/>
      </c>
      <c r="J34">
        <f>I34</f>
        <v/>
      </c>
      <c r="K34">
        <f>J34</f>
        <v/>
      </c>
      <c r="L34">
        <f>K34</f>
        <v/>
      </c>
    </row>
    <row r="35">
      <c r="A35" s="89" t="inlineStr">
        <is>
          <t>Total Patrimonio de los Accionistas</t>
        </is>
      </c>
      <c r="B35" s="70">
        <f>'1. Balance General'!G36</f>
        <v/>
      </c>
      <c r="C35">
        <f>SUM(C29:C34)</f>
        <v/>
      </c>
      <c r="D35">
        <f>SUM(D29:D34)</f>
        <v/>
      </c>
      <c r="E35">
        <f>SUM(E29:E34)</f>
        <v/>
      </c>
      <c r="F35">
        <f>SUM(F29:F34)</f>
        <v/>
      </c>
      <c r="G35">
        <f>SUM(G29:G34)</f>
        <v/>
      </c>
      <c r="H35">
        <f>SUM(H29:H34)</f>
        <v/>
      </c>
      <c r="I35">
        <f>SUM(I29:I34)</f>
        <v/>
      </c>
      <c r="J35">
        <f>SUM(J29:J34)</f>
        <v/>
      </c>
      <c r="K35">
        <f>SUM(K29:K34)</f>
        <v/>
      </c>
      <c r="L35">
        <f>SUM(L29:L34)</f>
        <v/>
      </c>
    </row>
    <row r="36">
      <c r="B36" s="70">
        <f>'1. Balance General'!G37</f>
        <v/>
      </c>
      <c r="C36">
        <f>B36</f>
        <v/>
      </c>
      <c r="D36">
        <f>C36</f>
        <v/>
      </c>
      <c r="E36">
        <f>D36</f>
        <v/>
      </c>
      <c r="F36">
        <f>E36</f>
        <v/>
      </c>
      <c r="G36">
        <f>F36</f>
        <v/>
      </c>
      <c r="H36">
        <f>G36</f>
        <v/>
      </c>
      <c r="I36">
        <f>H36</f>
        <v/>
      </c>
      <c r="J36">
        <f>I36</f>
        <v/>
      </c>
      <c r="K36">
        <f>J36</f>
        <v/>
      </c>
      <c r="L36">
        <f>K36</f>
        <v/>
      </c>
    </row>
    <row r="37">
      <c r="A37" s="89" t="inlineStr">
        <is>
          <t>PASIVOS NO CORRIENTES</t>
        </is>
      </c>
      <c r="B37" s="70">
        <f>'1. Balance General'!G38</f>
        <v/>
      </c>
      <c r="C37">
        <f>B37</f>
        <v/>
      </c>
      <c r="D37">
        <f>C37</f>
        <v/>
      </c>
      <c r="E37">
        <f>D37</f>
        <v/>
      </c>
      <c r="F37">
        <f>E37</f>
        <v/>
      </c>
      <c r="G37">
        <f>F37</f>
        <v/>
      </c>
      <c r="H37">
        <f>G37</f>
        <v/>
      </c>
      <c r="I37">
        <f>H37</f>
        <v/>
      </c>
      <c r="J37">
        <f>I37</f>
        <v/>
      </c>
      <c r="K37">
        <f>J37</f>
        <v/>
      </c>
      <c r="L37">
        <f>K37</f>
        <v/>
      </c>
    </row>
    <row r="38">
      <c r="A38" t="inlineStr">
        <is>
          <t>Operaciones de financiamiento</t>
        </is>
      </c>
      <c r="B38" s="70">
        <f>'1. Balance General'!G39</f>
        <v/>
      </c>
      <c r="C38">
        <f>B38</f>
        <v/>
      </c>
      <c r="D38">
        <f>C38</f>
        <v/>
      </c>
      <c r="E38">
        <f>D38</f>
        <v/>
      </c>
      <c r="F38">
        <f>E38</f>
        <v/>
      </c>
      <c r="G38">
        <f>F38</f>
        <v/>
      </c>
      <c r="H38">
        <f>G38</f>
        <v/>
      </c>
      <c r="I38">
        <f>H38</f>
        <v/>
      </c>
      <c r="J38">
        <f>I38</f>
        <v/>
      </c>
      <c r="K38">
        <f>J38</f>
        <v/>
      </c>
      <c r="L38">
        <f>K38</f>
        <v/>
      </c>
    </row>
    <row r="39">
      <c r="A39" t="inlineStr">
        <is>
          <t>Obligaciones con vinculados</t>
        </is>
      </c>
      <c r="B39" s="70">
        <f>'1. Balance General'!G40</f>
        <v/>
      </c>
      <c r="C39">
        <f>B39</f>
        <v/>
      </c>
      <c r="D39">
        <f>C39</f>
        <v/>
      </c>
      <c r="E39">
        <f>D39</f>
        <v/>
      </c>
      <c r="F39">
        <f>E39</f>
        <v/>
      </c>
      <c r="G39">
        <f>F39</f>
        <v/>
      </c>
      <c r="H39">
        <f>G39</f>
        <v/>
      </c>
      <c r="I39">
        <f>H39</f>
        <v/>
      </c>
      <c r="J39">
        <f>I39</f>
        <v/>
      </c>
      <c r="K39">
        <f>J39</f>
        <v/>
      </c>
      <c r="L39">
        <f>K39</f>
        <v/>
      </c>
    </row>
    <row r="40">
      <c r="A40" t="inlineStr">
        <is>
          <t>Operaciones con derivados</t>
        </is>
      </c>
      <c r="B40" s="70">
        <f>'1. Balance General'!G41</f>
        <v/>
      </c>
      <c r="C40">
        <f>B40</f>
        <v/>
      </c>
      <c r="D40">
        <f>C40</f>
        <v/>
      </c>
      <c r="E40">
        <f>D40</f>
        <v/>
      </c>
      <c r="F40">
        <f>E40</f>
        <v/>
      </c>
      <c r="G40">
        <f>F40</f>
        <v/>
      </c>
      <c r="H40">
        <f>G40</f>
        <v/>
      </c>
      <c r="I40">
        <f>H40</f>
        <v/>
      </c>
      <c r="J40">
        <f>I40</f>
        <v/>
      </c>
      <c r="K40">
        <f>J40</f>
        <v/>
      </c>
      <c r="L40">
        <f>K40</f>
        <v/>
      </c>
    </row>
    <row r="41">
      <c r="A41" t="inlineStr">
        <is>
          <t>Impuestos, contribuciones y tasas</t>
        </is>
      </c>
      <c r="B41" s="70">
        <f>'1. Balance General'!G42</f>
        <v/>
      </c>
      <c r="C41">
        <f>B41</f>
        <v/>
      </c>
      <c r="D41">
        <f>C41</f>
        <v/>
      </c>
      <c r="E41">
        <f>D41</f>
        <v/>
      </c>
      <c r="F41">
        <f>E41</f>
        <v/>
      </c>
      <c r="G41">
        <f>F41</f>
        <v/>
      </c>
      <c r="H41">
        <f>G41</f>
        <v/>
      </c>
      <c r="I41">
        <f>H41</f>
        <v/>
      </c>
      <c r="J41">
        <f>I41</f>
        <v/>
      </c>
      <c r="K41">
        <f>J41</f>
        <v/>
      </c>
      <c r="L41">
        <f>K41</f>
        <v/>
      </c>
    </row>
    <row r="42">
      <c r="A42" t="inlineStr">
        <is>
          <t>Beneficios a empleados</t>
        </is>
      </c>
      <c r="B42" s="70">
        <f>'1. Balance General'!G43</f>
        <v/>
      </c>
      <c r="C42">
        <f>B42</f>
        <v/>
      </c>
      <c r="D42">
        <f>C42</f>
        <v/>
      </c>
      <c r="E42">
        <f>D42</f>
        <v/>
      </c>
      <c r="F42">
        <f>E42</f>
        <v/>
      </c>
      <c r="G42">
        <f>F42</f>
        <v/>
      </c>
      <c r="H42">
        <f>G42</f>
        <v/>
      </c>
      <c r="I42">
        <f>H42</f>
        <v/>
      </c>
      <c r="J42">
        <f>I42</f>
        <v/>
      </c>
      <c r="K42">
        <f>J42</f>
        <v/>
      </c>
      <c r="L42">
        <f>K42</f>
        <v/>
      </c>
    </row>
    <row r="43">
      <c r="A43" t="inlineStr">
        <is>
          <t>Provisiones</t>
        </is>
      </c>
      <c r="B43" s="70">
        <f>'1. Balance General'!G44</f>
        <v/>
      </c>
      <c r="C43">
        <f>B43</f>
        <v/>
      </c>
      <c r="D43">
        <f>C43</f>
        <v/>
      </c>
      <c r="E43">
        <f>D43</f>
        <v/>
      </c>
      <c r="F43">
        <f>E43</f>
        <v/>
      </c>
      <c r="G43">
        <f>F43</f>
        <v/>
      </c>
      <c r="H43">
        <f>G43</f>
        <v/>
      </c>
      <c r="I43">
        <f>H43</f>
        <v/>
      </c>
      <c r="J43">
        <f>I43</f>
        <v/>
      </c>
      <c r="K43">
        <f>J43</f>
        <v/>
      </c>
      <c r="L43">
        <f>K43</f>
        <v/>
      </c>
    </row>
    <row r="44">
      <c r="A44" t="inlineStr">
        <is>
          <t>Cuentas por pagar</t>
        </is>
      </c>
      <c r="B44" s="70">
        <f>'1. Balance General'!G45</f>
        <v/>
      </c>
      <c r="C44">
        <f>B44</f>
        <v/>
      </c>
      <c r="D44">
        <f>C44</f>
        <v/>
      </c>
      <c r="E44">
        <f>D44</f>
        <v/>
      </c>
      <c r="F44">
        <f>E44</f>
        <v/>
      </c>
      <c r="G44">
        <f>F44</f>
        <v/>
      </c>
      <c r="H44">
        <f>G44</f>
        <v/>
      </c>
      <c r="I44">
        <f>H44</f>
        <v/>
      </c>
      <c r="J44">
        <f>I44</f>
        <v/>
      </c>
      <c r="K44">
        <f>J44</f>
        <v/>
      </c>
      <c r="L44">
        <f>K44</f>
        <v/>
      </c>
    </row>
    <row r="45">
      <c r="A45" s="89" t="inlineStr">
        <is>
          <t>Total Pasivos No Corrientes</t>
        </is>
      </c>
      <c r="B45" s="70">
        <f>'1. Balance General'!G46</f>
        <v/>
      </c>
      <c r="C45">
        <f>SUM(C37:C44)</f>
        <v/>
      </c>
      <c r="D45">
        <f>SUM(D37:D44)</f>
        <v/>
      </c>
      <c r="E45">
        <f>SUM(E37:E44)</f>
        <v/>
      </c>
      <c r="F45">
        <f>SUM(F37:F44)</f>
        <v/>
      </c>
      <c r="G45">
        <f>SUM(G37:G44)</f>
        <v/>
      </c>
      <c r="H45">
        <f>SUM(H37:H44)</f>
        <v/>
      </c>
      <c r="I45">
        <f>SUM(I37:I44)</f>
        <v/>
      </c>
      <c r="J45">
        <f>SUM(J37:J44)</f>
        <v/>
      </c>
      <c r="K45">
        <f>SUM(K37:K44)</f>
        <v/>
      </c>
      <c r="L45">
        <f>SUM(L37:L44)</f>
        <v/>
      </c>
    </row>
    <row r="46">
      <c r="B46" s="70">
        <f>'1. Balance General'!G47</f>
        <v/>
      </c>
      <c r="C46">
        <f>B46</f>
        <v/>
      </c>
      <c r="D46">
        <f>C46</f>
        <v/>
      </c>
      <c r="E46">
        <f>D46</f>
        <v/>
      </c>
      <c r="F46">
        <f>E46</f>
        <v/>
      </c>
      <c r="G46">
        <f>F46</f>
        <v/>
      </c>
      <c r="H46">
        <f>G46</f>
        <v/>
      </c>
      <c r="I46">
        <f>H46</f>
        <v/>
      </c>
      <c r="J46">
        <f>I46</f>
        <v/>
      </c>
      <c r="K46">
        <f>J46</f>
        <v/>
      </c>
      <c r="L46">
        <f>K46</f>
        <v/>
      </c>
    </row>
    <row r="47">
      <c r="A47" s="89" t="inlineStr">
        <is>
          <t>PASIVOS CORRIENTES</t>
        </is>
      </c>
      <c r="B47" s="70">
        <f>'1. Balance General'!G48</f>
        <v/>
      </c>
      <c r="C47">
        <f>B47</f>
        <v/>
      </c>
      <c r="D47">
        <f>C47</f>
        <v/>
      </c>
      <c r="E47">
        <f>D47</f>
        <v/>
      </c>
      <c r="F47">
        <f>E47</f>
        <v/>
      </c>
      <c r="G47">
        <f>F47</f>
        <v/>
      </c>
      <c r="H47">
        <f>G47</f>
        <v/>
      </c>
      <c r="I47">
        <f>H47</f>
        <v/>
      </c>
      <c r="J47">
        <f>I47</f>
        <v/>
      </c>
      <c r="K47">
        <f>J47</f>
        <v/>
      </c>
      <c r="L47">
        <f>K47</f>
        <v/>
      </c>
    </row>
    <row r="48">
      <c r="A48" t="inlineStr">
        <is>
          <t>Operaciones de financiamiento</t>
        </is>
      </c>
      <c r="B48" s="70">
        <f>'1. Balance General'!G49</f>
        <v/>
      </c>
      <c r="C48">
        <f>B48</f>
        <v/>
      </c>
      <c r="D48">
        <f>C48</f>
        <v/>
      </c>
      <c r="E48">
        <f>D48</f>
        <v/>
      </c>
      <c r="F48">
        <f>E48</f>
        <v/>
      </c>
      <c r="G48">
        <f>F48</f>
        <v/>
      </c>
      <c r="H48">
        <f>G48</f>
        <v/>
      </c>
      <c r="I48">
        <f>H48</f>
        <v/>
      </c>
      <c r="J48">
        <f>I48</f>
        <v/>
      </c>
      <c r="K48">
        <f>J48</f>
        <v/>
      </c>
      <c r="L48">
        <f>K48</f>
        <v/>
      </c>
    </row>
    <row r="49">
      <c r="A49" t="inlineStr">
        <is>
          <t>Cuentas por pagar</t>
        </is>
      </c>
      <c r="B49" s="70">
        <f>'1. Balance General'!G50</f>
        <v/>
      </c>
      <c r="C49">
        <f>-'12. ER Proyectado'!C5/360 * 45</f>
        <v/>
      </c>
      <c r="D49">
        <f>-'12. ER Proyectado'!D5/360 * 45</f>
        <v/>
      </c>
      <c r="E49">
        <f>-'12. ER Proyectado'!E5/360 * 45</f>
        <v/>
      </c>
      <c r="F49">
        <f>-'12. ER Proyectado'!F5/360 * 45</f>
        <v/>
      </c>
      <c r="G49">
        <f>-'12. ER Proyectado'!G5/360 * 45</f>
        <v/>
      </c>
      <c r="H49">
        <f>-'12. ER Proyectado'!H5/360 * 45</f>
        <v/>
      </c>
      <c r="I49">
        <f>-'12. ER Proyectado'!I5/360 * 45</f>
        <v/>
      </c>
      <c r="J49">
        <f>-'12. ER Proyectado'!J5/360 * 45</f>
        <v/>
      </c>
      <c r="K49">
        <f>-'12. ER Proyectado'!K5/360 * 45</f>
        <v/>
      </c>
      <c r="L49">
        <f>-'12. ER Proyectado'!L5/360 * 45</f>
        <v/>
      </c>
    </row>
    <row r="50">
      <c r="A50" t="inlineStr">
        <is>
          <t>Obligaciones con vinculados</t>
        </is>
      </c>
      <c r="B50" s="70">
        <f>'1. Balance General'!G51</f>
        <v/>
      </c>
      <c r="C50">
        <f>B50</f>
        <v/>
      </c>
      <c r="D50">
        <f>C50</f>
        <v/>
      </c>
      <c r="E50">
        <f>D50</f>
        <v/>
      </c>
      <c r="F50">
        <f>E50</f>
        <v/>
      </c>
      <c r="G50">
        <f>F50</f>
        <v/>
      </c>
      <c r="H50">
        <f>G50</f>
        <v/>
      </c>
      <c r="I50">
        <f>H50</f>
        <v/>
      </c>
      <c r="J50">
        <f>I50</f>
        <v/>
      </c>
      <c r="K50">
        <f>J50</f>
        <v/>
      </c>
      <c r="L50">
        <f>K50</f>
        <v/>
      </c>
    </row>
    <row r="51">
      <c r="A51" t="inlineStr">
        <is>
          <t>Operaciones con derivados</t>
        </is>
      </c>
      <c r="B51" s="70">
        <f>'1. Balance General'!G52</f>
        <v/>
      </c>
      <c r="C51">
        <f>B51</f>
        <v/>
      </c>
      <c r="D51">
        <f>C51</f>
        <v/>
      </c>
      <c r="E51">
        <f>D51</f>
        <v/>
      </c>
      <c r="F51">
        <f>E51</f>
        <v/>
      </c>
      <c r="G51">
        <f>F51</f>
        <v/>
      </c>
      <c r="H51">
        <f>G51</f>
        <v/>
      </c>
      <c r="I51">
        <f>H51</f>
        <v/>
      </c>
      <c r="J51">
        <f>I51</f>
        <v/>
      </c>
      <c r="K51">
        <f>J51</f>
        <v/>
      </c>
      <c r="L51">
        <f>K51</f>
        <v/>
      </c>
    </row>
    <row r="52">
      <c r="A52" t="inlineStr">
        <is>
          <t>Impuestos, contribuciones y tasas</t>
        </is>
      </c>
      <c r="B52" s="70">
        <f>'1. Balance General'!G53</f>
        <v/>
      </c>
      <c r="C52">
        <f>B52</f>
        <v/>
      </c>
      <c r="D52">
        <f>C52</f>
        <v/>
      </c>
      <c r="E52">
        <f>D52</f>
        <v/>
      </c>
      <c r="F52">
        <f>E52</f>
        <v/>
      </c>
      <c r="G52">
        <f>F52</f>
        <v/>
      </c>
      <c r="H52">
        <f>G52</f>
        <v/>
      </c>
      <c r="I52">
        <f>H52</f>
        <v/>
      </c>
      <c r="J52">
        <f>I52</f>
        <v/>
      </c>
      <c r="K52">
        <f>J52</f>
        <v/>
      </c>
      <c r="L52">
        <f>K52</f>
        <v/>
      </c>
    </row>
    <row r="53">
      <c r="A53" t="inlineStr">
        <is>
          <t>Beneficios a empleados</t>
        </is>
      </c>
      <c r="B53" s="70">
        <f>'1. Balance General'!G54</f>
        <v/>
      </c>
      <c r="C53">
        <f>B53</f>
        <v/>
      </c>
      <c r="D53">
        <f>C53</f>
        <v/>
      </c>
      <c r="E53">
        <f>D53</f>
        <v/>
      </c>
      <c r="F53">
        <f>E53</f>
        <v/>
      </c>
      <c r="G53">
        <f>F53</f>
        <v/>
      </c>
      <c r="H53">
        <f>G53</f>
        <v/>
      </c>
      <c r="I53">
        <f>H53</f>
        <v/>
      </c>
      <c r="J53">
        <f>I53</f>
        <v/>
      </c>
      <c r="K53">
        <f>J53</f>
        <v/>
      </c>
      <c r="L53">
        <f>K53</f>
        <v/>
      </c>
    </row>
    <row r="54">
      <c r="A54" t="inlineStr">
        <is>
          <t>Provisiones</t>
        </is>
      </c>
      <c r="B54" s="70">
        <f>'1. Balance General'!G55</f>
        <v/>
      </c>
      <c r="C54">
        <f>B54</f>
        <v/>
      </c>
      <c r="D54">
        <f>C54</f>
        <v/>
      </c>
      <c r="E54">
        <f>D54</f>
        <v/>
      </c>
      <c r="F54">
        <f>E54</f>
        <v/>
      </c>
      <c r="G54">
        <f>F54</f>
        <v/>
      </c>
      <c r="H54">
        <f>G54</f>
        <v/>
      </c>
      <c r="I54">
        <f>H54</f>
        <v/>
      </c>
      <c r="J54">
        <f>I54</f>
        <v/>
      </c>
      <c r="K54">
        <f>J54</f>
        <v/>
      </c>
      <c r="L54">
        <f>K54</f>
        <v/>
      </c>
    </row>
    <row r="55">
      <c r="A55" s="89" t="inlineStr">
        <is>
          <t>Otros pasivos</t>
        </is>
      </c>
      <c r="B55" s="70">
        <f>'1. Balance General'!G56</f>
        <v/>
      </c>
      <c r="C55">
        <f>B55</f>
        <v/>
      </c>
      <c r="D55">
        <f>C55</f>
        <v/>
      </c>
      <c r="E55">
        <f>D55</f>
        <v/>
      </c>
      <c r="F55">
        <f>E55</f>
        <v/>
      </c>
      <c r="G55">
        <f>F55</f>
        <v/>
      </c>
      <c r="H55">
        <f>G55</f>
        <v/>
      </c>
      <c r="I55">
        <f>H55</f>
        <v/>
      </c>
      <c r="J55">
        <f>I55</f>
        <v/>
      </c>
      <c r="K55">
        <f>J55</f>
        <v/>
      </c>
      <c r="L55">
        <f>K55</f>
        <v/>
      </c>
    </row>
    <row r="56">
      <c r="A56" s="89" t="inlineStr">
        <is>
          <t>Total Pasivos Corrientes</t>
        </is>
      </c>
      <c r="B56" s="70">
        <f>'1. Balance General'!G57</f>
        <v/>
      </c>
      <c r="C56">
        <f>SUM(C47:C55)</f>
        <v/>
      </c>
      <c r="D56">
        <f>SUM(D47:D55)</f>
        <v/>
      </c>
      <c r="E56">
        <f>SUM(E47:E55)</f>
        <v/>
      </c>
      <c r="F56">
        <f>SUM(F47:F55)</f>
        <v/>
      </c>
      <c r="G56">
        <f>SUM(G47:G55)</f>
        <v/>
      </c>
      <c r="H56">
        <f>SUM(H47:H55)</f>
        <v/>
      </c>
      <c r="I56">
        <f>SUM(I47:I55)</f>
        <v/>
      </c>
      <c r="J56">
        <f>SUM(J47:J55)</f>
        <v/>
      </c>
      <c r="K56">
        <f>SUM(K47:K55)</f>
        <v/>
      </c>
      <c r="L56">
        <f>SUM(L47:L55)</f>
        <v/>
      </c>
    </row>
    <row r="57">
      <c r="B57" s="70">
        <f>'1. Balance General'!G58</f>
        <v/>
      </c>
      <c r="C57">
        <f>B57</f>
        <v/>
      </c>
      <c r="D57">
        <f>C57</f>
        <v/>
      </c>
      <c r="E57">
        <f>D57</f>
        <v/>
      </c>
      <c r="F57">
        <f>E57</f>
        <v/>
      </c>
      <c r="G57">
        <f>F57</f>
        <v/>
      </c>
      <c r="H57">
        <f>G57</f>
        <v/>
      </c>
      <c r="I57">
        <f>H57</f>
        <v/>
      </c>
      <c r="J57">
        <f>I57</f>
        <v/>
      </c>
      <c r="K57">
        <f>J57</f>
        <v/>
      </c>
      <c r="L57">
        <f>K57</f>
        <v/>
      </c>
    </row>
    <row r="58">
      <c r="A58" s="89" t="inlineStr">
        <is>
          <t>TOTAL PASIVOS</t>
        </is>
      </c>
      <c r="B58" s="70">
        <f>'1. Balance General'!G59</f>
        <v/>
      </c>
      <c r="C58">
        <f>C45+C56</f>
        <v/>
      </c>
      <c r="D58">
        <f>D45+D56</f>
        <v/>
      </c>
      <c r="E58">
        <f>E45+E56</f>
        <v/>
      </c>
      <c r="F58">
        <f>F45+F56</f>
        <v/>
      </c>
      <c r="G58">
        <f>G45+G56</f>
        <v/>
      </c>
      <c r="H58">
        <f>H45+H56</f>
        <v/>
      </c>
      <c r="I58">
        <f>I45+I56</f>
        <v/>
      </c>
      <c r="J58">
        <f>J45+J56</f>
        <v/>
      </c>
      <c r="K58">
        <f>K45+K56</f>
        <v/>
      </c>
      <c r="L58">
        <f>L45+L56</f>
        <v/>
      </c>
    </row>
    <row r="59">
      <c r="A59" s="89" t="inlineStr">
        <is>
          <t>TOTAL PATRIMONIO Y PASIVOS</t>
        </is>
      </c>
      <c r="B59" s="70">
        <f>'1. Balance General'!G60</f>
        <v/>
      </c>
      <c r="C59">
        <f>C58+C35</f>
        <v/>
      </c>
      <c r="D59">
        <f>D58+D35</f>
        <v/>
      </c>
      <c r="E59">
        <f>E58+E35</f>
        <v/>
      </c>
      <c r="F59">
        <f>F58+F35</f>
        <v/>
      </c>
      <c r="G59">
        <f>G58+G35</f>
        <v/>
      </c>
      <c r="H59">
        <f>H58+H35</f>
        <v/>
      </c>
      <c r="I59">
        <f>I58+I35</f>
        <v/>
      </c>
      <c r="J59">
        <f>J58+J35</f>
        <v/>
      </c>
      <c r="K59">
        <f>K58+K35</f>
        <v/>
      </c>
      <c r="L59">
        <f>L58+L35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2025-12-04T21:45:00Z</dcterms:created>
  <dcterms:modified xsi:type="dcterms:W3CDTF">2025-12-06T17:51:41Z</dcterms:modified>
  <cp:lastModifiedBy>JUAN ANDRES MIRANDA ROJO</cp:lastModifiedBy>
</cp:coreProperties>
</file>