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Comite de Precios\2026\1. Enero 2026\"/>
    </mc:Choice>
  </mc:AlternateContent>
  <xr:revisionPtr revIDLastSave="0" documentId="13_ncr:1_{ABBC5E71-7CAF-47D2-AA8A-D48B32BEEDA3}" xr6:coauthVersionLast="47" xr6:coauthVersionMax="47" xr10:uidLastSave="{00000000-0000-0000-0000-000000000000}"/>
  <bookViews>
    <workbookView xWindow="-120" yWindow="-120" windowWidth="20730" windowHeight="11040" activeTab="1" xr2:uid="{943F86B0-D9B9-4CEE-9285-C82CE4799DB8}"/>
  </bookViews>
  <sheets>
    <sheet name="Hoja1" sheetId="3" r:id="rId1"/>
    <sheet name="Cartera Créditos - E (4)" sheetId="8" r:id="rId2"/>
    <sheet name="propuesta disminución" sheetId="9" r:id="rId3"/>
    <sheet name="Cartera Créditos - E" sheetId="1" r:id="rId4"/>
    <sheet name="Historico" sheetId="4" r:id="rId5"/>
    <sheet name="Cartera Créditos - E (2)" sheetId="2" state="hidden" r:id="rId6"/>
  </sheets>
  <definedNames>
    <definedName name="_xlnm._FilterDatabase" localSheetId="3" hidden="1">'Cartera Créditos - E'!$A$29:$K$31</definedName>
    <definedName name="_xlnm._FilterDatabase" localSheetId="5" hidden="1">'Cartera Créditos - E (2)'!$B$24:$I$24</definedName>
    <definedName name="_xlnm._FilterDatabase" localSheetId="1" hidden="1">'Cartera Créditos - E (4)'!$A$27:$K$29</definedName>
    <definedName name="_xlnm._FilterDatabase" localSheetId="2" hidden="1">'propuesta disminución'!$A$29:$K$31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8" l="1"/>
  <c r="K19" i="3" l="1"/>
  <c r="R9" i="8"/>
  <c r="B27" i="8" l="1"/>
  <c r="D3" i="8"/>
  <c r="L57" i="9" l="1"/>
  <c r="J57" i="9"/>
  <c r="H57" i="9"/>
  <c r="F57" i="9"/>
  <c r="N52" i="9"/>
  <c r="L52" i="9"/>
  <c r="J52" i="9"/>
  <c r="H52" i="9"/>
  <c r="F52" i="9"/>
  <c r="N51" i="9"/>
  <c r="L51" i="9"/>
  <c r="J51" i="9"/>
  <c r="H51" i="9"/>
  <c r="F51" i="9"/>
  <c r="N50" i="9"/>
  <c r="L50" i="9"/>
  <c r="M50" i="9" s="1"/>
  <c r="J50" i="9"/>
  <c r="K50" i="9" s="1"/>
  <c r="H50" i="9"/>
  <c r="I50" i="9" s="1"/>
  <c r="F50" i="9"/>
  <c r="N49" i="9"/>
  <c r="O49" i="9" s="1"/>
  <c r="L49" i="9"/>
  <c r="J49" i="9"/>
  <c r="H49" i="9"/>
  <c r="I49" i="9" s="1"/>
  <c r="F49" i="9"/>
  <c r="N48" i="9"/>
  <c r="L48" i="9"/>
  <c r="M48" i="9" s="1"/>
  <c r="J48" i="9"/>
  <c r="K48" i="9" s="1"/>
  <c r="H48" i="9"/>
  <c r="F48" i="9"/>
  <c r="L47" i="9"/>
  <c r="M47" i="9" s="1"/>
  <c r="J47" i="9"/>
  <c r="K47" i="9" s="1"/>
  <c r="H47" i="9"/>
  <c r="F47" i="9"/>
  <c r="N46" i="9"/>
  <c r="L46" i="9"/>
  <c r="J46" i="9"/>
  <c r="H46" i="9"/>
  <c r="F46" i="9"/>
  <c r="N44" i="9"/>
  <c r="L44" i="9"/>
  <c r="J44" i="9"/>
  <c r="K44" i="9" s="1"/>
  <c r="H44" i="9"/>
  <c r="F44" i="9"/>
  <c r="N43" i="9"/>
  <c r="O43" i="9" s="1"/>
  <c r="L43" i="9"/>
  <c r="J43" i="9"/>
  <c r="H43" i="9"/>
  <c r="I43" i="9" s="1"/>
  <c r="F43" i="9"/>
  <c r="N42" i="9"/>
  <c r="L42" i="9"/>
  <c r="J42" i="9"/>
  <c r="H42" i="9"/>
  <c r="F42" i="9"/>
  <c r="N41" i="9"/>
  <c r="L41" i="9"/>
  <c r="J41" i="9"/>
  <c r="H41" i="9"/>
  <c r="F41" i="9"/>
  <c r="N40" i="9"/>
  <c r="L40" i="9"/>
  <c r="J40" i="9"/>
  <c r="H40" i="9"/>
  <c r="F40" i="9"/>
  <c r="N39" i="9"/>
  <c r="L39" i="9"/>
  <c r="M39" i="9" s="1"/>
  <c r="J39" i="9"/>
  <c r="H39" i="9"/>
  <c r="I39" i="9" s="1"/>
  <c r="F39" i="9"/>
  <c r="G39" i="9" s="1"/>
  <c r="N38" i="9"/>
  <c r="O38" i="9" s="1"/>
  <c r="L38" i="9"/>
  <c r="J38" i="9"/>
  <c r="H38" i="9"/>
  <c r="I38" i="9" s="1"/>
  <c r="F38" i="9"/>
  <c r="N37" i="9"/>
  <c r="O37" i="9" s="1"/>
  <c r="L37" i="9"/>
  <c r="J37" i="9"/>
  <c r="H37" i="9"/>
  <c r="F37" i="9"/>
  <c r="N36" i="9"/>
  <c r="L36" i="9"/>
  <c r="J36" i="9"/>
  <c r="H36" i="9"/>
  <c r="F36" i="9"/>
  <c r="N35" i="9"/>
  <c r="L35" i="9"/>
  <c r="M35" i="9" s="1"/>
  <c r="J35" i="9"/>
  <c r="H35" i="9"/>
  <c r="F35" i="9"/>
  <c r="N34" i="9"/>
  <c r="L34" i="9"/>
  <c r="J34" i="9"/>
  <c r="H34" i="9"/>
  <c r="F34" i="9"/>
  <c r="N33" i="9"/>
  <c r="L33" i="9"/>
  <c r="J33" i="9"/>
  <c r="H33" i="9"/>
  <c r="F33" i="9"/>
  <c r="Q29" i="9"/>
  <c r="B29" i="9"/>
  <c r="P27" i="9"/>
  <c r="O27" i="9"/>
  <c r="K27" i="9"/>
  <c r="P26" i="9"/>
  <c r="O26" i="9"/>
  <c r="K26" i="9"/>
  <c r="P25" i="9"/>
  <c r="O25" i="9"/>
  <c r="M25" i="9"/>
  <c r="K25" i="9"/>
  <c r="P24" i="9"/>
  <c r="O24" i="9"/>
  <c r="M24" i="9"/>
  <c r="K24" i="9"/>
  <c r="P23" i="9"/>
  <c r="O23" i="9"/>
  <c r="K23" i="9"/>
  <c r="I23" i="9"/>
  <c r="P22" i="9"/>
  <c r="O22" i="9"/>
  <c r="M22" i="9"/>
  <c r="K22" i="9"/>
  <c r="I22" i="9"/>
  <c r="N21" i="9"/>
  <c r="O21" i="9" s="1"/>
  <c r="L21" i="9"/>
  <c r="M27" i="9" s="1"/>
  <c r="J21" i="9"/>
  <c r="K21" i="9" s="1"/>
  <c r="H21" i="9"/>
  <c r="I27" i="9" s="1"/>
  <c r="F21" i="9"/>
  <c r="G27" i="9" s="1"/>
  <c r="D21" i="9"/>
  <c r="E27" i="9" s="1"/>
  <c r="B21" i="9"/>
  <c r="C21" i="9" s="1"/>
  <c r="P19" i="9"/>
  <c r="O19" i="9"/>
  <c r="M19" i="9"/>
  <c r="K19" i="9"/>
  <c r="I19" i="9"/>
  <c r="G19" i="9"/>
  <c r="E19" i="9"/>
  <c r="C19" i="9"/>
  <c r="P18" i="9"/>
  <c r="O18" i="9"/>
  <c r="M18" i="9"/>
  <c r="K18" i="9"/>
  <c r="I18" i="9"/>
  <c r="G18" i="9"/>
  <c r="E18" i="9"/>
  <c r="C18" i="9"/>
  <c r="O17" i="9"/>
  <c r="M17" i="9"/>
  <c r="K17" i="9"/>
  <c r="I17" i="9"/>
  <c r="G17" i="9"/>
  <c r="E17" i="9"/>
  <c r="C17" i="9"/>
  <c r="P16" i="9"/>
  <c r="O16" i="9"/>
  <c r="M16" i="9"/>
  <c r="K16" i="9"/>
  <c r="I16" i="9"/>
  <c r="G16" i="9"/>
  <c r="E16" i="9"/>
  <c r="C16" i="9"/>
  <c r="P15" i="9"/>
  <c r="O15" i="9"/>
  <c r="M15" i="9"/>
  <c r="K15" i="9"/>
  <c r="I15" i="9"/>
  <c r="G15" i="9"/>
  <c r="E15" i="9"/>
  <c r="C15" i="9"/>
  <c r="P14" i="9"/>
  <c r="O14" i="9"/>
  <c r="M14" i="9"/>
  <c r="K14" i="9"/>
  <c r="I14" i="9"/>
  <c r="G14" i="9"/>
  <c r="E14" i="9"/>
  <c r="C14" i="9"/>
  <c r="P13" i="9"/>
  <c r="O13" i="9"/>
  <c r="M13" i="9"/>
  <c r="K13" i="9"/>
  <c r="I13" i="9"/>
  <c r="G13" i="9"/>
  <c r="E13" i="9"/>
  <c r="C13" i="9"/>
  <c r="P12" i="9"/>
  <c r="O12" i="9"/>
  <c r="M12" i="9"/>
  <c r="K12" i="9"/>
  <c r="I12" i="9"/>
  <c r="G12" i="9"/>
  <c r="E12" i="9"/>
  <c r="C12" i="9"/>
  <c r="P11" i="9"/>
  <c r="O11" i="9"/>
  <c r="M11" i="9"/>
  <c r="K11" i="9"/>
  <c r="I11" i="9"/>
  <c r="G11" i="9"/>
  <c r="E11" i="9"/>
  <c r="C11" i="9"/>
  <c r="P10" i="9"/>
  <c r="O10" i="9"/>
  <c r="M10" i="9"/>
  <c r="K10" i="9"/>
  <c r="I10" i="9"/>
  <c r="G10" i="9"/>
  <c r="E10" i="9"/>
  <c r="C10" i="9"/>
  <c r="P9" i="9"/>
  <c r="O9" i="9"/>
  <c r="M9" i="9"/>
  <c r="K9" i="9"/>
  <c r="I9" i="9"/>
  <c r="G9" i="9"/>
  <c r="E9" i="9"/>
  <c r="C9" i="9"/>
  <c r="P8" i="9"/>
  <c r="O8" i="9"/>
  <c r="M8" i="9"/>
  <c r="K8" i="9"/>
  <c r="I8" i="9"/>
  <c r="G8" i="9"/>
  <c r="E8" i="9"/>
  <c r="C8" i="9"/>
  <c r="K33" i="9" l="1"/>
  <c r="G35" i="9"/>
  <c r="O39" i="9"/>
  <c r="I47" i="9"/>
  <c r="G49" i="9"/>
  <c r="M49" i="9"/>
  <c r="K46" i="9"/>
  <c r="M37" i="9"/>
  <c r="C27" i="9"/>
  <c r="G43" i="9"/>
  <c r="M44" i="9"/>
  <c r="I52" i="9"/>
  <c r="M33" i="9"/>
  <c r="I35" i="9"/>
  <c r="O36" i="9"/>
  <c r="K38" i="9"/>
  <c r="G40" i="9"/>
  <c r="M41" i="9"/>
  <c r="O44" i="9"/>
  <c r="O50" i="9"/>
  <c r="K52" i="9"/>
  <c r="K41" i="9"/>
  <c r="C24" i="9"/>
  <c r="O33" i="9"/>
  <c r="K35" i="9"/>
  <c r="G37" i="9"/>
  <c r="M38" i="9"/>
  <c r="I40" i="9"/>
  <c r="O41" i="9"/>
  <c r="K43" i="9"/>
  <c r="G46" i="9"/>
  <c r="K49" i="9"/>
  <c r="G51" i="9"/>
  <c r="M52" i="9"/>
  <c r="G34" i="9"/>
  <c r="K40" i="9"/>
  <c r="I51" i="9"/>
  <c r="O52" i="9"/>
  <c r="C26" i="9"/>
  <c r="I34" i="9"/>
  <c r="O35" i="9"/>
  <c r="K37" i="9"/>
  <c r="M40" i="9"/>
  <c r="I42" i="9"/>
  <c r="I48" i="9"/>
  <c r="K51" i="9"/>
  <c r="O40" i="9"/>
  <c r="K42" i="9"/>
  <c r="G44" i="9"/>
  <c r="M46" i="9"/>
  <c r="G50" i="9"/>
  <c r="M51" i="9"/>
  <c r="M43" i="9"/>
  <c r="I46" i="9"/>
  <c r="C23" i="9"/>
  <c r="K34" i="9"/>
  <c r="G33" i="9"/>
  <c r="M34" i="9"/>
  <c r="I36" i="9"/>
  <c r="K39" i="9"/>
  <c r="G41" i="9"/>
  <c r="M42" i="9"/>
  <c r="I44" i="9"/>
  <c r="O46" i="9"/>
  <c r="O51" i="9"/>
  <c r="M36" i="9"/>
  <c r="I37" i="9"/>
  <c r="G42" i="9"/>
  <c r="G48" i="9"/>
  <c r="G36" i="9"/>
  <c r="C22" i="9"/>
  <c r="C25" i="9"/>
  <c r="I33" i="9"/>
  <c r="O34" i="9"/>
  <c r="K36" i="9"/>
  <c r="G38" i="9"/>
  <c r="I41" i="9"/>
  <c r="O42" i="9"/>
  <c r="G47" i="9"/>
  <c r="O48" i="9"/>
  <c r="G52" i="9"/>
  <c r="E21" i="9"/>
  <c r="M21" i="9"/>
  <c r="M23" i="9"/>
  <c r="G21" i="9"/>
  <c r="I21" i="9"/>
  <c r="E22" i="9"/>
  <c r="E23" i="9"/>
  <c r="E24" i="9"/>
  <c r="E25" i="9"/>
  <c r="E26" i="9"/>
  <c r="G22" i="9"/>
  <c r="G23" i="9"/>
  <c r="G24" i="9"/>
  <c r="G25" i="9"/>
  <c r="G26" i="9"/>
  <c r="I24" i="9"/>
  <c r="I25" i="9"/>
  <c r="I26" i="9"/>
  <c r="M26" i="9"/>
  <c r="L55" i="8"/>
  <c r="J55" i="8"/>
  <c r="H55" i="8"/>
  <c r="F55" i="8"/>
  <c r="L50" i="8"/>
  <c r="J50" i="8"/>
  <c r="H50" i="8"/>
  <c r="F50" i="8"/>
  <c r="L49" i="8"/>
  <c r="J49" i="8"/>
  <c r="H49" i="8"/>
  <c r="F49" i="8"/>
  <c r="L48" i="8"/>
  <c r="J48" i="8"/>
  <c r="K48" i="8" s="1"/>
  <c r="H48" i="8"/>
  <c r="I48" i="8" s="1"/>
  <c r="F48" i="8"/>
  <c r="L47" i="8"/>
  <c r="J47" i="8"/>
  <c r="H47" i="8"/>
  <c r="I47" i="8" s="1"/>
  <c r="F47" i="8"/>
  <c r="O46" i="8"/>
  <c r="L46" i="8"/>
  <c r="N46" i="8" s="1"/>
  <c r="J46" i="8"/>
  <c r="K46" i="8" s="1"/>
  <c r="H46" i="8"/>
  <c r="F46" i="8"/>
  <c r="L45" i="8"/>
  <c r="J45" i="8"/>
  <c r="K45" i="8" s="1"/>
  <c r="H45" i="8"/>
  <c r="F45" i="8"/>
  <c r="L44" i="8"/>
  <c r="J44" i="8"/>
  <c r="H44" i="8"/>
  <c r="F44" i="8"/>
  <c r="L42" i="8"/>
  <c r="J42" i="8"/>
  <c r="H42" i="8"/>
  <c r="F42" i="8"/>
  <c r="L41" i="8"/>
  <c r="J41" i="8"/>
  <c r="H41" i="8"/>
  <c r="F41" i="8"/>
  <c r="O40" i="8"/>
  <c r="L40" i="8"/>
  <c r="J40" i="8"/>
  <c r="H40" i="8"/>
  <c r="F40" i="8"/>
  <c r="L39" i="8"/>
  <c r="J39" i="8"/>
  <c r="H39" i="8"/>
  <c r="F39" i="8"/>
  <c r="L38" i="8"/>
  <c r="J38" i="8"/>
  <c r="H38" i="8"/>
  <c r="F38" i="8"/>
  <c r="L37" i="8"/>
  <c r="J37" i="8"/>
  <c r="H37" i="8"/>
  <c r="F37" i="8"/>
  <c r="L36" i="8"/>
  <c r="J36" i="8"/>
  <c r="H36" i="8"/>
  <c r="I36" i="8" s="1"/>
  <c r="F36" i="8"/>
  <c r="L35" i="8"/>
  <c r="J35" i="8"/>
  <c r="H35" i="8"/>
  <c r="F35" i="8"/>
  <c r="L34" i="8"/>
  <c r="J34" i="8"/>
  <c r="H34" i="8"/>
  <c r="F34" i="8"/>
  <c r="L33" i="8"/>
  <c r="J33" i="8"/>
  <c r="H33" i="8"/>
  <c r="F33" i="8"/>
  <c r="L32" i="8"/>
  <c r="J32" i="8"/>
  <c r="H32" i="8"/>
  <c r="F32" i="8"/>
  <c r="L31" i="8"/>
  <c r="J31" i="8"/>
  <c r="H31" i="8"/>
  <c r="F31" i="8"/>
  <c r="S27" i="8"/>
  <c r="R25" i="8"/>
  <c r="P25" i="8"/>
  <c r="R24" i="8"/>
  <c r="P24" i="8"/>
  <c r="R23" i="8"/>
  <c r="P23" i="8"/>
  <c r="N23" i="8"/>
  <c r="K23" i="8"/>
  <c r="R22" i="8"/>
  <c r="P22" i="8"/>
  <c r="I22" i="8"/>
  <c r="R21" i="8"/>
  <c r="P21" i="8"/>
  <c r="N21" i="8"/>
  <c r="O48" i="8" s="1"/>
  <c r="K21" i="8"/>
  <c r="I21" i="8"/>
  <c r="O20" i="8"/>
  <c r="L20" i="8"/>
  <c r="J20" i="8"/>
  <c r="H20" i="8"/>
  <c r="F20" i="8"/>
  <c r="D20" i="8"/>
  <c r="B20" i="8"/>
  <c r="R18" i="8"/>
  <c r="P18" i="8"/>
  <c r="N18" i="8"/>
  <c r="O41" i="8" s="1"/>
  <c r="K18" i="8"/>
  <c r="I18" i="8"/>
  <c r="G18" i="8"/>
  <c r="E18" i="8"/>
  <c r="C18" i="8"/>
  <c r="P17" i="8"/>
  <c r="N17" i="8"/>
  <c r="O42" i="8" s="1"/>
  <c r="K17" i="8"/>
  <c r="I17" i="8"/>
  <c r="G17" i="8"/>
  <c r="E17" i="8"/>
  <c r="C17" i="8"/>
  <c r="R16" i="8"/>
  <c r="P16" i="8"/>
  <c r="N16" i="8"/>
  <c r="O39" i="8" s="1"/>
  <c r="K16" i="8"/>
  <c r="I16" i="8"/>
  <c r="G16" i="8"/>
  <c r="E16" i="8"/>
  <c r="C16" i="8"/>
  <c r="R15" i="8"/>
  <c r="P15" i="8"/>
  <c r="N15" i="8"/>
  <c r="O38" i="8" s="1"/>
  <c r="K15" i="8"/>
  <c r="I15" i="8"/>
  <c r="G15" i="8"/>
  <c r="E15" i="8"/>
  <c r="C15" i="8"/>
  <c r="R14" i="8"/>
  <c r="P14" i="8"/>
  <c r="N14" i="8"/>
  <c r="O37" i="8" s="1"/>
  <c r="K14" i="8"/>
  <c r="I14" i="8"/>
  <c r="G14" i="8"/>
  <c r="E14" i="8"/>
  <c r="C14" i="8"/>
  <c r="R13" i="8"/>
  <c r="P13" i="8"/>
  <c r="N13" i="8"/>
  <c r="O36" i="8" s="1"/>
  <c r="K13" i="8"/>
  <c r="I13" i="8"/>
  <c r="G13" i="8"/>
  <c r="E13" i="8"/>
  <c r="C13" i="8"/>
  <c r="R12" i="8"/>
  <c r="P12" i="8"/>
  <c r="N12" i="8"/>
  <c r="O35" i="8" s="1"/>
  <c r="K12" i="8"/>
  <c r="I12" i="8"/>
  <c r="G12" i="8"/>
  <c r="E12" i="8"/>
  <c r="C12" i="8"/>
  <c r="R11" i="8"/>
  <c r="P11" i="8"/>
  <c r="N11" i="8"/>
  <c r="O33" i="8" s="1"/>
  <c r="K11" i="8"/>
  <c r="I11" i="8"/>
  <c r="G11" i="8"/>
  <c r="E11" i="8"/>
  <c r="C11" i="8"/>
  <c r="R10" i="8"/>
  <c r="P10" i="8"/>
  <c r="N10" i="8"/>
  <c r="O32" i="8" s="1"/>
  <c r="K10" i="8"/>
  <c r="I10" i="8"/>
  <c r="G10" i="8"/>
  <c r="E10" i="8"/>
  <c r="C10" i="8"/>
  <c r="P9" i="8"/>
  <c r="N9" i="8"/>
  <c r="O34" i="8" s="1"/>
  <c r="K9" i="8"/>
  <c r="I9" i="8"/>
  <c r="G9" i="8"/>
  <c r="E9" i="8"/>
  <c r="C9" i="8"/>
  <c r="R8" i="8"/>
  <c r="P8" i="8"/>
  <c r="N8" i="8"/>
  <c r="O31" i="8" s="1"/>
  <c r="K8" i="8"/>
  <c r="I8" i="8"/>
  <c r="G8" i="8"/>
  <c r="E8" i="8"/>
  <c r="C8" i="8"/>
  <c r="O44" i="8" l="1"/>
  <c r="P44" i="8" s="1"/>
  <c r="N37" i="8"/>
  <c r="P41" i="8"/>
  <c r="N48" i="8"/>
  <c r="N45" i="8"/>
  <c r="P36" i="8"/>
  <c r="I41" i="8"/>
  <c r="P20" i="8"/>
  <c r="G20" i="8"/>
  <c r="I20" i="8"/>
  <c r="K24" i="8"/>
  <c r="N25" i="8"/>
  <c r="O50" i="8" s="1"/>
  <c r="P50" i="8" s="1"/>
  <c r="C20" i="8"/>
  <c r="N33" i="8"/>
  <c r="P35" i="8"/>
  <c r="I37" i="8"/>
  <c r="C22" i="8"/>
  <c r="C21" i="8"/>
  <c r="C24" i="8"/>
  <c r="E25" i="8"/>
  <c r="G47" i="8"/>
  <c r="K44" i="8"/>
  <c r="N34" i="8"/>
  <c r="G41" i="8"/>
  <c r="I45" i="8"/>
  <c r="K31" i="8"/>
  <c r="P37" i="8"/>
  <c r="G33" i="8"/>
  <c r="K22" i="8"/>
  <c r="C25" i="8"/>
  <c r="N31" i="8"/>
  <c r="I33" i="8"/>
  <c r="P34" i="8"/>
  <c r="K36" i="8"/>
  <c r="G38" i="8"/>
  <c r="N39" i="8"/>
  <c r="P42" i="8"/>
  <c r="P48" i="8"/>
  <c r="K50" i="8"/>
  <c r="P31" i="8"/>
  <c r="K33" i="8"/>
  <c r="G35" i="8"/>
  <c r="N36" i="8"/>
  <c r="I38" i="8"/>
  <c r="P39" i="8"/>
  <c r="K41" i="8"/>
  <c r="G44" i="8"/>
  <c r="K47" i="8"/>
  <c r="G49" i="8"/>
  <c r="N50" i="8"/>
  <c r="I50" i="8"/>
  <c r="G32" i="8"/>
  <c r="I35" i="8"/>
  <c r="K38" i="8"/>
  <c r="G40" i="8"/>
  <c r="N41" i="8"/>
  <c r="I44" i="8"/>
  <c r="G46" i="8"/>
  <c r="N47" i="8"/>
  <c r="I49" i="8"/>
  <c r="C23" i="8"/>
  <c r="I32" i="8"/>
  <c r="P33" i="8"/>
  <c r="K35" i="8"/>
  <c r="G37" i="8"/>
  <c r="N38" i="8"/>
  <c r="I40" i="8"/>
  <c r="I46" i="8"/>
  <c r="K49" i="8"/>
  <c r="K32" i="8"/>
  <c r="G34" i="8"/>
  <c r="N35" i="8"/>
  <c r="P38" i="8"/>
  <c r="K40" i="8"/>
  <c r="G42" i="8"/>
  <c r="N44" i="8"/>
  <c r="G48" i="8"/>
  <c r="N49" i="8"/>
  <c r="K39" i="8"/>
  <c r="G31" i="8"/>
  <c r="N32" i="8"/>
  <c r="I34" i="8"/>
  <c r="K37" i="8"/>
  <c r="G39" i="8"/>
  <c r="N40" i="8"/>
  <c r="I42" i="8"/>
  <c r="N42" i="8"/>
  <c r="I31" i="8"/>
  <c r="P32" i="8"/>
  <c r="K34" i="8"/>
  <c r="G36" i="8"/>
  <c r="I39" i="8"/>
  <c r="P40" i="8"/>
  <c r="K42" i="8"/>
  <c r="G45" i="8"/>
  <c r="P46" i="8"/>
  <c r="G50" i="8"/>
  <c r="G21" i="8"/>
  <c r="G23" i="8"/>
  <c r="G25" i="8"/>
  <c r="G22" i="8"/>
  <c r="G24" i="8"/>
  <c r="K20" i="8"/>
  <c r="I23" i="8"/>
  <c r="I24" i="8"/>
  <c r="I25" i="8"/>
  <c r="K25" i="8"/>
  <c r="E20" i="8"/>
  <c r="N20" i="8"/>
  <c r="N22" i="8"/>
  <c r="O47" i="8" s="1"/>
  <c r="P47" i="8" s="1"/>
  <c r="N24" i="8"/>
  <c r="O49" i="8" s="1"/>
  <c r="P49" i="8" s="1"/>
  <c r="E21" i="8"/>
  <c r="E22" i="8"/>
  <c r="E23" i="8"/>
  <c r="E24" i="8"/>
  <c r="I8" i="1"/>
  <c r="G8" i="1"/>
  <c r="B29" i="1"/>
  <c r="O8" i="1" l="1"/>
  <c r="O9" i="1"/>
  <c r="O10" i="1"/>
  <c r="O11" i="1"/>
  <c r="O12" i="1"/>
  <c r="O13" i="1"/>
  <c r="O14" i="1"/>
  <c r="O15" i="1"/>
  <c r="O16" i="1"/>
  <c r="O17" i="1"/>
  <c r="O18" i="1"/>
  <c r="O19" i="1"/>
  <c r="N21" i="1"/>
  <c r="O21" i="1" s="1"/>
  <c r="O22" i="1"/>
  <c r="O23" i="1"/>
  <c r="O24" i="1"/>
  <c r="O25" i="1"/>
  <c r="O26" i="1"/>
  <c r="O27" i="1"/>
  <c r="N33" i="1"/>
  <c r="N34" i="1"/>
  <c r="N35" i="1"/>
  <c r="N36" i="1"/>
  <c r="N37" i="1"/>
  <c r="N38" i="1"/>
  <c r="O38" i="1" s="1"/>
  <c r="N39" i="1"/>
  <c r="N40" i="1"/>
  <c r="N41" i="1"/>
  <c r="N42" i="1"/>
  <c r="N43" i="1"/>
  <c r="O43" i="1" s="1"/>
  <c r="N44" i="1"/>
  <c r="N46" i="1"/>
  <c r="N48" i="1"/>
  <c r="N49" i="1"/>
  <c r="O49" i="1" s="1"/>
  <c r="N50" i="1"/>
  <c r="N51" i="1"/>
  <c r="N52" i="1"/>
  <c r="P14" i="1"/>
  <c r="O50" i="1" l="1"/>
  <c r="O36" i="1"/>
  <c r="O52" i="1"/>
  <c r="O42" i="1"/>
  <c r="O34" i="1"/>
  <c r="O44" i="1"/>
  <c r="O40" i="1"/>
  <c r="O48" i="1"/>
  <c r="O51" i="1"/>
  <c r="O41" i="1"/>
  <c r="O46" i="1"/>
  <c r="O39" i="1"/>
  <c r="O33" i="1"/>
  <c r="O37" i="1"/>
  <c r="O35" i="1"/>
  <c r="M25" i="1"/>
  <c r="K25" i="1"/>
  <c r="K24" i="1"/>
  <c r="I23" i="1"/>
  <c r="M22" i="1"/>
  <c r="K22" i="1"/>
  <c r="I22" i="1"/>
  <c r="I17" i="1"/>
  <c r="M18" i="1"/>
  <c r="K18" i="1"/>
  <c r="I18" i="1"/>
  <c r="G18" i="1"/>
  <c r="M17" i="1"/>
  <c r="K17" i="1"/>
  <c r="G17" i="1"/>
  <c r="C19" i="1"/>
  <c r="C18" i="1"/>
  <c r="C17" i="1"/>
  <c r="C16" i="1"/>
  <c r="M15" i="1"/>
  <c r="K15" i="1"/>
  <c r="I15" i="1"/>
  <c r="G15" i="1"/>
  <c r="E15" i="1"/>
  <c r="C15" i="1"/>
  <c r="C14" i="1"/>
  <c r="G14" i="1"/>
  <c r="C13" i="1"/>
  <c r="M12" i="1"/>
  <c r="K12" i="1"/>
  <c r="G12" i="1"/>
  <c r="E12" i="1"/>
  <c r="C12" i="1"/>
  <c r="M11" i="1"/>
  <c r="K11" i="1"/>
  <c r="I11" i="1"/>
  <c r="G11" i="1"/>
  <c r="E11" i="1"/>
  <c r="C11" i="1"/>
  <c r="C10" i="1"/>
  <c r="M24" i="1"/>
  <c r="M19" i="1"/>
  <c r="I19" i="1"/>
  <c r="G19" i="1"/>
  <c r="I12" i="1" l="1"/>
  <c r="C9" i="1"/>
  <c r="E18" i="1" l="1"/>
  <c r="E17" i="1"/>
  <c r="M14" i="1"/>
  <c r="M10" i="1"/>
  <c r="K10" i="1"/>
  <c r="I10" i="1"/>
  <c r="G10" i="1"/>
  <c r="E10" i="1"/>
  <c r="L21" i="1"/>
  <c r="J21" i="1"/>
  <c r="K23" i="1" s="1"/>
  <c r="H21" i="1"/>
  <c r="I25" i="1" s="1"/>
  <c r="F21" i="1"/>
  <c r="G21" i="1" s="1"/>
  <c r="D21" i="1"/>
  <c r="E27" i="1" s="1"/>
  <c r="B21" i="1"/>
  <c r="C21" i="1" s="1"/>
  <c r="M8" i="1"/>
  <c r="K8" i="1"/>
  <c r="E8" i="1"/>
  <c r="C8" i="1"/>
  <c r="G13" i="1"/>
  <c r="E9" i="1"/>
  <c r="G9" i="1"/>
  <c r="I9" i="1"/>
  <c r="K9" i="1"/>
  <c r="M9" i="1"/>
  <c r="C27" i="1" l="1"/>
  <c r="K27" i="1"/>
  <c r="K21" i="1"/>
  <c r="M27" i="1"/>
  <c r="M23" i="1"/>
  <c r="E21" i="1"/>
  <c r="E24" i="1"/>
  <c r="E22" i="1"/>
  <c r="E23" i="1"/>
  <c r="C23" i="1"/>
  <c r="C24" i="1"/>
  <c r="C22" i="1"/>
  <c r="I21" i="1"/>
  <c r="I24" i="1"/>
  <c r="G23" i="1"/>
  <c r="G22" i="1"/>
  <c r="G24" i="1"/>
  <c r="G25" i="1"/>
  <c r="I27" i="1"/>
  <c r="M21" i="1"/>
  <c r="H5" i="4" l="1"/>
  <c r="G5" i="4"/>
  <c r="I5" i="4"/>
  <c r="F5" i="4"/>
  <c r="E5" i="4"/>
  <c r="D5" i="4"/>
  <c r="C5" i="4"/>
  <c r="I4" i="4"/>
  <c r="H4" i="4"/>
  <c r="G4" i="4"/>
  <c r="F4" i="4"/>
  <c r="E4" i="4"/>
  <c r="D4" i="4"/>
  <c r="C4" i="4"/>
  <c r="M13" i="1"/>
  <c r="M16" i="1"/>
  <c r="K13" i="1"/>
  <c r="K14" i="1"/>
  <c r="K16" i="1"/>
  <c r="K19" i="1"/>
  <c r="I13" i="1"/>
  <c r="I14" i="1"/>
  <c r="I16" i="1"/>
  <c r="G16" i="1"/>
  <c r="E13" i="1"/>
  <c r="E14" i="1"/>
  <c r="E16" i="1"/>
  <c r="E19" i="1"/>
  <c r="P9" i="1" l="1"/>
  <c r="P27" i="1" l="1"/>
  <c r="P26" i="1"/>
  <c r="C26" i="1" l="1"/>
  <c r="C25" i="1"/>
  <c r="G27" i="1" l="1"/>
  <c r="M26" i="1"/>
  <c r="L46" i="1"/>
  <c r="L57" i="1"/>
  <c r="J57" i="1"/>
  <c r="H57" i="1"/>
  <c r="F57" i="1"/>
  <c r="J46" i="1"/>
  <c r="H46" i="1"/>
  <c r="F46" i="1"/>
  <c r="K26" i="1"/>
  <c r="I26" i="1"/>
  <c r="E26" i="1"/>
  <c r="J47" i="1"/>
  <c r="E25" i="1"/>
  <c r="L47" i="1" l="1"/>
  <c r="G26" i="1"/>
  <c r="H47" i="1"/>
  <c r="F47" i="1"/>
  <c r="P10" i="1" l="1"/>
  <c r="P24" i="1"/>
  <c r="P11" i="1"/>
  <c r="P12" i="1"/>
  <c r="P13" i="1"/>
  <c r="P15" i="1"/>
  <c r="P16" i="1"/>
  <c r="P25" i="1"/>
  <c r="P19" i="1"/>
  <c r="P18" i="1"/>
  <c r="P22" i="1"/>
  <c r="P23" i="1"/>
  <c r="P8" i="1"/>
  <c r="L33" i="1" l="1"/>
  <c r="J33" i="1"/>
  <c r="H33" i="1"/>
  <c r="F33" i="1"/>
  <c r="H42" i="1" l="1"/>
  <c r="H40" i="1"/>
  <c r="H51" i="1"/>
  <c r="H44" i="1"/>
  <c r="H52" i="1"/>
  <c r="H43" i="1"/>
  <c r="H48" i="1"/>
  <c r="H39" i="1"/>
  <c r="H38" i="1"/>
  <c r="H41" i="1"/>
  <c r="H35" i="1"/>
  <c r="H49" i="1"/>
  <c r="H37" i="1"/>
  <c r="H50" i="1"/>
  <c r="H36" i="1"/>
  <c r="H34" i="1"/>
  <c r="L42" i="1"/>
  <c r="L40" i="1"/>
  <c r="L51" i="1"/>
  <c r="L44" i="1"/>
  <c r="L52" i="1"/>
  <c r="L43" i="1"/>
  <c r="L48" i="1"/>
  <c r="L39" i="1"/>
  <c r="L38" i="1"/>
  <c r="L41" i="1"/>
  <c r="L35" i="1"/>
  <c r="L49" i="1"/>
  <c r="L37" i="1"/>
  <c r="L50" i="1"/>
  <c r="L36" i="1"/>
  <c r="L34" i="1"/>
  <c r="J42" i="1"/>
  <c r="J40" i="1"/>
  <c r="J51" i="1"/>
  <c r="J44" i="1"/>
  <c r="J52" i="1"/>
  <c r="J43" i="1"/>
  <c r="J48" i="1"/>
  <c r="J39" i="1"/>
  <c r="J38" i="1"/>
  <c r="J41" i="1"/>
  <c r="J35" i="1"/>
  <c r="J49" i="1"/>
  <c r="J37" i="1"/>
  <c r="J50" i="1"/>
  <c r="J36" i="1"/>
  <c r="J34" i="1"/>
  <c r="F42" i="1"/>
  <c r="F40" i="1"/>
  <c r="F51" i="1"/>
  <c r="F44" i="1"/>
  <c r="F52" i="1"/>
  <c r="F43" i="1"/>
  <c r="F48" i="1"/>
  <c r="F39" i="1"/>
  <c r="F38" i="1"/>
  <c r="F41" i="1"/>
  <c r="F35" i="1"/>
  <c r="F49" i="1"/>
  <c r="F37" i="1"/>
  <c r="F50" i="1"/>
  <c r="F36" i="1"/>
  <c r="F34" i="1"/>
  <c r="K50" i="1" l="1"/>
  <c r="K52" i="1"/>
  <c r="M52" i="1"/>
  <c r="K48" i="1"/>
  <c r="K47" i="1"/>
  <c r="I50" i="1"/>
  <c r="I52" i="1"/>
  <c r="I51" i="1"/>
  <c r="M35" i="1"/>
  <c r="I39" i="1"/>
  <c r="I43" i="1"/>
  <c r="I38" i="1"/>
  <c r="M48" i="1"/>
  <c r="M50" i="1"/>
  <c r="G43" i="1"/>
  <c r="G50" i="1"/>
  <c r="K43" i="1"/>
  <c r="M43" i="1"/>
  <c r="K37" i="1"/>
  <c r="M37" i="1"/>
  <c r="G47" i="1"/>
  <c r="K49" i="1"/>
  <c r="K46" i="1"/>
  <c r="K44" i="1"/>
  <c r="M49" i="1"/>
  <c r="M46" i="1"/>
  <c r="M47" i="1"/>
  <c r="M44" i="1"/>
  <c r="I47" i="1"/>
  <c r="K35" i="1"/>
  <c r="K51" i="1"/>
  <c r="M51" i="1"/>
  <c r="K41" i="1"/>
  <c r="K40" i="1"/>
  <c r="M41" i="1"/>
  <c r="M40" i="1"/>
  <c r="K38" i="1"/>
  <c r="K42" i="1"/>
  <c r="M38" i="1"/>
  <c r="M42" i="1"/>
  <c r="K34" i="1"/>
  <c r="K33" i="1"/>
  <c r="K39" i="1"/>
  <c r="M34" i="1"/>
  <c r="M33" i="1"/>
  <c r="M39" i="1"/>
  <c r="K36" i="1"/>
  <c r="M36" i="1"/>
  <c r="G37" i="1"/>
  <c r="G52" i="1"/>
  <c r="I37" i="1"/>
  <c r="G49" i="1"/>
  <c r="G46" i="1"/>
  <c r="G44" i="1"/>
  <c r="I46" i="1"/>
  <c r="I49" i="1"/>
  <c r="I44" i="1"/>
  <c r="G35" i="1"/>
  <c r="G51" i="1"/>
  <c r="I35" i="1"/>
  <c r="G41" i="1"/>
  <c r="G40" i="1"/>
  <c r="I41" i="1"/>
  <c r="I40" i="1"/>
  <c r="G38" i="1"/>
  <c r="G42" i="1"/>
  <c r="I42" i="1"/>
  <c r="G34" i="1"/>
  <c r="G33" i="1"/>
  <c r="G39" i="1"/>
  <c r="I34" i="1"/>
  <c r="I33" i="1"/>
  <c r="G36" i="1"/>
  <c r="G48" i="1"/>
  <c r="I36" i="1"/>
  <c r="I48" i="1"/>
  <c r="B25" i="2" l="1"/>
  <c r="C29" i="2" s="1"/>
  <c r="I20" i="2"/>
  <c r="I18" i="2"/>
  <c r="I14" i="2"/>
  <c r="I13" i="2"/>
  <c r="I12" i="2"/>
  <c r="I11" i="2"/>
  <c r="G18" i="2"/>
  <c r="G17" i="2"/>
  <c r="G16" i="2"/>
  <c r="G10" i="2"/>
  <c r="G9" i="2"/>
  <c r="E20" i="2"/>
  <c r="E19" i="2"/>
  <c r="E18" i="2"/>
  <c r="E17" i="2"/>
  <c r="E16" i="2"/>
  <c r="E15" i="2"/>
  <c r="E14" i="2"/>
  <c r="E13" i="2"/>
  <c r="E12" i="2"/>
  <c r="E11" i="2"/>
  <c r="E10" i="2"/>
  <c r="E9" i="2"/>
  <c r="C20" i="2"/>
  <c r="C19" i="2"/>
  <c r="C17" i="2"/>
  <c r="C16" i="2"/>
  <c r="C9" i="2"/>
  <c r="C8" i="2"/>
  <c r="I37" i="2"/>
  <c r="I35" i="2"/>
  <c r="I28" i="2"/>
  <c r="E37" i="2"/>
  <c r="E36" i="2"/>
  <c r="E30" i="2"/>
  <c r="F25" i="2"/>
  <c r="G35" i="2" s="1"/>
  <c r="C37" i="2"/>
  <c r="C36" i="2"/>
  <c r="C31" i="2"/>
  <c r="C30" i="2"/>
  <c r="B8" i="2"/>
  <c r="C15" i="2" s="1"/>
  <c r="H25" i="2"/>
  <c r="I30" i="2" s="1"/>
  <c r="D25" i="2"/>
  <c r="E32" i="2" s="1"/>
  <c r="H8" i="2"/>
  <c r="I19" i="2" s="1"/>
  <c r="G8" i="2"/>
  <c r="F8" i="2"/>
  <c r="G15" i="2" s="1"/>
  <c r="E8" i="2"/>
  <c r="Q29" i="1"/>
  <c r="G36" i="2" l="1"/>
  <c r="G25" i="2"/>
  <c r="C18" i="2"/>
  <c r="C25" i="2"/>
  <c r="C33" i="2"/>
  <c r="E29" i="2"/>
  <c r="G26" i="2"/>
  <c r="C11" i="2"/>
  <c r="G11" i="2"/>
  <c r="G19" i="2"/>
  <c r="I15" i="2"/>
  <c r="E25" i="2"/>
  <c r="G37" i="2"/>
  <c r="C34" i="2"/>
  <c r="G28" i="2"/>
  <c r="I29" i="2"/>
  <c r="C12" i="2"/>
  <c r="G12" i="2"/>
  <c r="G20" i="2"/>
  <c r="I16" i="2"/>
  <c r="C26" i="2"/>
  <c r="C27" i="2"/>
  <c r="C35" i="2"/>
  <c r="E31" i="2"/>
  <c r="G29" i="2"/>
  <c r="I31" i="2"/>
  <c r="C13" i="2"/>
  <c r="G13" i="2"/>
  <c r="I9" i="2"/>
  <c r="I17" i="2"/>
  <c r="G34" i="2"/>
  <c r="E26" i="2"/>
  <c r="E33" i="2"/>
  <c r="G32" i="2"/>
  <c r="C14" i="2"/>
  <c r="G14" i="2"/>
  <c r="I10" i="2"/>
  <c r="C32" i="2"/>
  <c r="C10" i="2"/>
  <c r="C28" i="2"/>
  <c r="E34" i="2"/>
  <c r="G33" i="2"/>
  <c r="I32" i="2"/>
  <c r="E27" i="2"/>
  <c r="E35" i="2"/>
  <c r="G30" i="2"/>
  <c r="I25" i="2"/>
  <c r="I33" i="2"/>
  <c r="E28" i="2"/>
  <c r="G31" i="2"/>
  <c r="I26" i="2"/>
  <c r="I34" i="2"/>
  <c r="I27" i="2"/>
  <c r="I36" i="2"/>
  <c r="G27" i="2"/>
  <c r="I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H11" authorId="0" shapeId="0" xr:uid="{9F8BCB2D-6DFE-4CE7-A9A4-D9AA2599FC4A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vehigrupo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H11" authorId="0" shapeId="0" xr:uid="{8E28BEA9-D0FA-4A18-BF31-17E54C06766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vehigrupo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H11" authorId="0" shapeId="0" xr:uid="{AF3C27BE-D47B-4F26-80A3-A2DBFF0BD387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vehigrupo</t>
        </r>
      </text>
    </comment>
  </commentList>
</comments>
</file>

<file path=xl/sharedStrings.xml><?xml version="1.0" encoding="utf-8"?>
<sst xmlns="http://schemas.openxmlformats.org/spreadsheetml/2006/main" count="540" uniqueCount="75">
  <si>
    <t>INFORME DE TASAS DE CARTELERA POR MODALIDAD DE CRÉDITO</t>
  </si>
  <si>
    <t>Tasas efectivas anuales</t>
  </si>
  <si>
    <t>NOMBRE ENTIDAD</t>
  </si>
  <si>
    <t>VIVIENDA en  Pesos   (T.E.A.)</t>
  </si>
  <si>
    <t xml:space="preserve"> CONSUMO</t>
  </si>
  <si>
    <t>VIS</t>
  </si>
  <si>
    <t>NO VIS</t>
  </si>
  <si>
    <t>LIBRE INVERSION</t>
  </si>
  <si>
    <t>TARJETA</t>
  </si>
  <si>
    <t>Banco de Bogotá</t>
  </si>
  <si>
    <t>Banco Popular</t>
  </si>
  <si>
    <t>Bancolombia</t>
  </si>
  <si>
    <t>Banco de Occidente</t>
  </si>
  <si>
    <t>Banco Caja Social S.A.</t>
  </si>
  <si>
    <t>Banco Davivienda</t>
  </si>
  <si>
    <t>Scotiabank Colpatria S.A.</t>
  </si>
  <si>
    <t>AV Villas</t>
  </si>
  <si>
    <t>Cooperativa Financiera de Antioquia</t>
  </si>
  <si>
    <t>JFK Cooperativa Financiera</t>
  </si>
  <si>
    <t>Cotrafa</t>
  </si>
  <si>
    <t>Confiar</t>
  </si>
  <si>
    <t>vis</t>
  </si>
  <si>
    <t>no vis</t>
  </si>
  <si>
    <t>https://www.cfa.com.co/tasas-de-colocacion/</t>
  </si>
  <si>
    <t>https://scotiabankfiles.azureedge.net/scotiabank-colombia/scotiabank-colpatria/pdf/tasas-y-tarifas/tasas-y-productos-de-credito.pdf</t>
  </si>
  <si>
    <t>https://www.avvillas.com.co/wps/wcm/connect/avvillas/8942c185-25d0-44f6-b302-ed702ab3a44b/tasas-activas-08-julio-2022.pdf?MOD=AJPERES&amp;CVID=o7vL9-1</t>
  </si>
  <si>
    <t>https://www.cotrafa.com.co/portafolio-de-credito</t>
  </si>
  <si>
    <t>https://www.jfk.com.co/credito/tasas</t>
  </si>
  <si>
    <t>https://www.confiar.coop/generales/tasas-productos-credito-confiar-cooperativa-financiera</t>
  </si>
  <si>
    <t>https://www.bancodebogota.com/wps/themes/html/banco-de-bogota/pdf/productos-para-ti/tasas/2022/tasas-julio-2022.pdf</t>
  </si>
  <si>
    <t>https://www.bancopopular.com.co/wps/portal/bancopopular/inicio/informacion-interes/tasas</t>
  </si>
  <si>
    <t>https://www.bancolombia.com/personas/creditos/consumo/credito-libre-inversion</t>
  </si>
  <si>
    <t>https://www.bancodeoccidente.com.co/wps/wcm/connect/banco-de-occidente/c24390e8-b984-44de-b427-e59ff152a22c/tasas-personas-2022.pdf?MOD=AJPERES&amp;CVID=o7LgirB</t>
  </si>
  <si>
    <t>https://www.bancolombia.com/personas/creditos/vivienda/credito-hipotecario-para-comprar-vivienda</t>
  </si>
  <si>
    <t>https://www.bancolombia.com/wcm/connect/5ffe2810-677d-43d2-96af-5a7235732704/07.Formato+consolidado+tasas+mensual+web+julio.pdf?MOD=AJPERES</t>
  </si>
  <si>
    <t>https://www.davivienda.com/wps/wcm/connect/personas/0e0c4565-6984-4ffe-b66e-7e5822271871/TASAS+TARIFAS+DAVIVIENDA+13+07+2022.pdf?MOD=AJPERES&amp;CVID=o7U4EW7</t>
  </si>
  <si>
    <t>PRESENTE</t>
  </si>
  <si>
    <t>fuente</t>
  </si>
  <si>
    <t>N/A</t>
  </si>
  <si>
    <t xml:space="preserve">https://www.bancocajasocial.com/portalserver/tasas-precios-y-comisiones
</t>
  </si>
  <si>
    <t>Tasa</t>
  </si>
  <si>
    <t>Ranking</t>
  </si>
  <si>
    <t>reglamento de crédito</t>
  </si>
  <si>
    <t>https://www.bancolombia.com/personas/creditos/consumo/</t>
  </si>
  <si>
    <t>https://www.avvillas.com.co/wps/portal/avvillas/banco/banca-personal/tasas-tarifas-personas/</t>
  </si>
  <si>
    <t>VEHICULO</t>
  </si>
  <si>
    <t>COMPRA CARTERA</t>
  </si>
  <si>
    <t>Banco Serfinanza S.A.</t>
  </si>
  <si>
    <t>CREDITOS ROTATIVOS</t>
  </si>
  <si>
    <t>Financiera Juriscoop C.F.</t>
  </si>
  <si>
    <t>Itaú</t>
  </si>
  <si>
    <t>Pichincha</t>
  </si>
  <si>
    <t>Fuente</t>
  </si>
  <si>
    <t>Entidad</t>
  </si>
  <si>
    <t>Entidad Bancaria</t>
  </si>
  <si>
    <t>Cooperativas Financieras</t>
  </si>
  <si>
    <t xml:space="preserve"> CONSUMO (T.E.A.)</t>
  </si>
  <si>
    <t>Coopetraban</t>
  </si>
  <si>
    <t>https://www.bancodebogota.com/wps/portal/banco-de-bogota/bogota/productos/para-ti/tasas-y-tarifas/tasas-2023</t>
  </si>
  <si>
    <t>https://bancoserfinanza.com/wp-content/uploads/2023/01/TASAS.pdf</t>
  </si>
  <si>
    <t>https://www.bancopichincha.com.co/web/corporativo/tasas-y-tarifas</t>
  </si>
  <si>
    <t>https://www.davivienda.com/wps/portal/personas/nuevo/personas/tasasytarifas/!ut/p/z1/jZBNb4JAEIZ_DdedYReHtbdtg7akKsZY6F4MGIokLGsAy98vml6a1I1zm-R55uMFDRnoNv-uq3yobZs3U_-p6RAs3979iBIVCeKoXgPiUn74GCKkN0DIbbCOn_lqt5gLVCvcvaj5xt8sOehHfLxTCh_zHYB2j09B3xDXBy4AF-Ev4FgSg64Lw8ajYcgE0fUwpJBLCmh2zVi1hZAV6K78KruyY5duiv40DOf-yUMPx3FklbVVU7KjNR7-p5xsP0D2l4Sz2e8zrBOTyv4Hlats8Q!!/dz/d5/L2dBISEvZ0FBIS9nQSEh/</t>
  </si>
  <si>
    <t>https://financierajuriscoop.com.co/tasas-y-tarifas</t>
  </si>
  <si>
    <t>https://bancoserfinanza.com/servicio-al-cliente/tasas/</t>
  </si>
  <si>
    <t>https://www.coopetraban.com.co/tasas-de-interes-para-credito/</t>
  </si>
  <si>
    <t xml:space="preserve">Entidades </t>
  </si>
  <si>
    <t>Bancos</t>
  </si>
  <si>
    <t>conversión Coopetraban</t>
  </si>
  <si>
    <t>https://banco.itau.co/web/personas/informacion-de-interes/tasas-y-tarifas</t>
  </si>
  <si>
    <t>20.01</t>
  </si>
  <si>
    <t>https://www.scotiabankcolpatria.com/tasas-y-tarifas</t>
  </si>
  <si>
    <t>Tasa desde</t>
  </si>
  <si>
    <t>Tasa hasta</t>
  </si>
  <si>
    <t>https://www.confiar.coop/personas/productos/credito/credito-para-comprar-vivienda/</t>
  </si>
  <si>
    <t>Tasas-Credito-Vivienda.pdf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</si>
</sst>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 * #,##0_ ;_ * \-#,##0_ ;_ * &quot;-&quot;??_ ;_ @_ "/>
    <numFmt numFmtId="165" formatCode="_-* #,##0.00_-;\-* #,##0.00_-;_-* &quot;-&quot;_-;_-@_-"/>
    <numFmt numFmtId="166" formatCode="_ * #,##0.00_ ;_ * \-#,##0.00_ ;_ * &quot;-&quot;??_ ;_ @_ "/>
    <numFmt numFmtId="167" formatCode="0.000%"/>
    <numFmt numFmtId="168" formatCode="0.0000%"/>
    <numFmt numFmtId="169" formatCode="0.00000%"/>
    <numFmt numFmtId="170" formatCode="_ * #,##0.000_ ;_ * \-#,##0.000_ ;_ * &quot;-&quot;??_ ;_ @_ "/>
    <numFmt numFmtId="171" formatCode="_-* #,##0.000000_-;\-* #,##0.000000_-;_-* &quot;-&quot;??_-;_-@_-"/>
    <numFmt numFmtId="172" formatCode="[$-F800]dddd\,\ 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3868"/>
        <bgColor indexed="64"/>
      </patternFill>
    </fill>
    <fill>
      <patternFill patternType="solid">
        <fgColor rgb="FF993366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2" tint="-9.9978637043366805E-2"/>
      </top>
      <bottom style="medium">
        <color indexed="64"/>
      </bottom>
      <diagonal/>
    </border>
    <border>
      <left/>
      <right/>
      <top style="thin">
        <color theme="2" tint="-9.9978637043366805E-2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9.9978637043366805E-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right" wrapText="1"/>
    </xf>
    <xf numFmtId="2" fontId="0" fillId="0" borderId="0" xfId="0" applyNumberFormat="1"/>
    <xf numFmtId="166" fontId="0" fillId="0" borderId="0" xfId="0" applyNumberFormat="1"/>
    <xf numFmtId="2" fontId="2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wrapText="1"/>
    </xf>
    <xf numFmtId="0" fontId="5" fillId="0" borderId="0" xfId="0" applyFont="1"/>
    <xf numFmtId="166" fontId="5" fillId="0" borderId="0" xfId="0" applyNumberFormat="1" applyFont="1"/>
    <xf numFmtId="0" fontId="5" fillId="0" borderId="0" xfId="0" applyFont="1" applyAlignment="1">
      <alignment horizontal="right" wrapText="1"/>
    </xf>
    <xf numFmtId="0" fontId="6" fillId="0" borderId="0" xfId="2"/>
    <xf numFmtId="165" fontId="0" fillId="3" borderId="8" xfId="1" applyNumberFormat="1" applyFont="1" applyFill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0" fontId="6" fillId="0" borderId="0" xfId="2" applyAlignment="1"/>
    <xf numFmtId="165" fontId="0" fillId="4" borderId="0" xfId="1" applyNumberFormat="1" applyFont="1" applyFill="1" applyBorder="1" applyAlignment="1">
      <alignment horizontal="center"/>
    </xf>
    <xf numFmtId="165" fontId="0" fillId="0" borderId="8" xfId="1" applyNumberFormat="1" applyFon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5" xfId="0" applyBorder="1"/>
    <xf numFmtId="0" fontId="0" fillId="0" borderId="13" xfId="0" applyBorder="1"/>
    <xf numFmtId="165" fontId="0" fillId="0" borderId="10" xfId="1" applyNumberFormat="1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5" fontId="0" fillId="0" borderId="8" xfId="1" applyNumberFormat="1" applyFont="1" applyFill="1" applyBorder="1" applyAlignment="1">
      <alignment horizontal="right"/>
    </xf>
    <xf numFmtId="165" fontId="0" fillId="0" borderId="10" xfId="1" applyNumberFormat="1" applyFont="1" applyFill="1" applyBorder="1" applyAlignment="1">
      <alignment horizontal="right"/>
    </xf>
    <xf numFmtId="0" fontId="0" fillId="3" borderId="5" xfId="0" applyFill="1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0" fontId="0" fillId="0" borderId="0" xfId="4" applyNumberFormat="1" applyFont="1"/>
    <xf numFmtId="165" fontId="0" fillId="3" borderId="8" xfId="1" applyNumberFormat="1" applyFont="1" applyFill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166" fontId="0" fillId="0" borderId="1" xfId="0" applyNumberForma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0" fontId="0" fillId="0" borderId="12" xfId="0" applyBorder="1"/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0" borderId="17" xfId="0" applyBorder="1"/>
    <xf numFmtId="0" fontId="0" fillId="3" borderId="2" xfId="0" applyFill="1" applyBorder="1"/>
    <xf numFmtId="165" fontId="0" fillId="3" borderId="16" xfId="1" applyNumberFormat="1" applyFont="1" applyFill="1" applyBorder="1" applyAlignment="1">
      <alignment horizontal="right"/>
    </xf>
    <xf numFmtId="166" fontId="0" fillId="3" borderId="16" xfId="0" applyNumberFormat="1" applyFill="1" applyBorder="1" applyAlignment="1">
      <alignment horizontal="center"/>
    </xf>
    <xf numFmtId="165" fontId="0" fillId="3" borderId="16" xfId="1" applyNumberFormat="1" applyFont="1" applyFill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3" borderId="10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0" fontId="2" fillId="0" borderId="0" xfId="0" applyFont="1"/>
    <xf numFmtId="168" fontId="2" fillId="0" borderId="0" xfId="0" applyNumberFormat="1" applyFont="1"/>
    <xf numFmtId="168" fontId="2" fillId="0" borderId="0" xfId="4" applyNumberFormat="1" applyFont="1" applyFill="1"/>
    <xf numFmtId="43" fontId="2" fillId="0" borderId="0" xfId="3" applyFont="1" applyFill="1"/>
    <xf numFmtId="167" fontId="2" fillId="0" borderId="0" xfId="4" applyNumberFormat="1" applyFont="1" applyFill="1"/>
    <xf numFmtId="10" fontId="2" fillId="0" borderId="0" xfId="0" applyNumberFormat="1" applyFont="1"/>
    <xf numFmtId="169" fontId="2" fillId="0" borderId="0" xfId="0" applyNumberFormat="1" applyFont="1"/>
    <xf numFmtId="10" fontId="2" fillId="0" borderId="0" xfId="4" applyNumberFormat="1" applyFont="1" applyFill="1"/>
    <xf numFmtId="164" fontId="0" fillId="0" borderId="18" xfId="0" applyNumberFormat="1" applyBorder="1" applyAlignment="1">
      <alignment horizontal="center"/>
    </xf>
    <xf numFmtId="165" fontId="0" fillId="0" borderId="18" xfId="1" applyNumberFormat="1" applyFont="1" applyFill="1" applyBorder="1" applyAlignment="1">
      <alignment horizontal="right"/>
    </xf>
    <xf numFmtId="165" fontId="0" fillId="0" borderId="5" xfId="1" applyNumberFormat="1" applyFont="1" applyFill="1" applyBorder="1" applyAlignment="1">
      <alignment horizontal="right"/>
    </xf>
    <xf numFmtId="165" fontId="0" fillId="0" borderId="19" xfId="1" applyNumberFormat="1" applyFont="1" applyFill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5" fontId="0" fillId="0" borderId="20" xfId="1" applyNumberFormat="1" applyFont="1" applyFill="1" applyBorder="1" applyAlignment="1">
      <alignment horizontal="right"/>
    </xf>
    <xf numFmtId="0" fontId="0" fillId="0" borderId="18" xfId="0" applyBorder="1"/>
    <xf numFmtId="165" fontId="0" fillId="0" borderId="18" xfId="1" applyNumberFormat="1" applyFont="1" applyFill="1" applyBorder="1" applyAlignment="1">
      <alignment horizontal="center"/>
    </xf>
    <xf numFmtId="166" fontId="0" fillId="0" borderId="8" xfId="0" applyNumberFormat="1" applyBorder="1" applyAlignment="1">
      <alignment horizontal="right"/>
    </xf>
    <xf numFmtId="166" fontId="0" fillId="0" borderId="18" xfId="0" applyNumberFormat="1" applyBorder="1" applyAlignment="1">
      <alignment horizontal="right"/>
    </xf>
    <xf numFmtId="165" fontId="0" fillId="0" borderId="17" xfId="1" applyNumberFormat="1" applyFont="1" applyFill="1" applyBorder="1" applyAlignment="1">
      <alignment horizontal="right"/>
    </xf>
    <xf numFmtId="165" fontId="0" fillId="0" borderId="20" xfId="1" applyNumberFormat="1" applyFont="1" applyFill="1" applyBorder="1" applyAlignment="1">
      <alignment horizontal="center"/>
    </xf>
    <xf numFmtId="41" fontId="0" fillId="0" borderId="18" xfId="1" applyFont="1" applyFill="1" applyBorder="1" applyAlignment="1">
      <alignment horizontal="center"/>
    </xf>
    <xf numFmtId="41" fontId="0" fillId="0" borderId="18" xfId="1" applyFont="1" applyFill="1" applyBorder="1" applyAlignment="1">
      <alignment horizontal="right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5" fontId="0" fillId="5" borderId="0" xfId="1" applyNumberFormat="1" applyFont="1" applyFill="1" applyBorder="1" applyAlignment="1">
      <alignment horizontal="right"/>
    </xf>
    <xf numFmtId="164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7" fillId="0" borderId="18" xfId="0" applyFont="1" applyBorder="1" applyAlignment="1">
      <alignment horizontal="left" wrapText="1" readingOrder="1"/>
    </xf>
    <xf numFmtId="166" fontId="0" fillId="0" borderId="19" xfId="0" applyNumberFormat="1" applyBorder="1" applyAlignment="1">
      <alignment horizontal="center"/>
    </xf>
    <xf numFmtId="0" fontId="7" fillId="0" borderId="5" xfId="0" applyFont="1" applyBorder="1" applyAlignment="1">
      <alignment horizontal="left" wrapText="1" readingOrder="1"/>
    </xf>
    <xf numFmtId="164" fontId="0" fillId="0" borderId="18" xfId="0" applyNumberFormat="1" applyBorder="1" applyAlignment="1">
      <alignment horizontal="right"/>
    </xf>
    <xf numFmtId="0" fontId="0" fillId="3" borderId="0" xfId="0" applyFill="1"/>
    <xf numFmtId="0" fontId="7" fillId="0" borderId="0" xfId="0" applyFont="1" applyAlignment="1">
      <alignment horizontal="left" wrapText="1" readingOrder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165" fontId="0" fillId="0" borderId="6" xfId="1" applyNumberFormat="1" applyFont="1" applyFill="1" applyBorder="1" applyAlignment="1">
      <alignment horizontal="right"/>
    </xf>
    <xf numFmtId="0" fontId="0" fillId="0" borderId="23" xfId="0" applyBorder="1"/>
    <xf numFmtId="165" fontId="0" fillId="0" borderId="24" xfId="1" applyNumberFormat="1" applyFont="1" applyFill="1" applyBorder="1" applyAlignment="1">
      <alignment horizontal="right"/>
    </xf>
    <xf numFmtId="164" fontId="0" fillId="0" borderId="24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5" fontId="0" fillId="0" borderId="24" xfId="1" applyNumberFormat="1" applyFont="1" applyFill="1" applyBorder="1" applyAlignment="1">
      <alignment horizontal="center"/>
    </xf>
    <xf numFmtId="166" fontId="0" fillId="0" borderId="24" xfId="0" applyNumberFormat="1" applyBorder="1" applyAlignment="1">
      <alignment horizontal="right"/>
    </xf>
    <xf numFmtId="164" fontId="0" fillId="0" borderId="19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5" fontId="0" fillId="0" borderId="26" xfId="1" applyNumberFormat="1" applyFont="1" applyFill="1" applyBorder="1" applyAlignment="1">
      <alignment horizontal="right"/>
    </xf>
    <xf numFmtId="166" fontId="0" fillId="0" borderId="24" xfId="0" applyNumberFormat="1" applyBorder="1" applyAlignment="1">
      <alignment horizontal="center"/>
    </xf>
    <xf numFmtId="43" fontId="0" fillId="0" borderId="0" xfId="0" applyNumberFormat="1"/>
    <xf numFmtId="10" fontId="0" fillId="0" borderId="0" xfId="0" applyNumberFormat="1"/>
    <xf numFmtId="167" fontId="0" fillId="0" borderId="0" xfId="4" applyNumberFormat="1" applyFont="1"/>
    <xf numFmtId="166" fontId="0" fillId="0" borderId="21" xfId="0" applyNumberFormat="1" applyBorder="1" applyAlignment="1">
      <alignment horizontal="right"/>
    </xf>
    <xf numFmtId="165" fontId="1" fillId="0" borderId="21" xfId="6" applyNumberFormat="1" applyFont="1" applyFill="1" applyBorder="1" applyAlignment="1">
      <alignment horizontal="right"/>
    </xf>
    <xf numFmtId="168" fontId="6" fillId="0" borderId="0" xfId="2" applyNumberFormat="1" applyFill="1"/>
    <xf numFmtId="168" fontId="0" fillId="0" borderId="0" xfId="4" applyNumberFormat="1" applyFont="1"/>
    <xf numFmtId="43" fontId="0" fillId="0" borderId="0" xfId="3" applyFont="1"/>
    <xf numFmtId="169" fontId="0" fillId="0" borderId="0" xfId="4" applyNumberFormat="1" applyFont="1"/>
    <xf numFmtId="0" fontId="9" fillId="7" borderId="21" xfId="0" applyFont="1" applyFill="1" applyBorder="1" applyAlignment="1">
      <alignment horizontal="left" wrapText="1" readingOrder="1"/>
    </xf>
    <xf numFmtId="17" fontId="0" fillId="0" borderId="0" xfId="0" applyNumberFormat="1" applyAlignment="1">
      <alignment horizontal="right" wrapText="1"/>
    </xf>
    <xf numFmtId="170" fontId="0" fillId="0" borderId="0" xfId="0" applyNumberFormat="1"/>
    <xf numFmtId="171" fontId="0" fillId="0" borderId="0" xfId="3" applyNumberFormat="1" applyFont="1"/>
    <xf numFmtId="0" fontId="0" fillId="0" borderId="21" xfId="0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3" borderId="21" xfId="0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9" fillId="7" borderId="0" xfId="0" applyFont="1" applyFill="1" applyAlignment="1">
      <alignment horizontal="left" wrapText="1" readingOrder="1"/>
    </xf>
    <xf numFmtId="43" fontId="0" fillId="0" borderId="8" xfId="3" applyFont="1" applyFill="1" applyBorder="1" applyAlignment="1">
      <alignment horizontal="right"/>
    </xf>
    <xf numFmtId="165" fontId="0" fillId="8" borderId="8" xfId="1" applyNumberFormat="1" applyFont="1" applyFill="1" applyBorder="1" applyAlignment="1">
      <alignment horizontal="right"/>
    </xf>
    <xf numFmtId="165" fontId="0" fillId="8" borderId="5" xfId="1" applyNumberFormat="1" applyFont="1" applyFill="1" applyBorder="1" applyAlignment="1">
      <alignment horizontal="right"/>
    </xf>
    <xf numFmtId="0" fontId="9" fillId="7" borderId="28" xfId="0" applyFont="1" applyFill="1" applyBorder="1" applyAlignment="1">
      <alignment horizontal="left" wrapText="1" readingOrder="1"/>
    </xf>
    <xf numFmtId="0" fontId="9" fillId="7" borderId="23" xfId="0" applyFont="1" applyFill="1" applyBorder="1" applyAlignment="1">
      <alignment horizontal="left" wrapText="1" readingOrder="1"/>
    </xf>
    <xf numFmtId="0" fontId="9" fillId="7" borderId="29" xfId="0" applyFont="1" applyFill="1" applyBorder="1" applyAlignment="1">
      <alignment horizontal="left" wrapText="1" readingOrder="1"/>
    </xf>
    <xf numFmtId="43" fontId="0" fillId="0" borderId="10" xfId="3" applyFont="1" applyFill="1" applyBorder="1" applyAlignment="1">
      <alignment horizontal="right"/>
    </xf>
    <xf numFmtId="165" fontId="0" fillId="0" borderId="13" xfId="1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165" fontId="0" fillId="3" borderId="4" xfId="1" applyNumberFormat="1" applyFont="1" applyFill="1" applyBorder="1" applyAlignment="1">
      <alignment horizontal="right"/>
    </xf>
    <xf numFmtId="0" fontId="9" fillId="7" borderId="33" xfId="0" applyFont="1" applyFill="1" applyBorder="1" applyAlignment="1">
      <alignment horizontal="left" wrapText="1" readingOrder="1"/>
    </xf>
    <xf numFmtId="41" fontId="13" fillId="10" borderId="21" xfId="1" applyFont="1" applyFill="1" applyBorder="1" applyAlignment="1">
      <alignment horizontal="left" vertical="center"/>
    </xf>
    <xf numFmtId="165" fontId="13" fillId="10" borderId="21" xfId="1" applyNumberFormat="1" applyFont="1" applyFill="1" applyBorder="1" applyAlignment="1">
      <alignment horizontal="left" vertical="center"/>
    </xf>
    <xf numFmtId="165" fontId="0" fillId="3" borderId="9" xfId="1" applyNumberFormat="1" applyFont="1" applyFill="1" applyBorder="1" applyAlignment="1">
      <alignment horizontal="right"/>
    </xf>
    <xf numFmtId="165" fontId="0" fillId="0" borderId="19" xfId="1" applyNumberFormat="1" applyFont="1" applyFill="1" applyBorder="1" applyAlignment="1">
      <alignment horizontal="right"/>
    </xf>
    <xf numFmtId="9" fontId="0" fillId="0" borderId="0" xfId="4" applyFont="1"/>
    <xf numFmtId="0" fontId="12" fillId="9" borderId="12" xfId="0" applyFont="1" applyFill="1" applyBorder="1" applyAlignment="1">
      <alignment horizontal="center" vertical="center" wrapText="1"/>
    </xf>
    <xf numFmtId="0" fontId="12" fillId="9" borderId="34" xfId="0" applyFont="1" applyFill="1" applyBorder="1" applyAlignment="1">
      <alignment horizontal="center" vertical="center" wrapText="1"/>
    </xf>
    <xf numFmtId="0" fontId="12" fillId="9" borderId="3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12" fillId="9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172" fontId="0" fillId="0" borderId="0" xfId="0" applyNumberFormat="1" applyAlignment="1">
      <alignment horizontal="right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</cellXfs>
  <cellStyles count="11">
    <cellStyle name="Hipervínculo" xfId="2" builtinId="8"/>
    <cellStyle name="Millares" xfId="3" builtinId="3"/>
    <cellStyle name="Millares [0]" xfId="1" builtinId="6"/>
    <cellStyle name="Millares [0] 2" xfId="6" xr:uid="{B1E95FB0-94A7-431D-A946-B8F8989B610E}"/>
    <cellStyle name="Millares 2" xfId="8" xr:uid="{84E0E1CF-C07B-4811-9739-752F59E66712}"/>
    <cellStyle name="Millares 3" xfId="9" xr:uid="{478D2399-678F-4C51-BF5E-0DBE752DAA40}"/>
    <cellStyle name="Millares 4" xfId="7" xr:uid="{AED25878-14D8-42E1-8456-5B9071B4A9E7}"/>
    <cellStyle name="Millares 5" xfId="5" xr:uid="{9A4BCE99-AF0C-4711-9E3B-DA16582BFDF3}"/>
    <cellStyle name="Millares 6" xfId="10" xr:uid="{9B87B94D-D0A3-4774-9E13-25AA233ED7AE}"/>
    <cellStyle name="Normal" xfId="0" builtinId="0"/>
    <cellStyle name="Porcentaje" xfId="4" builtinId="5"/>
  </cellStyles>
  <dxfs count="0"/>
  <tableStyles count="0" defaultTableStyle="TableStyleMedium2" defaultPivotStyle="PivotStyleLight16"/>
  <colors>
    <mruColors>
      <color rgb="FF800080"/>
      <color rgb="FF9900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Historico!$B$4</c:f>
              <c:strCache>
                <c:ptCount val="1"/>
                <c:pt idx="0">
                  <c:v>Bancos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Historico!$C$3:$I$3</c:f>
              <c:strCache>
                <c:ptCount val="7"/>
                <c:pt idx="0">
                  <c:v>VIS</c:v>
                </c:pt>
                <c:pt idx="1">
                  <c:v>NO VIS</c:v>
                </c:pt>
                <c:pt idx="2">
                  <c:v>LIBRE INVERSION</c:v>
                </c:pt>
                <c:pt idx="3">
                  <c:v>VEHICULO</c:v>
                </c:pt>
                <c:pt idx="4">
                  <c:v>TARJETA</c:v>
                </c:pt>
                <c:pt idx="5">
                  <c:v>COMPRA CARTERA</c:v>
                </c:pt>
                <c:pt idx="6">
                  <c:v>CREDITOS ROTATIVOS</c:v>
                </c:pt>
              </c:strCache>
            </c:strRef>
          </c:cat>
          <c:val>
            <c:numRef>
              <c:f>Historico!$C$4:$I$4</c:f>
              <c:numCache>
                <c:formatCode>0.00</c:formatCode>
                <c:ptCount val="7"/>
                <c:pt idx="0">
                  <c:v>15.406666666666666</c:v>
                </c:pt>
                <c:pt idx="1">
                  <c:v>16.387777777777778</c:v>
                </c:pt>
                <c:pt idx="2">
                  <c:v>23.662727272727274</c:v>
                </c:pt>
                <c:pt idx="3">
                  <c:v>20.178749999999997</c:v>
                </c:pt>
                <c:pt idx="4">
                  <c:v>34.041818181818179</c:v>
                </c:pt>
                <c:pt idx="5">
                  <c:v>21.604444444444443</c:v>
                </c:pt>
                <c:pt idx="6">
                  <c:v>31.514749999999996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D-48F8-89B7-2EAE5C65053F}"/>
            </c:ext>
          </c:extLst>
        </c:ser>
        <c:ser>
          <c:idx val="1"/>
          <c:order val="1"/>
          <c:tx>
            <c:strRef>
              <c:f>Historico!$B$5</c:f>
              <c:strCache>
                <c:ptCount val="1"/>
                <c:pt idx="0">
                  <c:v>Cooperativas Financieras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Historico!$C$3:$I$3</c:f>
              <c:strCache>
                <c:ptCount val="7"/>
                <c:pt idx="0">
                  <c:v>VIS</c:v>
                </c:pt>
                <c:pt idx="1">
                  <c:v>NO VIS</c:v>
                </c:pt>
                <c:pt idx="2">
                  <c:v>LIBRE INVERSION</c:v>
                </c:pt>
                <c:pt idx="3">
                  <c:v>VEHICULO</c:v>
                </c:pt>
                <c:pt idx="4">
                  <c:v>TARJETA</c:v>
                </c:pt>
                <c:pt idx="5">
                  <c:v>COMPRA CARTERA</c:v>
                </c:pt>
                <c:pt idx="6">
                  <c:v>CREDITOS ROTATIVOS</c:v>
                </c:pt>
              </c:strCache>
            </c:strRef>
          </c:cat>
          <c:val>
            <c:numRef>
              <c:f>Historico!$C$5:$I$5</c:f>
              <c:numCache>
                <c:formatCode>0.00</c:formatCode>
                <c:ptCount val="7"/>
                <c:pt idx="0">
                  <c:v>18.73</c:v>
                </c:pt>
                <c:pt idx="1">
                  <c:v>20.777500000000003</c:v>
                </c:pt>
                <c:pt idx="2">
                  <c:v>26.4725</c:v>
                </c:pt>
                <c:pt idx="3">
                  <c:v>25.33</c:v>
                </c:pt>
                <c:pt idx="4">
                  <c:v>28</c:v>
                </c:pt>
                <c:pt idx="5">
                  <c:v>23.8</c:v>
                </c:pt>
                <c:pt idx="6">
                  <c:v>29.59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D-48F8-89B7-2EAE5C65053F}"/>
            </c:ext>
          </c:extLst>
        </c:ser>
        <c:ser>
          <c:idx val="2"/>
          <c:order val="2"/>
          <c:tx>
            <c:strRef>
              <c:f>Historico!$B$6</c:f>
              <c:strCache>
                <c:ptCount val="1"/>
                <c:pt idx="0">
                  <c:v>PRESENTE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Historico!$C$3:$I$3</c:f>
              <c:strCache>
                <c:ptCount val="7"/>
                <c:pt idx="0">
                  <c:v>VIS</c:v>
                </c:pt>
                <c:pt idx="1">
                  <c:v>NO VIS</c:v>
                </c:pt>
                <c:pt idx="2">
                  <c:v>LIBRE INVERSION</c:v>
                </c:pt>
                <c:pt idx="3">
                  <c:v>VEHICULO</c:v>
                </c:pt>
                <c:pt idx="4">
                  <c:v>TARJETA</c:v>
                </c:pt>
                <c:pt idx="5">
                  <c:v>COMPRA CARTERA</c:v>
                </c:pt>
                <c:pt idx="6">
                  <c:v>CREDITOS ROTATIVOS</c:v>
                </c:pt>
              </c:strCache>
            </c:strRef>
          </c:cat>
          <c:val>
            <c:numRef>
              <c:f>Historico!$C$6:$I$6</c:f>
              <c:numCache>
                <c:formatCode>0.00</c:formatCode>
                <c:ptCount val="7"/>
                <c:pt idx="0">
                  <c:v>14.15</c:v>
                </c:pt>
                <c:pt idx="1">
                  <c:v>16.96</c:v>
                </c:pt>
                <c:pt idx="2">
                  <c:v>28.03</c:v>
                </c:pt>
                <c:pt idx="3">
                  <c:v>18.27</c:v>
                </c:pt>
                <c:pt idx="4">
                  <c:v>38.19</c:v>
                </c:pt>
                <c:pt idx="5">
                  <c:v>19.52</c:v>
                </c:pt>
                <c:pt idx="6">
                  <c:v>38.19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D-48F8-89B7-2EAE5C650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349679"/>
        <c:axId val="1296190927"/>
      </c:barChart>
      <c:catAx>
        <c:axId val="13043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6190927"/>
        <c:crosses val="autoZero"/>
        <c:auto val="1"/>
        <c:lblAlgn val="ctr"/>
        <c:lblOffset val="100"/>
        <c:noMultiLvlLbl val="0"/>
      </c:catAx>
      <c:valAx>
        <c:axId val="12961909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98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434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1725707</xdr:colOff>
      <xdr:row>2</xdr:row>
      <xdr:rowOff>99523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3EAB28B-9DFB-4FE1-89A7-541F0CFB2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1725706" cy="480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1725707</xdr:colOff>
      <xdr:row>2</xdr:row>
      <xdr:rowOff>99523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7B072F3-BAA6-4E86-B54D-E2462D88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1725706" cy="4678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1725707</xdr:colOff>
      <xdr:row>2</xdr:row>
      <xdr:rowOff>99523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C278C4-87FF-4620-8F2F-52CE849C3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1725706" cy="480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1200149</xdr:colOff>
      <xdr:row>8</xdr:row>
      <xdr:rowOff>9525</xdr:rowOff>
    </xdr:from>
    <xdr:to>
      <xdr:col>8</xdr:col>
      <xdr:colOff>428624</xdr:colOff>
      <xdr:row>21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EA2B49-7AD5-9137-BA68-81E38E889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980514</xdr:colOff>
      <xdr:row>0</xdr:row>
      <xdr:rowOff>28575</xdr:rowOff>
    </xdr:from>
    <xdr:to>
      <xdr:col>1</xdr:col>
      <xdr:colOff>608177</xdr:colOff>
      <xdr:row>3</xdr:row>
      <xdr:rowOff>67236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0AD1212-3AE4-49C4-A8D3-653455791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0514" y="28575"/>
          <a:ext cx="2075588" cy="581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fa.com.co/tasas-de-colocacion/" TargetMode="External"/><Relationship Id="rId13" Type="http://schemas.openxmlformats.org/officeDocument/2006/relationships/hyperlink" Target="https://www.davivienda.com/wps/portal/personas/nuevo/personas/tasasytarifas/!ut/p/z1/jZBNb4JAEIZ_DdedYReHtbdtg7akKsZY6F4MGIokLGsAy98vml6a1I1zm-R55uMFDRnoNv-uq3yobZs3U_-p6RAs3979iBIVCeKoXgPiUn74GCKkN0DIbbCOn_lqt5gLVCvcvaj5xt8sOehHfLxTCh_zHYB2j09B3xDXBy4AF-Ev4FgSg64Lw8ajYcgE0fUwpJBLCmh2zVi1hZAV6K78KruyY5duiv40DOf-yUMPx3FklbVVU7KjNR7-p5xsP0D2l4Sz2e8zrBOTyv4Hlats8Q!!/dz/d5/L2dBISEvZ0FBIS9nQSEh/" TargetMode="External"/><Relationship Id="rId18" Type="http://schemas.openxmlformats.org/officeDocument/2006/relationships/hyperlink" Target="https://www.bancocajasocial.com/content/dam/bcs/documentos/informacion-corporativa/tasas-precios-y-comisiones/credito-vivienda/Tasas-Credito-Vivienda.pdf" TargetMode="External"/><Relationship Id="rId3" Type="http://schemas.openxmlformats.org/officeDocument/2006/relationships/hyperlink" Target="https://www.confiar.coop/personas/productos/credito/credito-para-comprar-vivienda/" TargetMode="External"/><Relationship Id="rId7" Type="http://schemas.openxmlformats.org/officeDocument/2006/relationships/hyperlink" Target="https://www.scotiabankcolpatria.com/tasas-y-tarifas" TargetMode="External"/><Relationship Id="rId12" Type="http://schemas.openxmlformats.org/officeDocument/2006/relationships/hyperlink" Target="https://www.bancopichincha.com.co/web/corporativo/tasas-y-tarifas" TargetMode="External"/><Relationship Id="rId17" Type="http://schemas.openxmlformats.org/officeDocument/2006/relationships/hyperlink" Target="https://banco.itau.co/web/personas/informacion-de-interes/tasas-y-tarifas" TargetMode="External"/><Relationship Id="rId2" Type="http://schemas.openxmlformats.org/officeDocument/2006/relationships/hyperlink" Target="https://www.cotrafa.com.co/portafolio-de-credito" TargetMode="External"/><Relationship Id="rId16" Type="http://schemas.openxmlformats.org/officeDocument/2006/relationships/hyperlink" Target="https://www.coopetraban.com.co/tasas-de-interes-para-credito/" TargetMode="External"/><Relationship Id="rId1" Type="http://schemas.openxmlformats.org/officeDocument/2006/relationships/hyperlink" Target="https://www.bancodeoccidente.com.co/wps/wcm/connect/banco-de-occidente/c24390e8-b984-44de-b427-e59ff152a22c/tasas-personas-2022.pdf?MOD=AJPERES&amp;CVID=o7LgirB" TargetMode="External"/><Relationship Id="rId6" Type="http://schemas.openxmlformats.org/officeDocument/2006/relationships/hyperlink" Target="https://www.avvillas.com.co/wps/portal/avvillas/banco/banca-personal/tasas-tarifas-personas/" TargetMode="External"/><Relationship Id="rId11" Type="http://schemas.openxmlformats.org/officeDocument/2006/relationships/hyperlink" Target="https://www.jfk.com.co/credito/tasas" TargetMode="External"/><Relationship Id="rId5" Type="http://schemas.openxmlformats.org/officeDocument/2006/relationships/hyperlink" Target="https://www.bancolombia.com/personas/creditos/consumo/" TargetMode="External"/><Relationship Id="rId15" Type="http://schemas.openxmlformats.org/officeDocument/2006/relationships/hyperlink" Target="https://bancoserfinanza.com/wp-content/uploads/2023/01/TASAS.pdf" TargetMode="External"/><Relationship Id="rId10" Type="http://schemas.openxmlformats.org/officeDocument/2006/relationships/hyperlink" Target="https://financierajuriscoop.com.co/tasas-y-tarifas" TargetMode="External"/><Relationship Id="rId4" Type="http://schemas.openxmlformats.org/officeDocument/2006/relationships/hyperlink" Target="https://www.bancocajasocial.com/portalserver/tasas-precios-y-comisiones" TargetMode="External"/><Relationship Id="rId9" Type="http://schemas.openxmlformats.org/officeDocument/2006/relationships/hyperlink" Target="https://www.bancopopular.com.co/wps/portal/bancopopular/inicio/informacion-interes/tasas" TargetMode="External"/><Relationship Id="rId14" Type="http://schemas.openxmlformats.org/officeDocument/2006/relationships/hyperlink" Target="https://www.bancodebogota.com/wps/portal/banco-de-bogota/bogota/productos/para-ti/tasas-y-tarifas/tasas-20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ncolombia.com/wcm/connect/5ffe2810-677d-43d2-96af-5a7235732704/07.Formato+consolidado+tasas+mensual+web+julio.pdf?MOD=AJPERES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https://www.bancolombia.com/personas/creditos/vivienda/credito-hipotecario-para-comprar-vivienda" TargetMode="External"/><Relationship Id="rId1" Type="http://schemas.openxmlformats.org/officeDocument/2006/relationships/hyperlink" Target="https://www.bancodeoccidente.com.co/wps/wcm/connect/banco-de-occidente/c24390e8-b984-44de-b427-e59ff152a22c/tasas-personas-2022.pdf?MOD=AJPERES&amp;CVID=o7LgirB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www.bancocajasocial.com/portalserver/tasas-precios-y-comisiones" TargetMode="External"/><Relationship Id="rId4" Type="http://schemas.openxmlformats.org/officeDocument/2006/relationships/hyperlink" Target="https://www.davivienda.com/wps/wcm/connect/personas/0e0c4565-6984-4ffe-b66e-7e5822271871/TASAS+TARIFAS+DAVIVIENDA+13+07+2022.pdf?MOD=AJPERES&amp;CVID=o7U4EW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45D2-E876-4268-BC18-9C3B6D7B7CB0}">
  <dimension ref="A1:K19"/>
  <sheetViews>
    <sheetView showGridLines="0" topLeftCell="A2" workbookViewId="0">
      <selection activeCell="B10" sqref="B10"/>
    </sheetView>
  </sheetViews>
  <sheetFormatPr baseColWidth="10" defaultRowHeight="15" x14ac:dyDescent="0.25"/>
  <cols>
    <col min="1" max="1" width="33.7109375" bestFit="1" customWidth="1"/>
  </cols>
  <sheetData>
    <row r="1" spans="1:9" x14ac:dyDescent="0.25">
      <c r="A1" t="s">
        <v>53</v>
      </c>
      <c r="B1" t="s">
        <v>52</v>
      </c>
    </row>
    <row r="2" spans="1:9" x14ac:dyDescent="0.25">
      <c r="A2" s="78" t="s">
        <v>36</v>
      </c>
      <c r="B2" t="s">
        <v>42</v>
      </c>
    </row>
    <row r="3" spans="1:9" x14ac:dyDescent="0.25">
      <c r="A3" t="s">
        <v>19</v>
      </c>
      <c r="B3" s="11" t="s">
        <v>26</v>
      </c>
    </row>
    <row r="4" spans="1:9" x14ac:dyDescent="0.25">
      <c r="A4" t="s">
        <v>14</v>
      </c>
      <c r="B4" s="11" t="s">
        <v>61</v>
      </c>
    </row>
    <row r="5" spans="1:9" x14ac:dyDescent="0.25">
      <c r="A5" t="s">
        <v>12</v>
      </c>
      <c r="B5" s="11" t="s">
        <v>32</v>
      </c>
    </row>
    <row r="6" spans="1:9" x14ac:dyDescent="0.25">
      <c r="A6" t="s">
        <v>20</v>
      </c>
      <c r="B6" s="11" t="s">
        <v>73</v>
      </c>
    </row>
    <row r="7" spans="1:9" x14ac:dyDescent="0.25">
      <c r="A7" t="s">
        <v>13</v>
      </c>
      <c r="B7" s="14" t="s">
        <v>39</v>
      </c>
      <c r="I7" s="11" t="s">
        <v>74</v>
      </c>
    </row>
    <row r="8" spans="1:9" x14ac:dyDescent="0.25">
      <c r="A8" t="s">
        <v>11</v>
      </c>
      <c r="B8" s="11" t="s">
        <v>43</v>
      </c>
    </row>
    <row r="9" spans="1:9" x14ac:dyDescent="0.25">
      <c r="A9" t="s">
        <v>16</v>
      </c>
      <c r="B9" s="11" t="s">
        <v>44</v>
      </c>
    </row>
    <row r="10" spans="1:9" x14ac:dyDescent="0.25">
      <c r="A10" t="s">
        <v>15</v>
      </c>
      <c r="B10" s="11" t="s">
        <v>70</v>
      </c>
    </row>
    <row r="11" spans="1:9" x14ac:dyDescent="0.25">
      <c r="A11" s="79" t="s">
        <v>50</v>
      </c>
      <c r="B11" s="11" t="s">
        <v>68</v>
      </c>
    </row>
    <row r="12" spans="1:9" x14ac:dyDescent="0.25">
      <c r="A12" t="s">
        <v>9</v>
      </c>
      <c r="B12" s="11" t="s">
        <v>58</v>
      </c>
    </row>
    <row r="13" spans="1:9" x14ac:dyDescent="0.25">
      <c r="A13" t="s">
        <v>17</v>
      </c>
      <c r="B13" s="11" t="s">
        <v>23</v>
      </c>
    </row>
    <row r="14" spans="1:9" x14ac:dyDescent="0.25">
      <c r="A14" t="s">
        <v>18</v>
      </c>
      <c r="B14" s="11" t="s">
        <v>27</v>
      </c>
    </row>
    <row r="15" spans="1:9" x14ac:dyDescent="0.25">
      <c r="A15" s="79" t="s">
        <v>51</v>
      </c>
      <c r="B15" s="101" t="s">
        <v>60</v>
      </c>
    </row>
    <row r="16" spans="1:9" x14ac:dyDescent="0.25">
      <c r="A16" t="s">
        <v>10</v>
      </c>
      <c r="B16" s="11" t="s">
        <v>30</v>
      </c>
    </row>
    <row r="17" spans="1:11" x14ac:dyDescent="0.25">
      <c r="A17" t="s">
        <v>47</v>
      </c>
      <c r="B17" s="11" t="s">
        <v>59</v>
      </c>
    </row>
    <row r="18" spans="1:11" x14ac:dyDescent="0.25">
      <c r="A18" t="s">
        <v>49</v>
      </c>
      <c r="B18" s="11" t="s">
        <v>62</v>
      </c>
    </row>
    <row r="19" spans="1:11" x14ac:dyDescent="0.25">
      <c r="A19" t="s">
        <v>57</v>
      </c>
      <c r="B19" s="11" t="s">
        <v>64</v>
      </c>
      <c r="K19" s="27">
        <f>EFFECT(1.05%,12)</f>
        <v>1.0550678923378687E-2</v>
      </c>
    </row>
  </sheetData>
  <hyperlinks>
    <hyperlink ref="B5" r:id="rId1" xr:uid="{BC3B8EEB-B3D7-4143-BEDE-D6E6EE5B9E4C}"/>
    <hyperlink ref="B3" r:id="rId2" xr:uid="{A029D2D3-AF44-42FA-AD91-46E575AEAC8D}"/>
    <hyperlink ref="B6" r:id="rId3" xr:uid="{340B164B-1FF2-4340-AF76-D6E2463AF992}"/>
    <hyperlink ref="B7" r:id="rId4" xr:uid="{117C2F96-3852-4272-BA5D-4BFC40363573}"/>
    <hyperlink ref="B8" r:id="rId5" xr:uid="{709D1953-F584-48CF-A9EF-54FCBE30B73C}"/>
    <hyperlink ref="B9" r:id="rId6" xr:uid="{2CAA2267-8CE2-4105-AA26-CEC6049BCCFF}"/>
    <hyperlink ref="B10" r:id="rId7" xr:uid="{ECA93884-5C0F-47CE-829B-E503DBDE593B}"/>
    <hyperlink ref="B13" r:id="rId8" xr:uid="{B0B5208B-B2C8-464A-A3A0-7CADA8318032}"/>
    <hyperlink ref="B16" r:id="rId9" xr:uid="{E2652DC9-AFEC-400D-8E23-18C666C52514}"/>
    <hyperlink ref="B18" r:id="rId10" xr:uid="{D483320F-03F9-4A07-B9C9-AD32D8BE90A2}"/>
    <hyperlink ref="B14" r:id="rId11" xr:uid="{1EF97870-45B6-4A9B-B1F0-81849577F1C8}"/>
    <hyperlink ref="B15" r:id="rId12" xr:uid="{DBD35665-3937-43F6-9313-A498AE610782}"/>
    <hyperlink ref="B4" r:id="rId13" display="https://www.davivienda.com/wps/portal/personas/nuevo/personas/tasasytarifas/!ut/p/z1/jZBNb4JAEIZ_DdedYReHtbdtg7akKsZY6F4MGIokLGsAy98vml6a1I1zm-R55uMFDRnoNv-uq3yobZs3U_-p6RAs3979iBIVCeKoXgPiUn74GCKkN0DIbbCOn_lqt5gLVCvcvaj5xt8sOehHfLxTCh_zHYB2j09B3xDXBy4AF-Ev4FgSg64Lw8ajYcgE0fUwpJBLCmh2zVi1hZAV6K78KruyY5duiv40DOf-yUMPx3FklbVVU7KjNR7-p5xsP0D2l4Sz2e8zrBOTyv4Hlats8Q!!/dz/d5/L2dBISEvZ0FBIS9nQSEh/" xr:uid="{16C191E6-6EBE-4BB1-968F-188D08E9662A}"/>
    <hyperlink ref="B12" r:id="rId14" xr:uid="{3523E8DA-02C4-4F79-8ABA-C7E15CD16FFE}"/>
    <hyperlink ref="B17" r:id="rId15" xr:uid="{E62001B6-3F2D-4737-AA6E-88D59B2E27E7}"/>
    <hyperlink ref="B19" r:id="rId16" xr:uid="{348B4D0D-5C13-4E23-B5B7-62570244D1C7}"/>
    <hyperlink ref="B11" r:id="rId17" xr:uid="{08CB9D0F-6FFD-40C2-A550-5F1DD5EAC001}"/>
    <hyperlink ref="I7" r:id="rId18" display="https://www.bancocajasocial.com/content/dam/bcs/documentos/informacion-corporativa/tasas-precios-y-comisiones/credito-vivienda/Tasas-Credito-Vivienda.pdf" xr:uid="{E9006507-7CCC-472F-B6AD-062AF7E1B2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6B77-CA86-48D8-AD01-97D34B91D799}">
  <sheetPr>
    <pageSetUpPr fitToPage="1"/>
  </sheetPr>
  <dimension ref="A1:U81"/>
  <sheetViews>
    <sheetView showGridLines="0" tabSelected="1" zoomScaleNormal="100" workbookViewId="0">
      <selection activeCell="L11" sqref="L11"/>
    </sheetView>
  </sheetViews>
  <sheetFormatPr baseColWidth="10" defaultRowHeight="15" x14ac:dyDescent="0.25"/>
  <cols>
    <col min="1" max="1" width="36.7109375" customWidth="1"/>
    <col min="2" max="2" width="11.5703125" bestFit="1" customWidth="1"/>
    <col min="3" max="3" width="11.140625" style="4" customWidth="1"/>
    <col min="4" max="4" width="11.140625" customWidth="1"/>
    <col min="5" max="5" width="10.85546875" style="3" customWidth="1"/>
    <col min="6" max="7" width="11.140625" style="1" hidden="1" customWidth="1"/>
    <col min="8" max="8" width="9.140625" style="1" bestFit="1" customWidth="1"/>
    <col min="9" max="9" width="12.5703125" style="1" customWidth="1"/>
    <col min="10" max="10" width="7.85546875" hidden="1" customWidth="1"/>
    <col min="11" max="11" width="4.42578125" hidden="1" customWidth="1"/>
    <col min="12" max="14" width="11.140625" customWidth="1"/>
    <col min="15" max="16" width="11.42578125" hidden="1" customWidth="1"/>
    <col min="17" max="17" width="7.85546875" customWidth="1"/>
    <col min="18" max="18" width="16.5703125" customWidth="1"/>
    <col min="19" max="19" width="10.7109375" customWidth="1"/>
    <col min="20" max="20" width="12.5703125" customWidth="1"/>
    <col min="21" max="21" width="17.7109375" customWidth="1"/>
  </cols>
  <sheetData>
    <row r="1" spans="1:18" x14ac:dyDescent="0.25">
      <c r="B1" s="142" t="s">
        <v>0</v>
      </c>
      <c r="C1" s="142"/>
      <c r="D1" s="142"/>
      <c r="E1" s="142"/>
      <c r="F1" s="142"/>
      <c r="G1" s="142"/>
      <c r="H1" s="142"/>
      <c r="I1" s="142"/>
      <c r="J1" s="142"/>
      <c r="K1" s="6"/>
      <c r="L1" s="6"/>
      <c r="M1" s="6"/>
      <c r="N1" s="6"/>
    </row>
    <row r="2" spans="1:18" x14ac:dyDescent="0.2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6"/>
      <c r="L2" s="6"/>
      <c r="M2" s="6"/>
      <c r="N2" s="6"/>
    </row>
    <row r="3" spans="1:18" ht="12.75" customHeight="1" x14ac:dyDescent="0.25">
      <c r="D3" s="143">
        <f ca="1">TODAY()</f>
        <v>46043</v>
      </c>
      <c r="E3" s="143"/>
      <c r="F3" s="143"/>
      <c r="G3" s="143"/>
      <c r="H3" s="143"/>
      <c r="I3" s="143"/>
      <c r="J3" s="143"/>
      <c r="K3" s="7"/>
      <c r="L3" s="7"/>
      <c r="M3" s="7"/>
      <c r="N3" s="7"/>
    </row>
    <row r="4" spans="1:18" ht="12.75" customHeight="1" x14ac:dyDescent="0.25">
      <c r="B4" s="27"/>
      <c r="C4" s="27"/>
      <c r="D4" s="106"/>
      <c r="E4" s="7"/>
      <c r="F4" s="7"/>
      <c r="G4" s="7"/>
      <c r="H4" s="27"/>
      <c r="I4" s="7"/>
      <c r="J4" s="7"/>
      <c r="K4" s="7"/>
      <c r="L4" s="7"/>
      <c r="M4" s="7"/>
      <c r="N4" s="7"/>
    </row>
    <row r="5" spans="1:18" ht="15.75" customHeight="1" thickBot="1" x14ac:dyDescent="0.3">
      <c r="A5" s="138" t="s">
        <v>2</v>
      </c>
      <c r="B5" s="138" t="s">
        <v>3</v>
      </c>
      <c r="C5" s="138"/>
      <c r="D5" s="138"/>
      <c r="E5" s="138"/>
      <c r="F5" s="138" t="s">
        <v>56</v>
      </c>
      <c r="G5" s="138"/>
      <c r="H5" s="138"/>
      <c r="I5" s="138"/>
      <c r="J5" s="139"/>
      <c r="K5" s="139"/>
      <c r="L5" s="139"/>
      <c r="M5" s="139"/>
      <c r="N5" s="140"/>
      <c r="O5" s="141"/>
      <c r="P5" s="139"/>
    </row>
    <row r="6" spans="1:18" ht="15.75" customHeight="1" thickBot="1" x14ac:dyDescent="0.3">
      <c r="A6" s="138"/>
      <c r="B6" s="138" t="s">
        <v>5</v>
      </c>
      <c r="C6" s="138"/>
      <c r="D6" s="138" t="s">
        <v>6</v>
      </c>
      <c r="E6" s="138"/>
      <c r="F6" s="144" t="s">
        <v>7</v>
      </c>
      <c r="G6" s="144"/>
      <c r="H6" s="138" t="s">
        <v>45</v>
      </c>
      <c r="I6" s="138"/>
      <c r="J6" s="145" t="s">
        <v>8</v>
      </c>
      <c r="K6" s="137"/>
      <c r="L6" s="133" t="s">
        <v>46</v>
      </c>
      <c r="M6" s="134"/>
      <c r="N6" s="135"/>
      <c r="O6" s="136" t="s">
        <v>48</v>
      </c>
      <c r="P6" s="137"/>
      <c r="R6" s="132">
        <f>EFFECT(1.25%*12,12)</f>
        <v>0.16075451772299854</v>
      </c>
    </row>
    <row r="7" spans="1:18" ht="39" thickBot="1" x14ac:dyDescent="0.3">
      <c r="A7" s="124" t="s">
        <v>54</v>
      </c>
      <c r="B7" s="124" t="s">
        <v>40</v>
      </c>
      <c r="C7" s="124" t="s">
        <v>41</v>
      </c>
      <c r="D7" s="124" t="s">
        <v>40</v>
      </c>
      <c r="E7" s="124" t="s">
        <v>41</v>
      </c>
      <c r="F7" s="125" t="s">
        <v>40</v>
      </c>
      <c r="G7" s="125" t="s">
        <v>41</v>
      </c>
      <c r="H7" s="124" t="s">
        <v>40</v>
      </c>
      <c r="I7" s="124" t="s">
        <v>41</v>
      </c>
      <c r="J7" s="123" t="s">
        <v>40</v>
      </c>
      <c r="K7" s="70" t="s">
        <v>41</v>
      </c>
      <c r="L7" s="124" t="s">
        <v>71</v>
      </c>
      <c r="M7" s="124" t="s">
        <v>72</v>
      </c>
      <c r="N7" s="124" t="s">
        <v>41</v>
      </c>
      <c r="O7" s="69" t="s">
        <v>40</v>
      </c>
      <c r="P7" s="70" t="s">
        <v>41</v>
      </c>
    </row>
    <row r="8" spans="1:18" ht="15.75" thickBot="1" x14ac:dyDescent="0.3">
      <c r="A8" s="128" t="s">
        <v>36</v>
      </c>
      <c r="B8" s="129">
        <v>11.01</v>
      </c>
      <c r="C8" s="128">
        <f t="shared" ref="C8:C18" si="0">IFERROR(_xlfn.RANK.EQ(B8,$B$8:$B$18,1),0)</f>
        <v>2</v>
      </c>
      <c r="D8" s="129">
        <v>11.83</v>
      </c>
      <c r="E8" s="128">
        <f t="shared" ref="E8:E18" si="1">IFERROR(_xlfn.RANK.EQ(D8,$D$8:$D$18,1),0)</f>
        <v>1</v>
      </c>
      <c r="F8" s="129">
        <v>28.02</v>
      </c>
      <c r="G8" s="129">
        <f t="shared" ref="G8:G18" si="2">IFERROR(_xlfn.RANK.EQ(F8,$F$8:$F$18,1),0)</f>
        <v>9</v>
      </c>
      <c r="H8" s="129">
        <v>15.95</v>
      </c>
      <c r="I8" s="128">
        <f t="shared" ref="I8:I18" si="3">IFERROR(_xlfn.RANK.EQ(H8,$H$8:$H$18,1),0)</f>
        <v>3</v>
      </c>
      <c r="J8" s="126">
        <v>29.93</v>
      </c>
      <c r="K8" s="40">
        <f t="shared" ref="K8:K18" si="4">IFERROR(_xlfn.RANK.EQ(J8,$J$8:$J$18,1),0)</f>
        <v>11</v>
      </c>
      <c r="L8" s="128">
        <v>15.52</v>
      </c>
      <c r="M8" s="128"/>
      <c r="N8" s="128">
        <f t="shared" ref="N8:N18" si="5">IFERROR(_xlfn.RANK.EQ(L8,$L$8:$L$18,1),0)</f>
        <v>6</v>
      </c>
      <c r="O8" s="37">
        <v>27.87</v>
      </c>
      <c r="P8" s="40">
        <f t="shared" ref="P8:P18" si="6">IFERROR(_xlfn.RANK.EQ(O8,$O$8:$O$18,1),0)</f>
        <v>6</v>
      </c>
      <c r="R8" t="str">
        <f>VLOOKUP(A31,Hoja1!A2:B18,2,0)</f>
        <v>reglamento de crédito</v>
      </c>
    </row>
    <row r="9" spans="1:18" x14ac:dyDescent="0.25">
      <c r="A9" s="127" t="s">
        <v>14</v>
      </c>
      <c r="B9" s="22">
        <v>12.6</v>
      </c>
      <c r="C9" s="41">
        <f t="shared" si="0"/>
        <v>5</v>
      </c>
      <c r="D9" s="22">
        <v>12.5</v>
      </c>
      <c r="E9" s="41">
        <f t="shared" si="1"/>
        <v>4</v>
      </c>
      <c r="F9" s="16">
        <v>21.55</v>
      </c>
      <c r="G9" s="41">
        <f t="shared" si="2"/>
        <v>6</v>
      </c>
      <c r="H9" s="17">
        <v>12.01</v>
      </c>
      <c r="I9" s="41">
        <f t="shared" si="3"/>
        <v>1</v>
      </c>
      <c r="J9" s="22">
        <v>28.93</v>
      </c>
      <c r="K9" s="41">
        <f t="shared" si="4"/>
        <v>3</v>
      </c>
      <c r="L9" s="22">
        <v>15.38</v>
      </c>
      <c r="M9" s="57" t="s">
        <v>38</v>
      </c>
      <c r="N9" s="41">
        <f t="shared" si="5"/>
        <v>4</v>
      </c>
      <c r="O9" s="57">
        <v>27.87</v>
      </c>
      <c r="P9" s="41">
        <f t="shared" si="6"/>
        <v>6</v>
      </c>
      <c r="R9" t="str">
        <f>VLOOKUP(A9,Hoja1!$A$3:$B$19,2,0)</f>
        <v>https://www.davivienda.com/wps/portal/personas/nuevo/personas/tasasytarifas/!ut/p/z1/jZBNb4JAEIZ_DdedYReHtbdtg7akKsZY6F4MGIokLGsAy98vml6a1I1zm-R55uMFDRnoNv-uq3yobZs3U_-p6RAs3979iBIVCeKoXgPiUn74GCKkN0DIbbCOn_lqt5gLVCvcvaj5xt8sOehHfLxTCh_zHYB2j09B3xDXBy4AF-Ev4FgSg64Lw8ajYcgE0fUwpJBLCmh2zVi1hZAV6K78KruyY5duiv40DOf-yUMPx3FklbVVU7KjNR7-p5xsP0D2l4Sz2e8zrBOTyv4Hlats8Q!!/dz/d5/L2dBISEvZ0FBIS9nQSEh/</v>
      </c>
    </row>
    <row r="10" spans="1:18" ht="15" customHeight="1" x14ac:dyDescent="0.25">
      <c r="A10" s="119" t="s">
        <v>12</v>
      </c>
      <c r="B10" s="22">
        <v>10.76</v>
      </c>
      <c r="C10" s="41">
        <f t="shared" si="0"/>
        <v>1</v>
      </c>
      <c r="D10" s="22">
        <v>16.010000000000002</v>
      </c>
      <c r="E10" s="41">
        <f t="shared" si="1"/>
        <v>7</v>
      </c>
      <c r="F10" s="16">
        <v>18.02</v>
      </c>
      <c r="G10" s="41">
        <f t="shared" si="2"/>
        <v>4</v>
      </c>
      <c r="H10" s="17">
        <v>16.14</v>
      </c>
      <c r="I10" s="41">
        <f t="shared" si="3"/>
        <v>5</v>
      </c>
      <c r="J10" s="22">
        <v>29.06</v>
      </c>
      <c r="K10" s="41">
        <f t="shared" si="4"/>
        <v>6</v>
      </c>
      <c r="L10" s="22">
        <v>15.12</v>
      </c>
      <c r="M10" s="22">
        <v>24.86</v>
      </c>
      <c r="N10" s="41">
        <f t="shared" si="5"/>
        <v>2</v>
      </c>
      <c r="O10" s="57">
        <v>18.02</v>
      </c>
      <c r="P10" s="41">
        <f t="shared" si="6"/>
        <v>1</v>
      </c>
      <c r="R10" t="str">
        <f>VLOOKUP(A10,Hoja1!$A$3:$B$19,2,0)</f>
        <v>https://www.bancodeoccidente.com.co/wps/wcm/connect/banco-de-occidente/c24390e8-b984-44de-b427-e59ff152a22c/tasas-personas-2022.pdf?MOD=AJPERES&amp;CVID=o7LgirB</v>
      </c>
    </row>
    <row r="11" spans="1:18" x14ac:dyDescent="0.25">
      <c r="A11" s="119" t="s">
        <v>13</v>
      </c>
      <c r="B11" s="22">
        <v>14.85</v>
      </c>
      <c r="C11" s="41">
        <f t="shared" si="0"/>
        <v>8</v>
      </c>
      <c r="D11" s="22">
        <v>16.100000000000001</v>
      </c>
      <c r="E11" s="41">
        <f t="shared" si="1"/>
        <v>8</v>
      </c>
      <c r="F11" s="16">
        <v>13.1</v>
      </c>
      <c r="G11" s="41">
        <f t="shared" si="2"/>
        <v>1</v>
      </c>
      <c r="H11" s="57">
        <v>16.07</v>
      </c>
      <c r="I11" s="41">
        <f t="shared" si="3"/>
        <v>4</v>
      </c>
      <c r="J11" s="22">
        <v>27.12</v>
      </c>
      <c r="K11" s="41">
        <f t="shared" si="4"/>
        <v>2</v>
      </c>
      <c r="L11" s="57">
        <v>15.39</v>
      </c>
      <c r="M11" s="57" t="s">
        <v>38</v>
      </c>
      <c r="N11" s="41">
        <f t="shared" si="5"/>
        <v>5</v>
      </c>
      <c r="O11" s="22">
        <v>26.08</v>
      </c>
      <c r="P11" s="41">
        <f t="shared" si="6"/>
        <v>3</v>
      </c>
      <c r="R11" t="str">
        <f>VLOOKUP(A11,Hoja1!$A$3:$B$19,2,0)</f>
        <v xml:space="preserve">https://www.bancocajasocial.com/portalserver/tasas-precios-y-comisiones
</v>
      </c>
    </row>
    <row r="12" spans="1:18" x14ac:dyDescent="0.25">
      <c r="A12" s="119" t="s">
        <v>11</v>
      </c>
      <c r="B12" s="22">
        <v>12</v>
      </c>
      <c r="C12" s="41">
        <f t="shared" si="0"/>
        <v>3</v>
      </c>
      <c r="D12" s="22">
        <v>12</v>
      </c>
      <c r="E12" s="41">
        <f t="shared" si="1"/>
        <v>2</v>
      </c>
      <c r="F12" s="16">
        <v>19.55</v>
      </c>
      <c r="G12" s="41">
        <f t="shared" si="2"/>
        <v>5</v>
      </c>
      <c r="H12" s="13">
        <v>15.66</v>
      </c>
      <c r="I12" s="41">
        <f t="shared" si="3"/>
        <v>2</v>
      </c>
      <c r="J12" s="22">
        <v>26.99</v>
      </c>
      <c r="K12" s="41">
        <f t="shared" si="4"/>
        <v>1</v>
      </c>
      <c r="L12" s="22">
        <v>13.08</v>
      </c>
      <c r="M12" s="22">
        <v>24.36</v>
      </c>
      <c r="N12" s="41">
        <f t="shared" si="5"/>
        <v>1</v>
      </c>
      <c r="O12" s="22">
        <v>26.38</v>
      </c>
      <c r="P12" s="41">
        <f t="shared" si="6"/>
        <v>4</v>
      </c>
      <c r="R12" t="str">
        <f>VLOOKUP(A12,Hoja1!$A$3:$B$19,2,0)</f>
        <v>https://www.bancolombia.com/personas/creditos/consumo/</v>
      </c>
    </row>
    <row r="13" spans="1:18" x14ac:dyDescent="0.25">
      <c r="A13" s="119" t="s">
        <v>16</v>
      </c>
      <c r="B13" s="22">
        <v>13.8</v>
      </c>
      <c r="C13" s="41">
        <f t="shared" si="0"/>
        <v>7</v>
      </c>
      <c r="D13" s="22">
        <v>15.1</v>
      </c>
      <c r="E13" s="41">
        <f t="shared" si="1"/>
        <v>6</v>
      </c>
      <c r="F13" s="16">
        <v>17.600000000000001</v>
      </c>
      <c r="G13" s="41">
        <f t="shared" si="2"/>
        <v>3</v>
      </c>
      <c r="H13" s="57" t="s">
        <v>38</v>
      </c>
      <c r="I13" s="41">
        <f t="shared" si="3"/>
        <v>0</v>
      </c>
      <c r="J13" s="22">
        <v>28.95</v>
      </c>
      <c r="K13" s="41">
        <f t="shared" si="4"/>
        <v>5</v>
      </c>
      <c r="L13" s="22">
        <v>15.2</v>
      </c>
      <c r="M13" s="22">
        <v>24.36</v>
      </c>
      <c r="N13" s="41">
        <f t="shared" si="5"/>
        <v>3</v>
      </c>
      <c r="O13" s="57" t="s">
        <v>38</v>
      </c>
      <c r="P13" s="41">
        <f t="shared" si="6"/>
        <v>0</v>
      </c>
      <c r="R13" t="str">
        <f>VLOOKUP(A13,Hoja1!$A$3:$B$19,2,0)</f>
        <v>https://www.avvillas.com.co/wps/portal/avvillas/banco/banca-personal/tasas-tarifas-personas/</v>
      </c>
    </row>
    <row r="14" spans="1:18" x14ac:dyDescent="0.25">
      <c r="A14" s="119" t="s">
        <v>15</v>
      </c>
      <c r="B14" s="22">
        <v>12.35</v>
      </c>
      <c r="C14" s="41">
        <f t="shared" si="0"/>
        <v>4</v>
      </c>
      <c r="D14" s="22">
        <v>12.45</v>
      </c>
      <c r="E14" s="41">
        <f t="shared" si="1"/>
        <v>3</v>
      </c>
      <c r="F14" s="57" t="s">
        <v>38</v>
      </c>
      <c r="G14" s="41">
        <f t="shared" si="2"/>
        <v>0</v>
      </c>
      <c r="H14" s="57" t="s">
        <v>38</v>
      </c>
      <c r="I14" s="41">
        <f t="shared" si="3"/>
        <v>0</v>
      </c>
      <c r="J14" s="22">
        <v>29.18</v>
      </c>
      <c r="K14" s="41">
        <f t="shared" si="4"/>
        <v>7</v>
      </c>
      <c r="L14" s="57" t="s">
        <v>38</v>
      </c>
      <c r="M14" s="57" t="s">
        <v>38</v>
      </c>
      <c r="N14" s="41">
        <f t="shared" si="5"/>
        <v>0</v>
      </c>
      <c r="O14" s="22">
        <v>28.16</v>
      </c>
      <c r="P14" s="41">
        <f t="shared" si="6"/>
        <v>9</v>
      </c>
      <c r="R14" t="str">
        <f>VLOOKUP(A14,Hoja1!$A$3:$B$19,2,0)</f>
        <v>https://www.scotiabankcolpatria.com/tasas-y-tarifas</v>
      </c>
    </row>
    <row r="15" spans="1:18" x14ac:dyDescent="0.25">
      <c r="A15" s="119" t="s">
        <v>50</v>
      </c>
      <c r="B15" s="22">
        <v>13.14</v>
      </c>
      <c r="C15" s="41">
        <f t="shared" si="0"/>
        <v>6</v>
      </c>
      <c r="D15" s="22">
        <v>13.46</v>
      </c>
      <c r="E15" s="41">
        <f t="shared" si="1"/>
        <v>5</v>
      </c>
      <c r="F15" s="16">
        <v>21.69</v>
      </c>
      <c r="G15" s="41">
        <f t="shared" si="2"/>
        <v>7</v>
      </c>
      <c r="H15" s="99">
        <v>21.69</v>
      </c>
      <c r="I15" s="41">
        <f t="shared" si="3"/>
        <v>6</v>
      </c>
      <c r="J15" s="22">
        <v>29.18</v>
      </c>
      <c r="K15" s="41">
        <f t="shared" si="4"/>
        <v>7</v>
      </c>
      <c r="L15" s="22">
        <v>20.98</v>
      </c>
      <c r="M15" s="57" t="s">
        <v>38</v>
      </c>
      <c r="N15" s="41">
        <f t="shared" si="5"/>
        <v>8</v>
      </c>
      <c r="O15" s="17">
        <v>27.57</v>
      </c>
      <c r="P15" s="41">
        <f t="shared" si="6"/>
        <v>5</v>
      </c>
      <c r="R15" t="str">
        <f>VLOOKUP(A15,Hoja1!$A$3:$B$19,2,0)</f>
        <v>https://banco.itau.co/web/personas/informacion-de-interes/tasas-y-tarifas</v>
      </c>
    </row>
    <row r="16" spans="1:18" x14ac:dyDescent="0.25">
      <c r="A16" s="119" t="s">
        <v>9</v>
      </c>
      <c r="B16" s="22">
        <v>15.7</v>
      </c>
      <c r="C16" s="41">
        <f t="shared" si="0"/>
        <v>9</v>
      </c>
      <c r="D16" s="22">
        <v>17.399999999999999</v>
      </c>
      <c r="E16" s="41">
        <f t="shared" si="1"/>
        <v>9</v>
      </c>
      <c r="F16" s="16">
        <v>16.350000000000001</v>
      </c>
      <c r="G16" s="41">
        <f t="shared" si="2"/>
        <v>2</v>
      </c>
      <c r="H16" s="63">
        <v>22.71</v>
      </c>
      <c r="I16" s="41">
        <f t="shared" si="3"/>
        <v>8</v>
      </c>
      <c r="J16" s="22">
        <v>29.18</v>
      </c>
      <c r="K16" s="41">
        <f t="shared" si="4"/>
        <v>7</v>
      </c>
      <c r="L16" s="22">
        <v>24.33</v>
      </c>
      <c r="M16" s="57" t="s">
        <v>38</v>
      </c>
      <c r="N16" s="41">
        <f t="shared" si="5"/>
        <v>9</v>
      </c>
      <c r="O16">
        <v>28.07</v>
      </c>
      <c r="P16" s="41">
        <f t="shared" si="6"/>
        <v>8</v>
      </c>
      <c r="R16" t="str">
        <f>VLOOKUP(A16,Hoja1!$A$3:$B$19,2,0)</f>
        <v>https://www.bancodebogota.com/wps/portal/banco-de-bogota/bogota/productos/para-ti/tasas-y-tarifas/tasas-2023</v>
      </c>
    </row>
    <row r="17" spans="1:21" hidden="1" x14ac:dyDescent="0.25">
      <c r="A17" s="119" t="s">
        <v>47</v>
      </c>
      <c r="B17" s="57" t="s">
        <v>38</v>
      </c>
      <c r="C17" s="41">
        <f t="shared" si="0"/>
        <v>0</v>
      </c>
      <c r="D17" s="57" t="s">
        <v>38</v>
      </c>
      <c r="E17" s="41">
        <f t="shared" si="1"/>
        <v>0</v>
      </c>
      <c r="F17" s="58">
        <v>25.19</v>
      </c>
      <c r="G17" s="41">
        <f t="shared" si="2"/>
        <v>8</v>
      </c>
      <c r="H17">
        <v>22.28</v>
      </c>
      <c r="I17" s="41">
        <f t="shared" si="3"/>
        <v>7</v>
      </c>
      <c r="J17" s="56">
        <v>28.93</v>
      </c>
      <c r="K17" s="41">
        <f t="shared" si="4"/>
        <v>3</v>
      </c>
      <c r="L17">
        <v>20.84</v>
      </c>
      <c r="M17" s="57" t="s">
        <v>38</v>
      </c>
      <c r="N17" s="41">
        <f t="shared" si="5"/>
        <v>7</v>
      </c>
      <c r="O17">
        <v>23.73</v>
      </c>
      <c r="P17" s="41">
        <f t="shared" si="6"/>
        <v>2</v>
      </c>
      <c r="R17" t="s">
        <v>63</v>
      </c>
    </row>
    <row r="18" spans="1:21" ht="15.75" thickBot="1" x14ac:dyDescent="0.3">
      <c r="A18" s="119" t="s">
        <v>10</v>
      </c>
      <c r="B18" s="57">
        <v>17.05</v>
      </c>
      <c r="C18" s="41">
        <f t="shared" si="0"/>
        <v>10</v>
      </c>
      <c r="D18" s="57">
        <v>17.55</v>
      </c>
      <c r="E18" s="41">
        <f t="shared" si="1"/>
        <v>10</v>
      </c>
      <c r="F18" s="58">
        <v>28.12</v>
      </c>
      <c r="G18" s="41">
        <f t="shared" si="2"/>
        <v>10</v>
      </c>
      <c r="H18" s="57" t="s">
        <v>38</v>
      </c>
      <c r="I18" s="41">
        <f t="shared" si="3"/>
        <v>0</v>
      </c>
      <c r="J18" s="100">
        <v>29.18</v>
      </c>
      <c r="K18" s="41">
        <f t="shared" si="4"/>
        <v>7</v>
      </c>
      <c r="L18" s="57">
        <v>28.12</v>
      </c>
      <c r="M18" s="57" t="s">
        <v>38</v>
      </c>
      <c r="N18" s="41">
        <f t="shared" si="5"/>
        <v>10</v>
      </c>
      <c r="O18" s="57" t="s">
        <v>38</v>
      </c>
      <c r="P18" s="41">
        <f t="shared" si="6"/>
        <v>0</v>
      </c>
      <c r="R18" t="str">
        <f>VLOOKUP(A18,Hoja1!$A$3:$B$19,2,0)</f>
        <v>https://www.bancopopular.com.co/wps/portal/bancopopular/inicio/informacion-interes/tasas</v>
      </c>
    </row>
    <row r="19" spans="1:21" ht="39" thickBot="1" x14ac:dyDescent="0.3">
      <c r="A19" s="124" t="s">
        <v>55</v>
      </c>
      <c r="B19" s="124" t="s">
        <v>40</v>
      </c>
      <c r="C19" s="124" t="s">
        <v>41</v>
      </c>
      <c r="D19" s="124" t="s">
        <v>40</v>
      </c>
      <c r="E19" s="124" t="s">
        <v>41</v>
      </c>
      <c r="F19" s="125" t="s">
        <v>40</v>
      </c>
      <c r="G19" s="125" t="s">
        <v>41</v>
      </c>
      <c r="H19" s="124" t="s">
        <v>40</v>
      </c>
      <c r="I19" s="124" t="s">
        <v>41</v>
      </c>
      <c r="J19" s="69" t="s">
        <v>40</v>
      </c>
      <c r="K19" s="70" t="s">
        <v>41</v>
      </c>
      <c r="L19" s="124" t="s">
        <v>40</v>
      </c>
      <c r="M19" s="124"/>
      <c r="N19" s="124" t="s">
        <v>41</v>
      </c>
      <c r="O19" s="69" t="s">
        <v>40</v>
      </c>
      <c r="P19" s="70" t="s">
        <v>41</v>
      </c>
    </row>
    <row r="20" spans="1:21" ht="15.75" thickBot="1" x14ac:dyDescent="0.3">
      <c r="A20" s="128" t="s">
        <v>36</v>
      </c>
      <c r="B20" s="129">
        <f>B8</f>
        <v>11.01</v>
      </c>
      <c r="C20" s="128">
        <f t="shared" ref="C20:C25" si="7">IFERROR(_xlfn.RANK.EQ(B20,$B$20:$B$25,1),0)</f>
        <v>2</v>
      </c>
      <c r="D20" s="129">
        <f>D8</f>
        <v>11.83</v>
      </c>
      <c r="E20" s="129">
        <f t="shared" ref="E20:E25" si="8">IFERROR(_xlfn.RANK.EQ(D20,$D$20:$D$25,1),0)</f>
        <v>2</v>
      </c>
      <c r="F20" s="129">
        <f>F8</f>
        <v>28.02</v>
      </c>
      <c r="G20" s="129">
        <f t="shared" ref="G20:G25" si="9">IFERROR(_xlfn.RANK.EQ(F20,$F$20:$F$25,1),0)</f>
        <v>4</v>
      </c>
      <c r="H20" s="129">
        <f>H8</f>
        <v>15.95</v>
      </c>
      <c r="I20" s="129">
        <f t="shared" ref="I20:I25" si="10">IFERROR(_xlfn.RANK.EQ(H20,$H$20:$H$25,1),0)</f>
        <v>2</v>
      </c>
      <c r="J20" s="37">
        <f>J8</f>
        <v>29.93</v>
      </c>
      <c r="K20" s="40">
        <f t="shared" ref="K20:K25" si="11">IFERROR(_xlfn.RANK.EQ(J20,$J$20:$J$25,1),0)</f>
        <v>2</v>
      </c>
      <c r="L20" s="128">
        <f>L8</f>
        <v>15.52</v>
      </c>
      <c r="M20" s="128"/>
      <c r="N20" s="128">
        <f t="shared" ref="N20:N25" si="12">IFERROR(_xlfn.RANK.EQ(L20,$L$20:$L$25,1),0)</f>
        <v>1</v>
      </c>
      <c r="O20" s="37">
        <f>O8</f>
        <v>27.87</v>
      </c>
      <c r="P20" s="40">
        <f>IFERROR(_xlfn.RANK.EQ(O20,$O$20:$O$25,1),0)</f>
        <v>2</v>
      </c>
    </row>
    <row r="21" spans="1:21" x14ac:dyDescent="0.25">
      <c r="A21" s="119" t="s">
        <v>19</v>
      </c>
      <c r="B21" s="56">
        <v>10.44</v>
      </c>
      <c r="C21" s="55">
        <f t="shared" si="7"/>
        <v>1</v>
      </c>
      <c r="D21" s="57">
        <v>10.44</v>
      </c>
      <c r="E21" s="55">
        <f t="shared" si="8"/>
        <v>1</v>
      </c>
      <c r="F21" s="58">
        <v>16.77</v>
      </c>
      <c r="G21" s="55">
        <f t="shared" si="9"/>
        <v>1</v>
      </c>
      <c r="H21" s="57" t="s">
        <v>38</v>
      </c>
      <c r="I21" s="55">
        <f t="shared" si="10"/>
        <v>0</v>
      </c>
      <c r="J21" s="57" t="s">
        <v>38</v>
      </c>
      <c r="K21" s="55">
        <f t="shared" si="11"/>
        <v>0</v>
      </c>
      <c r="L21" s="57" t="s">
        <v>38</v>
      </c>
      <c r="M21" s="57" t="s">
        <v>38</v>
      </c>
      <c r="N21" s="55">
        <f t="shared" si="12"/>
        <v>0</v>
      </c>
      <c r="O21" s="56">
        <v>28.02</v>
      </c>
      <c r="P21" s="55">
        <f>IFERROR(_xlfn.RANK.EQ(O21,$O$21:$O$25,1),0)</f>
        <v>2</v>
      </c>
      <c r="R21" t="str">
        <f>VLOOKUP(A21,Hoja1!$A$3:$B$19,2,0)</f>
        <v>https://www.cotrafa.com.co/portafolio-de-credito</v>
      </c>
      <c r="U21" s="47"/>
    </row>
    <row r="22" spans="1:21" x14ac:dyDescent="0.25">
      <c r="A22" s="119" t="s">
        <v>20</v>
      </c>
      <c r="B22" s="22">
        <v>11.95</v>
      </c>
      <c r="C22" s="41">
        <f t="shared" si="7"/>
        <v>3</v>
      </c>
      <c r="D22" s="22">
        <v>12.85</v>
      </c>
      <c r="E22" s="41">
        <f t="shared" si="8"/>
        <v>3</v>
      </c>
      <c r="F22" s="16">
        <v>21.5</v>
      </c>
      <c r="G22" s="41">
        <f t="shared" si="9"/>
        <v>3</v>
      </c>
      <c r="H22" s="57" t="s">
        <v>38</v>
      </c>
      <c r="I22" s="41">
        <f t="shared" si="10"/>
        <v>0</v>
      </c>
      <c r="J22" s="22">
        <v>27.9</v>
      </c>
      <c r="K22" s="41">
        <f t="shared" si="11"/>
        <v>1</v>
      </c>
      <c r="L22" s="22">
        <v>23.8</v>
      </c>
      <c r="M22" s="57" t="s">
        <v>38</v>
      </c>
      <c r="N22" s="41">
        <f t="shared" si="12"/>
        <v>2</v>
      </c>
      <c r="O22" s="57" t="s">
        <v>38</v>
      </c>
      <c r="P22" s="55">
        <f>IFERROR(_xlfn.RANK.EQ(O22,$O$21:$O$25,1),0)</f>
        <v>0</v>
      </c>
      <c r="R22" t="str">
        <f>VLOOKUP(A22,Hoja1!$A$3:$B$19,2,0)</f>
        <v>https://www.confiar.coop/personas/productos/credito/credito-para-comprar-vivienda/</v>
      </c>
    </row>
    <row r="23" spans="1:21" ht="15.75" thickBot="1" x14ac:dyDescent="0.3">
      <c r="A23" s="120" t="s">
        <v>57</v>
      </c>
      <c r="B23" s="121">
        <v>15.53</v>
      </c>
      <c r="C23" s="42">
        <f t="shared" si="7"/>
        <v>4</v>
      </c>
      <c r="D23" s="23">
        <v>15.53</v>
      </c>
      <c r="E23" s="42">
        <f t="shared" si="8"/>
        <v>4</v>
      </c>
      <c r="F23" s="23">
        <v>20.98</v>
      </c>
      <c r="G23" s="42">
        <f t="shared" si="9"/>
        <v>2</v>
      </c>
      <c r="H23" s="23">
        <v>15.53</v>
      </c>
      <c r="I23" s="42">
        <f t="shared" si="10"/>
        <v>1</v>
      </c>
      <c r="J23" s="122" t="s">
        <v>38</v>
      </c>
      <c r="K23" s="42">
        <f t="shared" si="11"/>
        <v>0</v>
      </c>
      <c r="L23" s="122" t="s">
        <v>38</v>
      </c>
      <c r="M23" s="57" t="s">
        <v>38</v>
      </c>
      <c r="N23" s="42">
        <f t="shared" si="12"/>
        <v>0</v>
      </c>
      <c r="O23" s="23">
        <v>21.7</v>
      </c>
      <c r="P23" s="85">
        <f>IFERROR(_xlfn.RANK.EQ(O23,$O$21:$O$25,1),0)</f>
        <v>1</v>
      </c>
      <c r="R23" t="str">
        <f>VLOOKUP(A23,Hoja1!$A$3:$B$19,2,0)</f>
        <v>https://www.coopetraban.com.co/tasas-de-interes-para-credito/</v>
      </c>
    </row>
    <row r="24" spans="1:21" hidden="1" x14ac:dyDescent="0.25">
      <c r="A24" s="118" t="s">
        <v>49</v>
      </c>
      <c r="B24" s="65"/>
      <c r="C24" s="41">
        <f t="shared" si="7"/>
        <v>0</v>
      </c>
      <c r="D24" s="65"/>
      <c r="E24" s="41">
        <f t="shared" si="8"/>
        <v>0</v>
      </c>
      <c r="F24" s="66"/>
      <c r="G24" s="41">
        <f t="shared" si="9"/>
        <v>0</v>
      </c>
      <c r="H24" s="65"/>
      <c r="I24" s="41">
        <f t="shared" si="10"/>
        <v>0</v>
      </c>
      <c r="J24" s="66"/>
      <c r="K24" s="41">
        <f t="shared" si="11"/>
        <v>0</v>
      </c>
      <c r="L24" s="66"/>
      <c r="M24" s="66"/>
      <c r="N24" s="41">
        <f t="shared" si="12"/>
        <v>0</v>
      </c>
      <c r="O24" s="65"/>
      <c r="P24" s="41">
        <f>IFERROR(_xlfn.RANK.EQ(O24,$O$21:$O$25,1),0)</f>
        <v>0</v>
      </c>
      <c r="R24" t="str">
        <f>VLOOKUP(A24,Hoja1!$A$3:$B$19,2,0)</f>
        <v>https://financierajuriscoop.com.co/tasas-y-tarifas</v>
      </c>
    </row>
    <row r="25" spans="1:21" ht="15.75" hidden="1" customHeight="1" x14ac:dyDescent="0.25">
      <c r="A25" s="105" t="s">
        <v>18</v>
      </c>
      <c r="B25" s="23"/>
      <c r="C25" s="42">
        <f t="shared" si="7"/>
        <v>0</v>
      </c>
      <c r="D25" s="23"/>
      <c r="E25" s="42">
        <f t="shared" si="8"/>
        <v>0</v>
      </c>
      <c r="F25" s="20"/>
      <c r="G25" s="42">
        <f t="shared" si="9"/>
        <v>0</v>
      </c>
      <c r="H25" s="23"/>
      <c r="I25" s="42">
        <f t="shared" si="10"/>
        <v>0</v>
      </c>
      <c r="J25" s="23"/>
      <c r="K25" s="21">
        <f t="shared" si="11"/>
        <v>0</v>
      </c>
      <c r="L25" s="23"/>
      <c r="M25" s="23"/>
      <c r="N25" s="21">
        <f t="shared" si="12"/>
        <v>0</v>
      </c>
      <c r="O25" s="23"/>
      <c r="P25" s="42">
        <f>IFERROR(_xlfn.RANK.EQ(O25,$O$21:$O$25,1),0)</f>
        <v>0</v>
      </c>
      <c r="R25" t="str">
        <f>VLOOKUP(A25,Hoja1!$A$3:$B$19,2,0)</f>
        <v>https://www.jfk.com.co/credito/tasas</v>
      </c>
      <c r="U25" s="47"/>
    </row>
    <row r="26" spans="1:21" x14ac:dyDescent="0.25">
      <c r="R26" s="47"/>
      <c r="S26" s="50">
        <v>11.151273943193299</v>
      </c>
      <c r="T26" s="47"/>
      <c r="U26" s="47"/>
    </row>
    <row r="27" spans="1:21" ht="15.75" customHeight="1" x14ac:dyDescent="0.25">
      <c r="A27" s="114" t="s">
        <v>67</v>
      </c>
      <c r="B27" s="27">
        <f>(1+1.21%)^(12/1)-1</f>
        <v>0.15526362253922477</v>
      </c>
      <c r="C27"/>
      <c r="R27" s="51">
        <v>0.116189</v>
      </c>
      <c r="S27" s="52">
        <f>EFFECT(R27,12)</f>
        <v>0.12258056350536095</v>
      </c>
      <c r="T27" s="47"/>
      <c r="U27" s="47"/>
    </row>
    <row r="28" spans="1:21" ht="15.75" hidden="1" customHeight="1" x14ac:dyDescent="0.25">
      <c r="A28" s="146" t="s">
        <v>2</v>
      </c>
      <c r="B28" s="148"/>
      <c r="C28" s="149"/>
      <c r="D28" s="149"/>
      <c r="E28" s="149"/>
      <c r="F28" s="136" t="s">
        <v>56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37"/>
      <c r="R28" s="47"/>
      <c r="S28" s="47">
        <v>12.2580563505361</v>
      </c>
      <c r="T28" s="47"/>
      <c r="U28" s="47"/>
    </row>
    <row r="29" spans="1:21" ht="26.25" hidden="1" customHeight="1" x14ac:dyDescent="0.25">
      <c r="A29" s="147"/>
      <c r="B29" s="148"/>
      <c r="C29" s="150"/>
      <c r="D29" s="148"/>
      <c r="E29" s="150"/>
      <c r="F29" s="148" t="s">
        <v>7</v>
      </c>
      <c r="G29" s="150"/>
      <c r="H29" s="148" t="s">
        <v>45</v>
      </c>
      <c r="I29" s="150"/>
      <c r="J29" s="136" t="s">
        <v>8</v>
      </c>
      <c r="K29" s="137"/>
      <c r="L29" s="136" t="s">
        <v>46</v>
      </c>
      <c r="M29" s="145"/>
      <c r="N29" s="137"/>
      <c r="O29" s="136" t="s">
        <v>48</v>
      </c>
      <c r="P29" s="137"/>
      <c r="R29" s="47"/>
      <c r="S29" s="47"/>
      <c r="T29" s="47"/>
      <c r="U29" s="47"/>
    </row>
    <row r="30" spans="1:21" ht="39" hidden="1" thickBot="1" x14ac:dyDescent="0.3">
      <c r="A30" s="80" t="s">
        <v>54</v>
      </c>
      <c r="B30" s="25"/>
      <c r="C30" s="26"/>
      <c r="D30" s="25"/>
      <c r="E30" s="26"/>
      <c r="F30" s="69" t="s">
        <v>40</v>
      </c>
      <c r="G30" s="70" t="s">
        <v>41</v>
      </c>
      <c r="H30" s="69" t="s">
        <v>40</v>
      </c>
      <c r="I30" s="70" t="s">
        <v>41</v>
      </c>
      <c r="J30" s="69" t="s">
        <v>40</v>
      </c>
      <c r="K30" s="70" t="s">
        <v>41</v>
      </c>
      <c r="L30" s="69" t="s">
        <v>40</v>
      </c>
      <c r="M30" s="123"/>
      <c r="N30" s="70" t="s">
        <v>41</v>
      </c>
      <c r="O30" s="69" t="s">
        <v>40</v>
      </c>
      <c r="P30" s="70" t="s">
        <v>41</v>
      </c>
      <c r="R30" s="47"/>
      <c r="S30" s="47"/>
      <c r="T30" s="47"/>
      <c r="U30" s="47"/>
    </row>
    <row r="31" spans="1:21" ht="15.75" hidden="1" thickBot="1" x14ac:dyDescent="0.3">
      <c r="A31" s="24" t="s">
        <v>36</v>
      </c>
      <c r="B31" s="28"/>
      <c r="C31" s="43"/>
      <c r="D31" s="28"/>
      <c r="E31" s="43"/>
      <c r="F31" s="28">
        <f>VLOOKUP(A31,$A$5:$P$25,6,0)+F53</f>
        <v>30.52</v>
      </c>
      <c r="G31" s="43">
        <f>IFERROR(_xlfn.RANK.EQ(F31,$F$31:$F$42,1),0)</f>
        <v>11</v>
      </c>
      <c r="H31" s="45">
        <f>VLOOKUP(A31,$A$5:$P$25,8,0)+H53</f>
        <v>18.45</v>
      </c>
      <c r="I31" s="46">
        <f>IFERROR(_xlfn.RANK.EQ(H31,$H$31:$H$42,1),0)</f>
        <v>0</v>
      </c>
      <c r="J31" s="28">
        <f>VLOOKUP(A31,$A$5:$P$25,10,0)+J53</f>
        <v>32.43</v>
      </c>
      <c r="K31" s="43">
        <f>IFERROR(_xlfn.RANK.EQ(J31,$J$31:$J$42,1),0)</f>
        <v>0</v>
      </c>
      <c r="L31" s="28">
        <f>VLOOKUP(A31,$A$5:$P$25,12,0)+L53</f>
        <v>18.02</v>
      </c>
      <c r="M31" s="130"/>
      <c r="N31" s="40">
        <f>IFERROR(_xlfn.RANK.EQ(L31,$L$31:$L$42,1),0)</f>
        <v>0</v>
      </c>
      <c r="O31" s="37">
        <f>VLOOKUP(A31,$A$5:$P$25,14,0)+O53</f>
        <v>6</v>
      </c>
      <c r="P31" s="40">
        <f t="shared" ref="P31:P42" si="13">IFERROR(_xlfn.RANK.EQ(O31,$O$31:$O$50,1),0)</f>
        <v>0</v>
      </c>
      <c r="S31" s="98"/>
      <c r="U31" s="47"/>
    </row>
    <row r="32" spans="1:21" hidden="1" x14ac:dyDescent="0.25">
      <c r="A32" s="32" t="s">
        <v>12</v>
      </c>
      <c r="B32" s="29"/>
      <c r="C32" s="44"/>
      <c r="D32" s="29"/>
      <c r="E32" s="44"/>
      <c r="F32" s="31">
        <f t="shared" ref="F32:F42" si="14">IFERROR(VLOOKUP(A32,$A$5:$P$25,6,0),0)</f>
        <v>18.02</v>
      </c>
      <c r="G32" s="44">
        <f t="shared" ref="G32:G42" si="15">IFERROR(_xlfn.RANK.EQ(F32,$F$31:$F$42,1),0)</f>
        <v>5</v>
      </c>
      <c r="H32" s="17">
        <f t="shared" ref="H32:H42" si="16">VLOOKUP(A32,$A$5:$P$25,8,0)</f>
        <v>16.14</v>
      </c>
      <c r="I32" s="41">
        <f t="shared" ref="I32:I42" si="17">IFERROR(_xlfn.RANK.EQ(H32,$H$31:$H$42,1),0)</f>
        <v>0</v>
      </c>
      <c r="J32" s="29">
        <f t="shared" ref="J32:J42" si="18">VLOOKUP(A32,$A$5:$P$25,10,0)</f>
        <v>29.06</v>
      </c>
      <c r="K32" s="44">
        <f t="shared" ref="K32:K42" si="19">IFERROR(_xlfn.RANK.EQ(J32,$J$31:$J$42,1),0)</f>
        <v>0</v>
      </c>
      <c r="L32" s="29">
        <f t="shared" ref="L32:L42" si="20">VLOOKUP(A32,$A$5:$P$25,12,0)</f>
        <v>15.12</v>
      </c>
      <c r="M32" s="22"/>
      <c r="N32" s="41">
        <f t="shared" ref="N32:N42" si="21">IFERROR(_xlfn.RANK.EQ(L32,$L$31:$L$42,1),0)</f>
        <v>0</v>
      </c>
      <c r="O32" s="22">
        <f t="shared" ref="O32:O42" si="22">VLOOKUP(A32,$A$5:$P$25,14,0)</f>
        <v>2</v>
      </c>
      <c r="P32" s="41">
        <f t="shared" si="13"/>
        <v>0</v>
      </c>
      <c r="U32" s="53"/>
    </row>
    <row r="33" spans="1:21" hidden="1" x14ac:dyDescent="0.25">
      <c r="A33" s="18" t="s">
        <v>13</v>
      </c>
      <c r="B33" s="22"/>
      <c r="C33" s="41"/>
      <c r="D33" s="22"/>
      <c r="E33" s="41"/>
      <c r="F33" s="16">
        <f t="shared" si="14"/>
        <v>13.1</v>
      </c>
      <c r="G33" s="41">
        <f t="shared" si="15"/>
        <v>2</v>
      </c>
      <c r="H33" s="17">
        <f t="shared" si="16"/>
        <v>16.07</v>
      </c>
      <c r="I33" s="41">
        <f t="shared" si="17"/>
        <v>0</v>
      </c>
      <c r="J33" s="22">
        <f t="shared" si="18"/>
        <v>27.12</v>
      </c>
      <c r="K33" s="41">
        <f t="shared" si="19"/>
        <v>0</v>
      </c>
      <c r="L33" s="22">
        <f t="shared" si="20"/>
        <v>15.39</v>
      </c>
      <c r="M33" s="22"/>
      <c r="N33" s="41">
        <f t="shared" si="21"/>
        <v>0</v>
      </c>
      <c r="O33" s="22">
        <f t="shared" si="22"/>
        <v>5</v>
      </c>
      <c r="P33" s="41">
        <f t="shared" si="13"/>
        <v>0</v>
      </c>
      <c r="S33" s="97"/>
      <c r="U33" s="52"/>
    </row>
    <row r="34" spans="1:21" hidden="1" x14ac:dyDescent="0.25">
      <c r="A34" s="18" t="s">
        <v>14</v>
      </c>
      <c r="B34" s="22"/>
      <c r="C34" s="41"/>
      <c r="D34" s="22"/>
      <c r="E34" s="41"/>
      <c r="F34" s="16">
        <f t="shared" si="14"/>
        <v>21.55</v>
      </c>
      <c r="G34" s="41">
        <f t="shared" si="15"/>
        <v>7</v>
      </c>
      <c r="H34" s="17">
        <f t="shared" si="16"/>
        <v>12.01</v>
      </c>
      <c r="I34" s="41">
        <f t="shared" si="17"/>
        <v>0</v>
      </c>
      <c r="J34" s="22">
        <f t="shared" si="18"/>
        <v>28.93</v>
      </c>
      <c r="K34" s="41">
        <f t="shared" si="19"/>
        <v>0</v>
      </c>
      <c r="L34" s="22">
        <f t="shared" si="20"/>
        <v>15.38</v>
      </c>
      <c r="M34" s="22"/>
      <c r="N34" s="41">
        <f t="shared" si="21"/>
        <v>0</v>
      </c>
      <c r="O34" s="22">
        <f t="shared" si="22"/>
        <v>4</v>
      </c>
      <c r="P34" s="41">
        <f t="shared" si="13"/>
        <v>0</v>
      </c>
      <c r="U34" s="47"/>
    </row>
    <row r="35" spans="1:21" hidden="1" x14ac:dyDescent="0.25">
      <c r="A35" s="18" t="s">
        <v>11</v>
      </c>
      <c r="B35" s="22"/>
      <c r="C35" s="41"/>
      <c r="D35" s="22"/>
      <c r="E35" s="41"/>
      <c r="F35" s="16">
        <f t="shared" si="14"/>
        <v>19.55</v>
      </c>
      <c r="G35" s="41">
        <f t="shared" si="15"/>
        <v>6</v>
      </c>
      <c r="H35" s="17">
        <f t="shared" si="16"/>
        <v>15.66</v>
      </c>
      <c r="I35" s="41">
        <f t="shared" si="17"/>
        <v>0</v>
      </c>
      <c r="J35" s="22">
        <f t="shared" si="18"/>
        <v>26.99</v>
      </c>
      <c r="K35" s="41">
        <f t="shared" si="19"/>
        <v>0</v>
      </c>
      <c r="L35" s="22">
        <f t="shared" si="20"/>
        <v>13.08</v>
      </c>
      <c r="M35" s="22"/>
      <c r="N35" s="41">
        <f t="shared" si="21"/>
        <v>0</v>
      </c>
      <c r="O35" s="22">
        <f t="shared" si="22"/>
        <v>1</v>
      </c>
      <c r="P35" s="41">
        <f t="shared" si="13"/>
        <v>0</v>
      </c>
      <c r="U35" s="47"/>
    </row>
    <row r="36" spans="1:21" hidden="1" x14ac:dyDescent="0.25">
      <c r="A36" s="18" t="s">
        <v>16</v>
      </c>
      <c r="B36" s="22"/>
      <c r="C36" s="41"/>
      <c r="D36" s="22"/>
      <c r="E36" s="41"/>
      <c r="F36" s="16">
        <f t="shared" si="14"/>
        <v>17.600000000000001</v>
      </c>
      <c r="G36" s="41">
        <f t="shared" si="15"/>
        <v>4</v>
      </c>
      <c r="H36" s="63" t="str">
        <f t="shared" si="16"/>
        <v>N/A</v>
      </c>
      <c r="I36" s="41">
        <f t="shared" si="17"/>
        <v>0</v>
      </c>
      <c r="J36" s="22">
        <f t="shared" si="18"/>
        <v>28.95</v>
      </c>
      <c r="K36" s="41">
        <f t="shared" si="19"/>
        <v>0</v>
      </c>
      <c r="L36" s="22">
        <f t="shared" si="20"/>
        <v>15.2</v>
      </c>
      <c r="M36" s="22"/>
      <c r="N36" s="41">
        <f t="shared" si="21"/>
        <v>0</v>
      </c>
      <c r="O36" s="22">
        <f t="shared" si="22"/>
        <v>3</v>
      </c>
      <c r="P36" s="41">
        <f t="shared" si="13"/>
        <v>0</v>
      </c>
      <c r="U36" s="47"/>
    </row>
    <row r="37" spans="1:21" hidden="1" x14ac:dyDescent="0.25">
      <c r="A37" s="18" t="s">
        <v>15</v>
      </c>
      <c r="B37" s="22"/>
      <c r="C37" s="41"/>
      <c r="D37" s="22"/>
      <c r="E37" s="41"/>
      <c r="F37" s="16" t="str">
        <f t="shared" si="14"/>
        <v>N/A</v>
      </c>
      <c r="G37" s="41">
        <f t="shared" si="15"/>
        <v>0</v>
      </c>
      <c r="H37" s="63" t="str">
        <f t="shared" si="16"/>
        <v>N/A</v>
      </c>
      <c r="I37" s="41">
        <f t="shared" si="17"/>
        <v>0</v>
      </c>
      <c r="J37" s="22">
        <f t="shared" si="18"/>
        <v>29.18</v>
      </c>
      <c r="K37" s="41">
        <f t="shared" si="19"/>
        <v>0</v>
      </c>
      <c r="L37" s="22" t="str">
        <f t="shared" si="20"/>
        <v>N/A</v>
      </c>
      <c r="M37" s="22"/>
      <c r="N37" s="41">
        <f t="shared" si="21"/>
        <v>0</v>
      </c>
      <c r="O37" s="22">
        <f t="shared" si="22"/>
        <v>0</v>
      </c>
      <c r="P37" s="41">
        <f t="shared" si="13"/>
        <v>0</v>
      </c>
      <c r="U37" s="47"/>
    </row>
    <row r="38" spans="1:21" hidden="1" x14ac:dyDescent="0.25">
      <c r="A38" s="76" t="s">
        <v>50</v>
      </c>
      <c r="B38" s="22"/>
      <c r="C38" s="41"/>
      <c r="D38" s="22"/>
      <c r="E38" s="41"/>
      <c r="F38" s="16">
        <f t="shared" si="14"/>
        <v>21.69</v>
      </c>
      <c r="G38" s="41">
        <f t="shared" si="15"/>
        <v>8</v>
      </c>
      <c r="H38" s="17">
        <f t="shared" si="16"/>
        <v>21.69</v>
      </c>
      <c r="I38" s="41">
        <f t="shared" si="17"/>
        <v>0</v>
      </c>
      <c r="J38" s="22">
        <f t="shared" si="18"/>
        <v>29.18</v>
      </c>
      <c r="K38" s="41">
        <f t="shared" si="19"/>
        <v>0</v>
      </c>
      <c r="L38" s="22">
        <f t="shared" si="20"/>
        <v>20.98</v>
      </c>
      <c r="M38" s="22"/>
      <c r="N38" s="41">
        <f t="shared" si="21"/>
        <v>0</v>
      </c>
      <c r="O38" s="22">
        <f t="shared" si="22"/>
        <v>8</v>
      </c>
      <c r="P38" s="41">
        <f t="shared" si="13"/>
        <v>0</v>
      </c>
      <c r="U38" s="47"/>
    </row>
    <row r="39" spans="1:21" hidden="1" x14ac:dyDescent="0.25">
      <c r="A39" s="18" t="s">
        <v>9</v>
      </c>
      <c r="B39" s="22"/>
      <c r="C39" s="41"/>
      <c r="D39" s="22"/>
      <c r="E39" s="41"/>
      <c r="F39" s="16">
        <f t="shared" si="14"/>
        <v>16.350000000000001</v>
      </c>
      <c r="G39" s="41">
        <f t="shared" si="15"/>
        <v>3</v>
      </c>
      <c r="H39" s="17">
        <f t="shared" si="16"/>
        <v>22.71</v>
      </c>
      <c r="I39" s="41">
        <f t="shared" si="17"/>
        <v>0</v>
      </c>
      <c r="J39" s="22">
        <f t="shared" si="18"/>
        <v>29.18</v>
      </c>
      <c r="K39" s="41">
        <f t="shared" si="19"/>
        <v>0</v>
      </c>
      <c r="L39" s="22">
        <f t="shared" si="20"/>
        <v>24.33</v>
      </c>
      <c r="M39" s="22"/>
      <c r="N39" s="41">
        <f t="shared" si="21"/>
        <v>0</v>
      </c>
      <c r="O39" s="22">
        <f t="shared" si="22"/>
        <v>9</v>
      </c>
      <c r="P39" s="41">
        <f t="shared" si="13"/>
        <v>0</v>
      </c>
      <c r="U39" s="49"/>
    </row>
    <row r="40" spans="1:21" hidden="1" x14ac:dyDescent="0.25">
      <c r="A40" s="74" t="s">
        <v>51</v>
      </c>
      <c r="B40" s="56"/>
      <c r="C40" s="55"/>
      <c r="D40" s="77"/>
      <c r="E40" s="55"/>
      <c r="F40" s="59">
        <f t="shared" si="14"/>
        <v>0</v>
      </c>
      <c r="G40" s="55">
        <f t="shared" si="15"/>
        <v>1</v>
      </c>
      <c r="H40" s="59" t="e">
        <f t="shared" si="16"/>
        <v>#N/A</v>
      </c>
      <c r="I40" s="55">
        <f t="shared" si="17"/>
        <v>0</v>
      </c>
      <c r="J40" s="59" t="e">
        <f t="shared" si="18"/>
        <v>#N/A</v>
      </c>
      <c r="K40" s="55">
        <f t="shared" si="19"/>
        <v>0</v>
      </c>
      <c r="L40" s="59" t="e">
        <f t="shared" si="20"/>
        <v>#N/A</v>
      </c>
      <c r="M40" s="59"/>
      <c r="N40" s="55">
        <f t="shared" si="21"/>
        <v>0</v>
      </c>
      <c r="O40" s="59" t="e">
        <f t="shared" si="22"/>
        <v>#N/A</v>
      </c>
      <c r="P40" s="55">
        <f t="shared" si="13"/>
        <v>0</v>
      </c>
      <c r="U40" s="47"/>
    </row>
    <row r="41" spans="1:21" hidden="1" x14ac:dyDescent="0.25">
      <c r="A41" s="61" t="s">
        <v>10</v>
      </c>
      <c r="B41" s="60"/>
      <c r="C41" s="41"/>
      <c r="D41" s="65"/>
      <c r="E41" s="41"/>
      <c r="F41" s="66">
        <f t="shared" si="14"/>
        <v>28.12</v>
      </c>
      <c r="G41" s="41">
        <f t="shared" si="15"/>
        <v>10</v>
      </c>
      <c r="H41" s="63" t="str">
        <f t="shared" si="16"/>
        <v>N/A</v>
      </c>
      <c r="I41" s="41">
        <f t="shared" si="17"/>
        <v>0</v>
      </c>
      <c r="J41" s="22">
        <f t="shared" si="18"/>
        <v>29.18</v>
      </c>
      <c r="K41" s="41">
        <f t="shared" si="19"/>
        <v>0</v>
      </c>
      <c r="L41" s="22">
        <f t="shared" si="20"/>
        <v>28.12</v>
      </c>
      <c r="M41" s="22"/>
      <c r="N41" s="41">
        <f t="shared" si="21"/>
        <v>0</v>
      </c>
      <c r="O41" s="22">
        <f t="shared" si="22"/>
        <v>10</v>
      </c>
      <c r="P41" s="41">
        <f t="shared" si="13"/>
        <v>0</v>
      </c>
      <c r="U41" s="47"/>
    </row>
    <row r="42" spans="1:21" hidden="1" x14ac:dyDescent="0.25">
      <c r="A42" s="83" t="s">
        <v>47</v>
      </c>
      <c r="B42" s="56"/>
      <c r="C42" s="55"/>
      <c r="D42" s="57"/>
      <c r="E42" s="55"/>
      <c r="F42" s="75">
        <f t="shared" si="14"/>
        <v>25.19</v>
      </c>
      <c r="G42" s="67">
        <f t="shared" si="15"/>
        <v>9</v>
      </c>
      <c r="H42" s="59">
        <f t="shared" si="16"/>
        <v>22.28</v>
      </c>
      <c r="I42" s="55">
        <f t="shared" si="17"/>
        <v>0</v>
      </c>
      <c r="J42" s="59">
        <f t="shared" si="18"/>
        <v>28.93</v>
      </c>
      <c r="K42" s="55">
        <f t="shared" si="19"/>
        <v>0</v>
      </c>
      <c r="L42" s="59">
        <f t="shared" si="20"/>
        <v>20.84</v>
      </c>
      <c r="M42" s="59"/>
      <c r="N42" s="68">
        <f t="shared" si="21"/>
        <v>0</v>
      </c>
      <c r="O42" s="56">
        <f t="shared" si="22"/>
        <v>7</v>
      </c>
      <c r="P42" s="55">
        <f t="shared" si="13"/>
        <v>0</v>
      </c>
      <c r="S42" s="47"/>
      <c r="T42" s="47"/>
      <c r="U42" s="47"/>
    </row>
    <row r="43" spans="1:21" ht="39" hidden="1" thickBot="1" x14ac:dyDescent="0.3">
      <c r="A43" s="81" t="s">
        <v>55</v>
      </c>
      <c r="B43" s="25"/>
      <c r="C43" s="26"/>
      <c r="D43" s="25"/>
      <c r="E43" s="26"/>
      <c r="F43" s="69" t="s">
        <v>40</v>
      </c>
      <c r="G43" s="70" t="s">
        <v>41</v>
      </c>
      <c r="H43" s="69" t="s">
        <v>40</v>
      </c>
      <c r="I43" s="70" t="s">
        <v>41</v>
      </c>
      <c r="J43" s="69" t="s">
        <v>40</v>
      </c>
      <c r="K43" s="70" t="s">
        <v>41</v>
      </c>
      <c r="L43" s="69" t="s">
        <v>40</v>
      </c>
      <c r="M43" s="123"/>
      <c r="N43" s="70" t="s">
        <v>41</v>
      </c>
      <c r="O43" s="33"/>
      <c r="P43" s="34"/>
      <c r="R43" s="47"/>
      <c r="S43" s="47"/>
      <c r="T43" s="47"/>
      <c r="U43" s="47"/>
    </row>
    <row r="44" spans="1:21" ht="15.75" hidden="1" thickBot="1" x14ac:dyDescent="0.3">
      <c r="A44" s="36" t="s">
        <v>36</v>
      </c>
      <c r="B44" s="37"/>
      <c r="C44" s="40"/>
      <c r="D44" s="37"/>
      <c r="E44" s="40"/>
      <c r="F44" s="37">
        <f>VLOOKUP(A44,$A$5:$P$25,6,0)+F53</f>
        <v>30.52</v>
      </c>
      <c r="G44" s="40">
        <f t="shared" ref="G44:G50" si="23">IFERROR(_xlfn.RANK.EQ(F44,$F$44:$F$50,1),0)</f>
        <v>7</v>
      </c>
      <c r="H44" s="38">
        <f>VLOOKUP(A44,$A$5:$P$25,8,0)+H53</f>
        <v>18.45</v>
      </c>
      <c r="I44" s="40">
        <f t="shared" ref="I44:I50" si="24">IFERROR(_xlfn.RANK.EQ(H44,$H$44:$H$50,1),0)</f>
        <v>0</v>
      </c>
      <c r="J44" s="37">
        <f>VLOOKUP(A44,$A$5:$P$25,10,0)+J53</f>
        <v>32.43</v>
      </c>
      <c r="K44" s="40">
        <f t="shared" ref="K44:K50" si="25">IFERROR(_xlfn.RANK.EQ(J44,$J$44:$J$50,1),0)</f>
        <v>0</v>
      </c>
      <c r="L44" s="37">
        <f>VLOOKUP(A44,$A$5:$P$25,12,0)+L53</f>
        <v>18.02</v>
      </c>
      <c r="M44" s="37"/>
      <c r="N44" s="40">
        <f t="shared" ref="N44:N50" si="26">IFERROR(_xlfn.RANK.EQ(L44,$L$44:$L$50,1),0)</f>
        <v>0</v>
      </c>
      <c r="O44" s="37">
        <f>VLOOKUP(A44,$A$5:$P$25,14,0)+O61</f>
        <v>6</v>
      </c>
      <c r="P44" s="40">
        <f>IFERROR(_xlfn.RANK.EQ(O44,$O$31:$O$50,1),0)</f>
        <v>0</v>
      </c>
      <c r="U44" s="47"/>
    </row>
    <row r="45" spans="1:21" hidden="1" x14ac:dyDescent="0.25">
      <c r="A45" s="18" t="s">
        <v>57</v>
      </c>
      <c r="B45" s="56"/>
      <c r="C45" s="55"/>
      <c r="D45" s="62"/>
      <c r="E45" s="86"/>
      <c r="F45" s="62">
        <f t="shared" ref="F45:F50" si="27">IFERROR(VLOOKUP(A45,$A$5:$P$25,6,0),0)</f>
        <v>20.98</v>
      </c>
      <c r="G45" s="86">
        <f t="shared" si="23"/>
        <v>5</v>
      </c>
      <c r="H45" s="59">
        <f t="shared" ref="H45:H50" si="28">VLOOKUP(A45,$A$5:$P$25,8,0)</f>
        <v>15.53</v>
      </c>
      <c r="I45" s="86">
        <f t="shared" si="24"/>
        <v>0</v>
      </c>
      <c r="J45" s="56" t="str">
        <f t="shared" ref="J45:J50" si="29">VLOOKUP(A45,$A$5:$P$25,10,0)</f>
        <v>N/A</v>
      </c>
      <c r="K45" s="86">
        <f t="shared" si="25"/>
        <v>0</v>
      </c>
      <c r="L45" s="56" t="str">
        <f t="shared" ref="L45:L50" si="30">VLOOKUP(A45,$A$5:$P$25,12,0)</f>
        <v>N/A</v>
      </c>
      <c r="M45" s="131"/>
      <c r="N45" s="90">
        <f t="shared" si="26"/>
        <v>0</v>
      </c>
      <c r="O45" s="60"/>
      <c r="P45" s="41"/>
      <c r="U45" s="49"/>
    </row>
    <row r="46" spans="1:21" hidden="1" x14ac:dyDescent="0.25">
      <c r="A46" s="18" t="s">
        <v>17</v>
      </c>
      <c r="B46" s="56"/>
      <c r="C46" s="55"/>
      <c r="D46" s="62"/>
      <c r="E46" s="86"/>
      <c r="F46" s="62">
        <f t="shared" si="27"/>
        <v>0</v>
      </c>
      <c r="G46" s="86">
        <f t="shared" si="23"/>
        <v>1</v>
      </c>
      <c r="H46" s="59" t="e">
        <f t="shared" si="28"/>
        <v>#N/A</v>
      </c>
      <c r="I46" s="86">
        <f t="shared" si="24"/>
        <v>0</v>
      </c>
      <c r="J46" s="56" t="e">
        <f t="shared" si="29"/>
        <v>#N/A</v>
      </c>
      <c r="K46" s="86">
        <f t="shared" si="25"/>
        <v>0</v>
      </c>
      <c r="L46" s="56" t="e">
        <f t="shared" si="30"/>
        <v>#N/A</v>
      </c>
      <c r="M46" s="131"/>
      <c r="N46" s="90">
        <f t="shared" si="26"/>
        <v>0</v>
      </c>
      <c r="O46" s="60" t="e">
        <f>VLOOKUP(A46,$A$5:$P$25,14,0)</f>
        <v>#N/A</v>
      </c>
      <c r="P46" s="41">
        <f>IFERROR(_xlfn.RANK.EQ(O46,$O$31:$O$50,1),0)</f>
        <v>0</v>
      </c>
      <c r="U46" s="49"/>
    </row>
    <row r="47" spans="1:21" hidden="1" x14ac:dyDescent="0.25">
      <c r="A47" s="35" t="s">
        <v>20</v>
      </c>
      <c r="B47" s="22"/>
      <c r="C47" s="41"/>
      <c r="D47" s="22"/>
      <c r="E47" s="92"/>
      <c r="F47" s="16">
        <f t="shared" si="27"/>
        <v>21.5</v>
      </c>
      <c r="G47" s="92">
        <f t="shared" si="23"/>
        <v>6</v>
      </c>
      <c r="H47" s="63" t="str">
        <f t="shared" si="28"/>
        <v>N/A</v>
      </c>
      <c r="I47" s="92">
        <f t="shared" si="24"/>
        <v>0</v>
      </c>
      <c r="J47" s="22">
        <f t="shared" si="29"/>
        <v>27.9</v>
      </c>
      <c r="K47" s="92">
        <f t="shared" si="25"/>
        <v>0</v>
      </c>
      <c r="L47" s="22">
        <f t="shared" si="30"/>
        <v>23.8</v>
      </c>
      <c r="M47" s="60"/>
      <c r="N47" s="93">
        <f t="shared" si="26"/>
        <v>0</v>
      </c>
      <c r="O47" s="60">
        <f>VLOOKUP(A47,$A$5:$P$25,14,0)</f>
        <v>2</v>
      </c>
      <c r="P47" s="41">
        <f>IFERROR(_xlfn.RANK.EQ(O47,$O$31:$O$50,1),0)</f>
        <v>0</v>
      </c>
      <c r="U47" s="47"/>
    </row>
    <row r="48" spans="1:21" hidden="1" x14ac:dyDescent="0.25">
      <c r="A48" s="18" t="s">
        <v>19</v>
      </c>
      <c r="B48" s="56"/>
      <c r="C48" s="55"/>
      <c r="D48" s="56"/>
      <c r="E48" s="86"/>
      <c r="F48" s="62">
        <f t="shared" si="27"/>
        <v>16.77</v>
      </c>
      <c r="G48" s="86">
        <f t="shared" si="23"/>
        <v>4</v>
      </c>
      <c r="H48" s="64" t="str">
        <f t="shared" si="28"/>
        <v>N/A</v>
      </c>
      <c r="I48" s="86">
        <f t="shared" si="24"/>
        <v>0</v>
      </c>
      <c r="J48" s="56" t="str">
        <f t="shared" si="29"/>
        <v>N/A</v>
      </c>
      <c r="K48" s="86">
        <f t="shared" si="25"/>
        <v>0</v>
      </c>
      <c r="L48" s="56" t="str">
        <f t="shared" si="30"/>
        <v>N/A</v>
      </c>
      <c r="M48" s="131"/>
      <c r="N48" s="90">
        <f t="shared" si="26"/>
        <v>0</v>
      </c>
      <c r="O48" s="60">
        <f>VLOOKUP(A48,$A$5:$P$25,14,0)</f>
        <v>0</v>
      </c>
      <c r="P48" s="41">
        <f>IFERROR(_xlfn.RANK.EQ(O48,$O$31:$O$50,1),0)</f>
        <v>0</v>
      </c>
      <c r="S48" s="11"/>
      <c r="U48" s="47"/>
    </row>
    <row r="49" spans="1:21" ht="15.75" hidden="1" thickBot="1" x14ac:dyDescent="0.3">
      <c r="A49" s="18" t="s">
        <v>49</v>
      </c>
      <c r="B49" s="56"/>
      <c r="C49" s="55"/>
      <c r="D49" s="56"/>
      <c r="E49" s="86"/>
      <c r="F49" s="62">
        <f t="shared" si="27"/>
        <v>0</v>
      </c>
      <c r="G49" s="86">
        <f t="shared" si="23"/>
        <v>1</v>
      </c>
      <c r="H49" s="64">
        <f t="shared" si="28"/>
        <v>0</v>
      </c>
      <c r="I49" s="86">
        <f t="shared" si="24"/>
        <v>0</v>
      </c>
      <c r="J49" s="56">
        <f t="shared" si="29"/>
        <v>0</v>
      </c>
      <c r="K49" s="86">
        <f t="shared" si="25"/>
        <v>0</v>
      </c>
      <c r="L49" s="56">
        <f t="shared" si="30"/>
        <v>0</v>
      </c>
      <c r="M49" s="131"/>
      <c r="N49" s="90">
        <f t="shared" si="26"/>
        <v>0</v>
      </c>
      <c r="O49" s="82">
        <f>VLOOKUP(A49,$A$5:$P$25,14,0)</f>
        <v>0</v>
      </c>
      <c r="P49" s="21">
        <f>IFERROR(_xlfn.RANK.EQ(O49,$O$31:$O$50,1),0)</f>
        <v>0</v>
      </c>
      <c r="S49" s="49"/>
      <c r="T49" s="47"/>
      <c r="U49" s="47"/>
    </row>
    <row r="50" spans="1:21" ht="15.75" hidden="1" thickBot="1" x14ac:dyDescent="0.3">
      <c r="A50" s="19" t="s">
        <v>18</v>
      </c>
      <c r="B50" s="84"/>
      <c r="C50" s="85"/>
      <c r="D50" s="84"/>
      <c r="E50" s="87"/>
      <c r="F50" s="88">
        <f t="shared" si="27"/>
        <v>0</v>
      </c>
      <c r="G50" s="87">
        <f t="shared" si="23"/>
        <v>1</v>
      </c>
      <c r="H50" s="89">
        <f t="shared" si="28"/>
        <v>0</v>
      </c>
      <c r="I50" s="87">
        <f t="shared" si="24"/>
        <v>0</v>
      </c>
      <c r="J50" s="84">
        <f t="shared" si="29"/>
        <v>0</v>
      </c>
      <c r="K50" s="87">
        <f t="shared" si="25"/>
        <v>0</v>
      </c>
      <c r="L50" s="84">
        <f t="shared" si="30"/>
        <v>0</v>
      </c>
      <c r="M50" s="94"/>
      <c r="N50" s="91">
        <f t="shared" si="26"/>
        <v>0</v>
      </c>
      <c r="O50" s="94">
        <f>VLOOKUP(A50,$A$5:$P$25,14,0)</f>
        <v>0</v>
      </c>
      <c r="P50" s="95">
        <f>IFERROR(_xlfn.RANK.EQ(O50,$O$31:$O$50,1),0)</f>
        <v>0</v>
      </c>
      <c r="U50" s="47"/>
    </row>
    <row r="51" spans="1:21" hidden="1" x14ac:dyDescent="0.25">
      <c r="P51" s="47"/>
      <c r="R51" s="47"/>
      <c r="S51" s="54"/>
      <c r="T51" s="49"/>
      <c r="U51" s="47"/>
    </row>
    <row r="52" spans="1:21" hidden="1" x14ac:dyDescent="0.25">
      <c r="P52" s="47"/>
      <c r="R52" s="47"/>
      <c r="S52" s="52"/>
      <c r="T52" s="49"/>
      <c r="U52" s="47"/>
    </row>
    <row r="53" spans="1:21" hidden="1" x14ac:dyDescent="0.25">
      <c r="B53" s="15"/>
      <c r="D53" s="15"/>
      <c r="F53" s="15">
        <v>2.5</v>
      </c>
      <c r="H53" s="15">
        <v>2.5</v>
      </c>
      <c r="J53" s="15">
        <v>2.5</v>
      </c>
      <c r="L53" s="15">
        <v>2.5</v>
      </c>
      <c r="M53" s="15"/>
      <c r="O53" s="15"/>
      <c r="P53" s="47"/>
      <c r="R53" s="47"/>
      <c r="S53" s="52"/>
      <c r="T53" s="48"/>
      <c r="U53" s="47"/>
    </row>
    <row r="54" spans="1:21" hidden="1" x14ac:dyDescent="0.25">
      <c r="P54" s="47"/>
      <c r="R54" s="47"/>
      <c r="S54" s="52"/>
      <c r="T54" s="48"/>
      <c r="U54" s="47"/>
    </row>
    <row r="55" spans="1:21" hidden="1" x14ac:dyDescent="0.25">
      <c r="B55" s="96"/>
      <c r="D55" s="96"/>
      <c r="F55" s="96">
        <f>F53*100</f>
        <v>250</v>
      </c>
      <c r="H55" s="96">
        <f>H53*100</f>
        <v>250</v>
      </c>
      <c r="J55" s="96">
        <f>J53*100</f>
        <v>250</v>
      </c>
      <c r="L55" s="96">
        <f>L53*100</f>
        <v>250</v>
      </c>
      <c r="M55" s="96"/>
      <c r="P55" s="47"/>
      <c r="R55" s="47"/>
      <c r="S55" s="52"/>
      <c r="T55" s="49"/>
      <c r="U55" s="47"/>
    </row>
    <row r="56" spans="1:21" x14ac:dyDescent="0.25">
      <c r="B56" s="108"/>
      <c r="C56" s="102"/>
      <c r="D56" s="104"/>
      <c r="E56" s="103"/>
      <c r="H56" s="107"/>
    </row>
    <row r="57" spans="1:21" x14ac:dyDescent="0.25">
      <c r="C57"/>
      <c r="E57"/>
      <c r="F57"/>
      <c r="G57"/>
      <c r="H57"/>
      <c r="I57"/>
    </row>
    <row r="58" spans="1:21" x14ac:dyDescent="0.25">
      <c r="C58"/>
      <c r="E58"/>
      <c r="F58"/>
      <c r="G58"/>
      <c r="H58"/>
      <c r="I58"/>
    </row>
    <row r="59" spans="1:21" x14ac:dyDescent="0.25">
      <c r="C59"/>
      <c r="E59"/>
      <c r="F59"/>
      <c r="G59"/>
      <c r="H59"/>
      <c r="I59"/>
    </row>
    <row r="60" spans="1:21" x14ac:dyDescent="0.25">
      <c r="C60"/>
      <c r="E60"/>
      <c r="F60"/>
      <c r="G60"/>
      <c r="H60"/>
      <c r="I60"/>
    </row>
    <row r="61" spans="1:21" x14ac:dyDescent="0.25">
      <c r="C61"/>
      <c r="E61"/>
      <c r="F61"/>
      <c r="G61"/>
      <c r="H61"/>
      <c r="I61"/>
    </row>
    <row r="62" spans="1:21" x14ac:dyDescent="0.25">
      <c r="C62"/>
      <c r="E62"/>
      <c r="F62"/>
      <c r="G62"/>
      <c r="H62"/>
      <c r="I62"/>
    </row>
    <row r="63" spans="1:21" x14ac:dyDescent="0.25">
      <c r="C63"/>
      <c r="E63"/>
      <c r="F63"/>
      <c r="G63"/>
      <c r="H63"/>
      <c r="I63"/>
    </row>
    <row r="64" spans="1:21" x14ac:dyDescent="0.25">
      <c r="C64"/>
      <c r="E64"/>
      <c r="F64"/>
      <c r="G64"/>
      <c r="H64"/>
      <c r="I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25">
    <mergeCell ref="A28:A29"/>
    <mergeCell ref="B28:E28"/>
    <mergeCell ref="F28:P28"/>
    <mergeCell ref="B29:C29"/>
    <mergeCell ref="D29:E29"/>
    <mergeCell ref="F29:G29"/>
    <mergeCell ref="H29:I29"/>
    <mergeCell ref="J29:K29"/>
    <mergeCell ref="L29:N29"/>
    <mergeCell ref="O29:P29"/>
    <mergeCell ref="B1:J1"/>
    <mergeCell ref="B2:J2"/>
    <mergeCell ref="D3:J3"/>
    <mergeCell ref="A5:A6"/>
    <mergeCell ref="B5:E5"/>
    <mergeCell ref="B6:C6"/>
    <mergeCell ref="D6:E6"/>
    <mergeCell ref="F6:G6"/>
    <mergeCell ref="H6:I6"/>
    <mergeCell ref="J6:K6"/>
    <mergeCell ref="L6:N6"/>
    <mergeCell ref="O6:P6"/>
    <mergeCell ref="F5:I5"/>
    <mergeCell ref="J5:N5"/>
    <mergeCell ref="O5:P5"/>
  </mergeCells>
  <pageMargins left="0.70866141732283472" right="0.70866141732283472" top="0.35433070866141736" bottom="0.35433070866141736" header="0" footer="0"/>
  <pageSetup scale="46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A780-7716-4807-BD7A-57EF9449E66D}">
  <sheetPr>
    <pageSetUpPr fitToPage="1"/>
  </sheetPr>
  <dimension ref="A1:S77"/>
  <sheetViews>
    <sheetView showGridLines="0" zoomScale="87" zoomScaleNormal="90" workbookViewId="0">
      <selection activeCell="N14" sqref="N14"/>
    </sheetView>
  </sheetViews>
  <sheetFormatPr baseColWidth="10" defaultRowHeight="15" x14ac:dyDescent="0.25"/>
  <cols>
    <col min="1" max="1" width="27.140625" customWidth="1"/>
    <col min="2" max="2" width="8.5703125" customWidth="1"/>
    <col min="3" max="3" width="8.5703125" style="4" customWidth="1"/>
    <col min="4" max="4" width="9.140625" customWidth="1"/>
    <col min="5" max="5" width="8.85546875" style="3" customWidth="1"/>
    <col min="6" max="6" width="11.140625" style="1" customWidth="1"/>
    <col min="7" max="7" width="8.140625" style="1" customWidth="1"/>
    <col min="8" max="8" width="9.28515625" style="1" customWidth="1"/>
    <col min="9" max="9" width="8.5703125" style="1" customWidth="1"/>
    <col min="10" max="10" width="9.85546875" customWidth="1"/>
    <col min="11" max="11" width="9.140625" customWidth="1"/>
    <col min="12" max="12" width="9.5703125" customWidth="1"/>
    <col min="13" max="13" width="8.5703125" customWidth="1"/>
    <col min="14" max="14" width="9.28515625" customWidth="1"/>
    <col min="15" max="15" width="9.5703125" customWidth="1"/>
    <col min="16" max="16" width="16.5703125" customWidth="1"/>
    <col min="17" max="17" width="10.7109375" customWidth="1"/>
    <col min="18" max="18" width="12.5703125" customWidth="1"/>
    <col min="19" max="19" width="17.7109375" customWidth="1"/>
  </cols>
  <sheetData>
    <row r="1" spans="1:16" x14ac:dyDescent="0.25">
      <c r="B1" s="142" t="s">
        <v>0</v>
      </c>
      <c r="C1" s="142"/>
      <c r="D1" s="142"/>
      <c r="E1" s="142"/>
      <c r="F1" s="142"/>
      <c r="G1" s="142"/>
      <c r="H1" s="142"/>
      <c r="I1" s="142"/>
      <c r="J1" s="142"/>
      <c r="K1" s="6"/>
      <c r="L1" s="6"/>
      <c r="M1" s="6"/>
    </row>
    <row r="2" spans="1:16" x14ac:dyDescent="0.2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6"/>
      <c r="L2" s="6"/>
      <c r="M2" s="6"/>
    </row>
    <row r="3" spans="1:16" ht="12.75" customHeight="1" x14ac:dyDescent="0.25">
      <c r="D3" s="143">
        <v>45397</v>
      </c>
      <c r="E3" s="143"/>
      <c r="F3" s="143"/>
      <c r="G3" s="143"/>
      <c r="H3" s="143"/>
      <c r="I3" s="143"/>
      <c r="J3" s="143"/>
      <c r="K3" s="7"/>
      <c r="L3" s="7"/>
      <c r="M3" s="7"/>
    </row>
    <row r="4" spans="1:16" ht="12.75" customHeight="1" thickBot="1" x14ac:dyDescent="0.3">
      <c r="B4" s="27"/>
      <c r="C4" s="27"/>
      <c r="D4" s="106"/>
      <c r="E4" s="7"/>
      <c r="F4" s="7"/>
      <c r="G4" s="7"/>
      <c r="H4" s="27"/>
      <c r="I4" s="7"/>
      <c r="J4" s="7"/>
      <c r="K4" s="7"/>
      <c r="L4" s="7"/>
      <c r="M4" s="7"/>
    </row>
    <row r="5" spans="1:16" ht="15.75" customHeight="1" thickBot="1" x14ac:dyDescent="0.3">
      <c r="A5" s="146" t="s">
        <v>2</v>
      </c>
      <c r="B5" s="148" t="s">
        <v>3</v>
      </c>
      <c r="C5" s="149"/>
      <c r="D5" s="149"/>
      <c r="E5" s="149"/>
      <c r="F5" s="136" t="s">
        <v>56</v>
      </c>
      <c r="G5" s="145"/>
      <c r="H5" s="145"/>
      <c r="I5" s="145"/>
      <c r="J5" s="145"/>
      <c r="K5" s="145"/>
      <c r="L5" s="145"/>
      <c r="M5" s="145"/>
      <c r="N5" s="145"/>
      <c r="O5" s="137"/>
    </row>
    <row r="6" spans="1:16" ht="15.75" customHeight="1" thickBot="1" x14ac:dyDescent="0.3">
      <c r="A6" s="147"/>
      <c r="B6" s="148" t="s">
        <v>5</v>
      </c>
      <c r="C6" s="150"/>
      <c r="D6" s="148" t="s">
        <v>6</v>
      </c>
      <c r="E6" s="150"/>
      <c r="F6" s="148" t="s">
        <v>7</v>
      </c>
      <c r="G6" s="150"/>
      <c r="H6" s="148" t="s">
        <v>45</v>
      </c>
      <c r="I6" s="150"/>
      <c r="J6" s="136" t="s">
        <v>8</v>
      </c>
      <c r="K6" s="137"/>
      <c r="L6" s="136" t="s">
        <v>46</v>
      </c>
      <c r="M6" s="137"/>
      <c r="N6" s="136" t="s">
        <v>48</v>
      </c>
      <c r="O6" s="137"/>
    </row>
    <row r="7" spans="1:16" ht="26.25" thickBot="1" x14ac:dyDescent="0.3">
      <c r="A7" s="80" t="s">
        <v>54</v>
      </c>
      <c r="B7" s="25" t="s">
        <v>40</v>
      </c>
      <c r="C7" s="26" t="s">
        <v>41</v>
      </c>
      <c r="D7" s="25" t="s">
        <v>40</v>
      </c>
      <c r="E7" s="26" t="s">
        <v>41</v>
      </c>
      <c r="F7" s="69" t="s">
        <v>40</v>
      </c>
      <c r="G7" s="70" t="s">
        <v>41</v>
      </c>
      <c r="H7" s="69" t="s">
        <v>40</v>
      </c>
      <c r="I7" s="70" t="s">
        <v>41</v>
      </c>
      <c r="J7" s="69" t="s">
        <v>40</v>
      </c>
      <c r="K7" s="70" t="s">
        <v>41</v>
      </c>
      <c r="L7" s="69" t="s">
        <v>40</v>
      </c>
      <c r="M7" s="70" t="s">
        <v>41</v>
      </c>
      <c r="N7" s="69" t="s">
        <v>40</v>
      </c>
      <c r="O7" s="70" t="s">
        <v>41</v>
      </c>
    </row>
    <row r="8" spans="1:16" ht="15.75" thickBot="1" x14ac:dyDescent="0.3">
      <c r="A8" s="36" t="s">
        <v>36</v>
      </c>
      <c r="B8" s="37">
        <v>12.7</v>
      </c>
      <c r="C8" s="40">
        <f>IFERROR(_xlfn.RANK.EQ(B8,$B$8:$B$19,1),0)</f>
        <v>2</v>
      </c>
      <c r="D8" s="37">
        <v>13.83</v>
      </c>
      <c r="E8" s="40">
        <f>IFERROR(_xlfn.RANK.EQ(D8,$D$8:$D$19,1),0)</f>
        <v>3</v>
      </c>
      <c r="F8" s="37">
        <v>26.68</v>
      </c>
      <c r="G8" s="40">
        <f>IFERROR(_xlfn.RANK.EQ(F8,$F$8:$F$19,1),0)</f>
        <v>8</v>
      </c>
      <c r="H8" s="38">
        <v>18.3</v>
      </c>
      <c r="I8" s="40">
        <f>IFERROR(_xlfn.RANK.EQ(H8,$H$8:$H$19,1),0)</f>
        <v>5</v>
      </c>
      <c r="J8" s="37">
        <v>32.770000000000003</v>
      </c>
      <c r="K8" s="40">
        <f>IFERROR(_xlfn.RANK.EQ(J8,$J$8:$J$19,1),0)</f>
        <v>2</v>
      </c>
      <c r="L8" s="37">
        <v>19.52</v>
      </c>
      <c r="M8" s="40">
        <f>IFERROR(_xlfn.RANK.EQ(L8,$L$8:$L$19,1),0)</f>
        <v>5</v>
      </c>
      <c r="N8" s="37">
        <v>32.770000000000003</v>
      </c>
      <c r="O8" s="40">
        <f>IFERROR(_xlfn.RANK.EQ(N8,$N$8:$N$19,1),0)</f>
        <v>6</v>
      </c>
      <c r="P8" t="str">
        <f>VLOOKUP(A33,Hoja1!A2:B18,2,0)</f>
        <v>reglamento de crédito</v>
      </c>
    </row>
    <row r="9" spans="1:16" x14ac:dyDescent="0.25">
      <c r="A9" s="105" t="s">
        <v>14</v>
      </c>
      <c r="B9" s="22">
        <v>14</v>
      </c>
      <c r="C9" s="41">
        <f t="shared" ref="C9:C19" si="0">IFERROR(_xlfn.RANK.EQ(B9,$B$8:$B$19,1),0)</f>
        <v>6</v>
      </c>
      <c r="D9" s="22">
        <v>15.7</v>
      </c>
      <c r="E9" s="41">
        <f t="shared" ref="E9:E19" si="1">IFERROR(_xlfn.RANK.EQ(D9,$D$8:$D$19,1),0)</f>
        <v>6</v>
      </c>
      <c r="F9" s="16">
        <v>18.989999999999998</v>
      </c>
      <c r="G9" s="41">
        <f t="shared" ref="G9:G19" si="2">IFERROR(_xlfn.RANK.EQ(F9,$F$8:$F$19,1),0)</f>
        <v>4</v>
      </c>
      <c r="H9" s="17">
        <v>16.489999999999998</v>
      </c>
      <c r="I9" s="41">
        <f t="shared" ref="I9:I19" si="3">IFERROR(_xlfn.RANK.EQ(H9,$H$8:$H$19,1),0)</f>
        <v>1</v>
      </c>
      <c r="J9" s="22">
        <v>32.92</v>
      </c>
      <c r="K9" s="41">
        <f t="shared" ref="K9:K19" si="4">IFERROR(_xlfn.RANK.EQ(J9,$J$8:$J$19,1),0)</f>
        <v>3</v>
      </c>
      <c r="L9" s="22">
        <v>17.18</v>
      </c>
      <c r="M9" s="41">
        <f t="shared" ref="M9:M19" si="5">IFERROR(_xlfn.RANK.EQ(L9,$L$8:$L$19,1),0)</f>
        <v>1</v>
      </c>
      <c r="N9" s="57">
        <v>32.76</v>
      </c>
      <c r="O9" s="41">
        <f>IFERROR(_xlfn.RANK.EQ(N9,$N$8:$N$19,1),0)</f>
        <v>5</v>
      </c>
      <c r="P9" t="str">
        <f>VLOOKUP(A9,Hoja1!$A$3:$B$19,2,0)</f>
        <v>https://www.davivienda.com/wps/portal/personas/nuevo/personas/tasasytarifas/!ut/p/z1/jZBNb4JAEIZ_DdedYReHtbdtg7akKsZY6F4MGIokLGsAy98vml6a1I1zm-R55uMFDRnoNv-uq3yobZs3U_-p6RAs3979iBIVCeKoXgPiUn74GCKkN0DIbbCOn_lqt5gLVCvcvaj5xt8sOehHfLxTCh_zHYB2j09B3xDXBy4AF-Ev4FgSg64Lw8ajYcgE0fUwpJBLCmh2zVi1hZAV6K78KruyY5duiv40DOf-yUMPx3FklbVVU7KjNR7-p5xsP0D2l4Sz2e8zrBOTyv4Hlats8Q!!/dz/d5/L2dBISEvZ0FBIS9nQSEh/</v>
      </c>
    </row>
    <row r="10" spans="1:16" ht="15" customHeight="1" x14ac:dyDescent="0.25">
      <c r="A10" s="105" t="s">
        <v>12</v>
      </c>
      <c r="B10" s="22">
        <v>14.15</v>
      </c>
      <c r="C10" s="41">
        <f t="shared" si="0"/>
        <v>7</v>
      </c>
      <c r="D10" s="22">
        <v>14.15</v>
      </c>
      <c r="E10" s="41">
        <f t="shared" si="1"/>
        <v>4</v>
      </c>
      <c r="F10" s="16">
        <v>19.7</v>
      </c>
      <c r="G10" s="41">
        <f t="shared" si="2"/>
        <v>7</v>
      </c>
      <c r="H10" s="17">
        <v>17.88</v>
      </c>
      <c r="I10" s="41">
        <f t="shared" si="3"/>
        <v>3</v>
      </c>
      <c r="J10" s="22">
        <v>32.94</v>
      </c>
      <c r="K10" s="41">
        <f t="shared" si="4"/>
        <v>5</v>
      </c>
      <c r="L10" s="22">
        <v>18.440000000000001</v>
      </c>
      <c r="M10" s="41">
        <f t="shared" si="5"/>
        <v>3</v>
      </c>
      <c r="N10" s="57">
        <v>21.7</v>
      </c>
      <c r="O10" s="41">
        <f t="shared" ref="O10:O19" si="6">IFERROR(_xlfn.RANK.EQ(N10,$N$8:$N$19,1),0)</f>
        <v>1</v>
      </c>
      <c r="P10" t="str">
        <f>VLOOKUP(A10,Hoja1!$A$3:$B$19,2,0)</f>
        <v>https://www.bancodeoccidente.com.co/wps/wcm/connect/banco-de-occidente/c24390e8-b984-44de-b427-e59ff152a22c/tasas-personas-2022.pdf?MOD=AJPERES&amp;CVID=o7LgirB</v>
      </c>
    </row>
    <row r="11" spans="1:16" x14ac:dyDescent="0.25">
      <c r="A11" s="105" t="s">
        <v>13</v>
      </c>
      <c r="B11" s="22">
        <v>13</v>
      </c>
      <c r="C11" s="41">
        <f t="shared" si="0"/>
        <v>3</v>
      </c>
      <c r="D11" s="22">
        <v>14.4</v>
      </c>
      <c r="E11" s="41">
        <f t="shared" si="1"/>
        <v>5</v>
      </c>
      <c r="F11" s="16">
        <v>14.6</v>
      </c>
      <c r="G11" s="41">
        <f t="shared" si="2"/>
        <v>1</v>
      </c>
      <c r="H11" s="57">
        <v>18.02</v>
      </c>
      <c r="I11" s="41">
        <f t="shared" si="3"/>
        <v>4</v>
      </c>
      <c r="J11" s="22">
        <v>31.22</v>
      </c>
      <c r="K11" s="41">
        <f t="shared" si="4"/>
        <v>1</v>
      </c>
      <c r="L11" s="57" t="s">
        <v>38</v>
      </c>
      <c r="M11" s="41">
        <f t="shared" si="5"/>
        <v>0</v>
      </c>
      <c r="N11" s="22">
        <v>31.22</v>
      </c>
      <c r="O11" s="41">
        <f t="shared" si="6"/>
        <v>3</v>
      </c>
      <c r="P11" t="str">
        <f>VLOOKUP(A11,Hoja1!$A$3:$B$19,2,0)</f>
        <v xml:space="preserve">https://www.bancocajasocial.com/portalserver/tasas-precios-y-comisiones
</v>
      </c>
    </row>
    <row r="12" spans="1:16" x14ac:dyDescent="0.25">
      <c r="A12" s="105" t="s">
        <v>11</v>
      </c>
      <c r="B12" s="22">
        <v>15.15</v>
      </c>
      <c r="C12" s="41">
        <f t="shared" si="0"/>
        <v>8</v>
      </c>
      <c r="D12" s="22">
        <v>15.95</v>
      </c>
      <c r="E12" s="41">
        <f t="shared" si="1"/>
        <v>8</v>
      </c>
      <c r="F12" s="16">
        <v>17.309999999999999</v>
      </c>
      <c r="G12" s="41">
        <f t="shared" si="2"/>
        <v>2</v>
      </c>
      <c r="H12" s="17">
        <v>16.899999999999999</v>
      </c>
      <c r="I12" s="41">
        <f t="shared" si="3"/>
        <v>2</v>
      </c>
      <c r="J12" s="22">
        <v>33.22</v>
      </c>
      <c r="K12" s="41">
        <f t="shared" si="4"/>
        <v>11</v>
      </c>
      <c r="L12" s="22">
        <v>19.07</v>
      </c>
      <c r="M12" s="41">
        <f t="shared" si="5"/>
        <v>4</v>
      </c>
      <c r="N12" s="22" t="s">
        <v>69</v>
      </c>
      <c r="O12" s="41">
        <f t="shared" si="6"/>
        <v>0</v>
      </c>
      <c r="P12" t="str">
        <f>VLOOKUP(A12,Hoja1!$A$3:$B$19,2,0)</f>
        <v>https://www.bancolombia.com/personas/creditos/consumo/</v>
      </c>
    </row>
    <row r="13" spans="1:16" x14ac:dyDescent="0.25">
      <c r="A13" s="105" t="s">
        <v>16</v>
      </c>
      <c r="B13" s="22">
        <v>16.05</v>
      </c>
      <c r="C13" s="41">
        <f t="shared" si="0"/>
        <v>9</v>
      </c>
      <c r="D13" s="22">
        <v>16.45</v>
      </c>
      <c r="E13" s="41">
        <f t="shared" si="1"/>
        <v>9</v>
      </c>
      <c r="F13" s="16">
        <v>17.600000000000001</v>
      </c>
      <c r="G13" s="41">
        <f t="shared" si="2"/>
        <v>3</v>
      </c>
      <c r="H13" s="57" t="s">
        <v>38</v>
      </c>
      <c r="I13" s="41">
        <f t="shared" si="3"/>
        <v>0</v>
      </c>
      <c r="J13" s="22">
        <v>33</v>
      </c>
      <c r="K13" s="41">
        <f t="shared" si="4"/>
        <v>6</v>
      </c>
      <c r="L13" s="22">
        <v>17.3</v>
      </c>
      <c r="M13" s="41">
        <f t="shared" si="5"/>
        <v>2</v>
      </c>
      <c r="N13" s="57" t="s">
        <v>38</v>
      </c>
      <c r="O13" s="41">
        <f t="shared" si="6"/>
        <v>0</v>
      </c>
      <c r="P13" t="str">
        <f>VLOOKUP(A13,Hoja1!$A$3:$B$19,2,0)</f>
        <v>https://www.avvillas.com.co/wps/portal/avvillas/banco/banca-personal/tasas-tarifas-personas/</v>
      </c>
    </row>
    <row r="14" spans="1:16" x14ac:dyDescent="0.25">
      <c r="A14" s="105" t="s">
        <v>15</v>
      </c>
      <c r="B14" s="22">
        <v>13.99</v>
      </c>
      <c r="C14" s="41">
        <f t="shared" si="0"/>
        <v>5</v>
      </c>
      <c r="D14" s="116">
        <v>15.89</v>
      </c>
      <c r="E14" s="41">
        <f t="shared" si="1"/>
        <v>7</v>
      </c>
      <c r="F14" s="57" t="s">
        <v>38</v>
      </c>
      <c r="G14" s="41">
        <f t="shared" si="2"/>
        <v>0</v>
      </c>
      <c r="H14" s="117">
        <v>21.69</v>
      </c>
      <c r="I14" s="41">
        <f t="shared" si="3"/>
        <v>8</v>
      </c>
      <c r="J14" s="116">
        <v>33.06</v>
      </c>
      <c r="K14" s="41">
        <f t="shared" si="4"/>
        <v>8</v>
      </c>
      <c r="L14" s="57" t="s">
        <v>38</v>
      </c>
      <c r="M14" s="41">
        <f t="shared" si="5"/>
        <v>0</v>
      </c>
      <c r="N14" s="22">
        <v>33.29</v>
      </c>
      <c r="O14" s="41">
        <f t="shared" si="6"/>
        <v>8</v>
      </c>
      <c r="P14" t="str">
        <f>VLOOKUP(A14,Hoja1!$A$3:$B$19,2,0)</f>
        <v>https://www.scotiabankcolpatria.com/tasas-y-tarifas</v>
      </c>
    </row>
    <row r="15" spans="1:16" x14ac:dyDescent="0.25">
      <c r="A15" s="105" t="s">
        <v>50</v>
      </c>
      <c r="B15" s="22">
        <v>13.64</v>
      </c>
      <c r="C15" s="41">
        <f t="shared" si="0"/>
        <v>4</v>
      </c>
      <c r="D15" s="22">
        <v>13.64</v>
      </c>
      <c r="E15" s="41">
        <f t="shared" si="1"/>
        <v>2</v>
      </c>
      <c r="F15" s="16">
        <v>19.279</v>
      </c>
      <c r="G15" s="41">
        <f t="shared" si="2"/>
        <v>6</v>
      </c>
      <c r="H15" s="99">
        <v>21.699000000000002</v>
      </c>
      <c r="I15" s="41">
        <f t="shared" si="3"/>
        <v>9</v>
      </c>
      <c r="J15" s="22">
        <v>33</v>
      </c>
      <c r="K15" s="41">
        <f t="shared" si="4"/>
        <v>6</v>
      </c>
      <c r="L15" s="22">
        <v>24.311</v>
      </c>
      <c r="M15" s="41">
        <f t="shared" si="5"/>
        <v>9</v>
      </c>
      <c r="N15" s="17">
        <v>31.527999999999999</v>
      </c>
      <c r="O15" s="41">
        <f t="shared" si="6"/>
        <v>4</v>
      </c>
      <c r="P15" t="str">
        <f>VLOOKUP(A15,Hoja1!$A$3:$B$19,2,0)</f>
        <v>https://banco.itau.co/web/personas/informacion-de-interes/tasas-y-tarifas</v>
      </c>
    </row>
    <row r="16" spans="1:16" x14ac:dyDescent="0.25">
      <c r="A16" s="105" t="s">
        <v>9</v>
      </c>
      <c r="B16" s="22">
        <v>11.88</v>
      </c>
      <c r="C16" s="41">
        <f t="shared" si="0"/>
        <v>1</v>
      </c>
      <c r="D16" s="22">
        <v>11.88</v>
      </c>
      <c r="E16" s="41">
        <f t="shared" si="1"/>
        <v>1</v>
      </c>
      <c r="F16" s="16">
        <v>30.44</v>
      </c>
      <c r="G16" s="41">
        <f t="shared" si="2"/>
        <v>11</v>
      </c>
      <c r="H16" s="17">
        <v>19.559999999999999</v>
      </c>
      <c r="I16" s="41">
        <f t="shared" si="3"/>
        <v>6</v>
      </c>
      <c r="J16" s="22">
        <v>33.06</v>
      </c>
      <c r="K16" s="41">
        <f t="shared" si="4"/>
        <v>8</v>
      </c>
      <c r="L16" s="22">
        <v>23.04</v>
      </c>
      <c r="M16" s="41">
        <f t="shared" si="5"/>
        <v>6</v>
      </c>
      <c r="N16" s="22">
        <v>34.880000000000003</v>
      </c>
      <c r="O16" s="41">
        <f t="shared" si="6"/>
        <v>9</v>
      </c>
      <c r="P16" t="str">
        <f>VLOOKUP(A16,Hoja1!$A$3:$B$19,2,0)</f>
        <v>https://www.bancodebogota.com/wps/portal/banco-de-bogota/bogota/productos/para-ti/tasas-y-tarifas/tasas-2023</v>
      </c>
    </row>
    <row r="17" spans="1:19" x14ac:dyDescent="0.25">
      <c r="A17" s="105" t="s">
        <v>47</v>
      </c>
      <c r="B17" s="57" t="s">
        <v>38</v>
      </c>
      <c r="C17" s="41">
        <f t="shared" si="0"/>
        <v>0</v>
      </c>
      <c r="D17" s="57" t="s">
        <v>38</v>
      </c>
      <c r="E17" s="41">
        <f t="shared" si="1"/>
        <v>0</v>
      </c>
      <c r="F17" s="58">
        <v>26.82</v>
      </c>
      <c r="G17" s="41">
        <f t="shared" si="2"/>
        <v>9</v>
      </c>
      <c r="H17" s="59">
        <v>23.73</v>
      </c>
      <c r="I17" s="41">
        <f t="shared" si="3"/>
        <v>10</v>
      </c>
      <c r="J17" s="56" t="s">
        <v>38</v>
      </c>
      <c r="K17" s="41">
        <f t="shared" si="4"/>
        <v>0</v>
      </c>
      <c r="L17" s="57">
        <v>23.73</v>
      </c>
      <c r="M17" s="41">
        <f t="shared" si="5"/>
        <v>8</v>
      </c>
      <c r="N17" s="56">
        <v>29.84</v>
      </c>
      <c r="O17" s="41">
        <f t="shared" si="6"/>
        <v>2</v>
      </c>
      <c r="P17" t="s">
        <v>63</v>
      </c>
    </row>
    <row r="18" spans="1:19" x14ac:dyDescent="0.25">
      <c r="A18" s="105" t="s">
        <v>10</v>
      </c>
      <c r="B18" s="57">
        <v>17.55</v>
      </c>
      <c r="C18" s="41">
        <f t="shared" si="0"/>
        <v>10</v>
      </c>
      <c r="D18" s="57">
        <v>17.55</v>
      </c>
      <c r="E18" s="41">
        <f t="shared" si="1"/>
        <v>10</v>
      </c>
      <c r="F18" s="58">
        <v>27.57</v>
      </c>
      <c r="G18" s="41">
        <f t="shared" si="2"/>
        <v>10</v>
      </c>
      <c r="H18" s="57" t="s">
        <v>38</v>
      </c>
      <c r="I18" s="41">
        <f t="shared" si="3"/>
        <v>0</v>
      </c>
      <c r="J18" s="100">
        <v>33.07</v>
      </c>
      <c r="K18" s="41">
        <f t="shared" si="4"/>
        <v>10</v>
      </c>
      <c r="L18" s="22">
        <v>23.43</v>
      </c>
      <c r="M18" s="41">
        <f t="shared" si="5"/>
        <v>7</v>
      </c>
      <c r="N18" s="57" t="s">
        <v>38</v>
      </c>
      <c r="O18" s="41">
        <f t="shared" si="6"/>
        <v>0</v>
      </c>
      <c r="P18" t="str">
        <f>VLOOKUP(A18,Hoja1!$A$3:$B$19,2,0)</f>
        <v>https://www.bancopopular.com.co/wps/portal/bancopopular/inicio/informacion-interes/tasas</v>
      </c>
    </row>
    <row r="19" spans="1:19" ht="15.75" thickBot="1" x14ac:dyDescent="0.3">
      <c r="A19" s="105" t="s">
        <v>51</v>
      </c>
      <c r="B19" s="57" t="s">
        <v>38</v>
      </c>
      <c r="C19" s="41">
        <f t="shared" si="0"/>
        <v>0</v>
      </c>
      <c r="D19" s="57" t="s">
        <v>38</v>
      </c>
      <c r="E19" s="41">
        <f t="shared" si="1"/>
        <v>0</v>
      </c>
      <c r="F19" s="59">
        <v>19</v>
      </c>
      <c r="G19" s="41">
        <f t="shared" si="2"/>
        <v>5</v>
      </c>
      <c r="H19" s="59">
        <v>21.54</v>
      </c>
      <c r="I19" s="41">
        <f t="shared" si="3"/>
        <v>7</v>
      </c>
      <c r="J19" s="59">
        <v>32.92</v>
      </c>
      <c r="K19" s="41">
        <f t="shared" si="4"/>
        <v>3</v>
      </c>
      <c r="L19" s="59">
        <v>26.23</v>
      </c>
      <c r="M19" s="41">
        <f t="shared" si="5"/>
        <v>10</v>
      </c>
      <c r="N19" s="59">
        <v>33.03</v>
      </c>
      <c r="O19" s="41">
        <f t="shared" si="6"/>
        <v>7</v>
      </c>
      <c r="P19" t="str">
        <f>VLOOKUP(A19,Hoja1!$A$3:$B$19,2,0)</f>
        <v>https://www.bancopichincha.com.co/web/corporativo/tasas-y-tarifas</v>
      </c>
    </row>
    <row r="20" spans="1:19" ht="26.25" thickBot="1" x14ac:dyDescent="0.3">
      <c r="A20" s="81" t="s">
        <v>55</v>
      </c>
      <c r="B20" s="25" t="s">
        <v>40</v>
      </c>
      <c r="C20" s="26" t="s">
        <v>41</v>
      </c>
      <c r="D20" s="25" t="s">
        <v>40</v>
      </c>
      <c r="E20" s="26" t="s">
        <v>41</v>
      </c>
      <c r="F20" s="69" t="s">
        <v>40</v>
      </c>
      <c r="G20" s="70" t="s">
        <v>41</v>
      </c>
      <c r="H20" s="69" t="s">
        <v>40</v>
      </c>
      <c r="I20" s="70" t="s">
        <v>41</v>
      </c>
      <c r="J20" s="69" t="s">
        <v>40</v>
      </c>
      <c r="K20" s="70" t="s">
        <v>41</v>
      </c>
      <c r="L20" s="69" t="s">
        <v>40</v>
      </c>
      <c r="M20" s="70" t="s">
        <v>41</v>
      </c>
      <c r="N20" s="69" t="s">
        <v>40</v>
      </c>
      <c r="O20" s="70" t="s">
        <v>41</v>
      </c>
    </row>
    <row r="21" spans="1:19" ht="15.75" thickBot="1" x14ac:dyDescent="0.3">
      <c r="A21" s="36" t="s">
        <v>36</v>
      </c>
      <c r="B21" s="37">
        <f>B8</f>
        <v>12.7</v>
      </c>
      <c r="C21" s="40">
        <f t="shared" ref="C21:C23" si="7">IFERROR(_xlfn.RANK.EQ(B21,$B$21:$B$27,1),0)</f>
        <v>1</v>
      </c>
      <c r="D21" s="37">
        <f>D8</f>
        <v>13.83</v>
      </c>
      <c r="E21" s="40">
        <f t="shared" ref="E21:E27" si="8">IFERROR(_xlfn.RANK.EQ(D21,$D$21:$D$27,1),0)</f>
        <v>1</v>
      </c>
      <c r="F21" s="37">
        <f>F8</f>
        <v>26.68</v>
      </c>
      <c r="G21" s="40">
        <f t="shared" ref="G21:G23" si="9">IFERROR(_xlfn.RANK.EQ(F21,$F$21:$F$27,1),0)</f>
        <v>4</v>
      </c>
      <c r="H21" s="37">
        <f>H8</f>
        <v>18.3</v>
      </c>
      <c r="I21" s="40">
        <f t="shared" ref="I21:I27" si="10">IFERROR(_xlfn.RANK.EQ(H21,$H$21:$H$27,1),0)</f>
        <v>1</v>
      </c>
      <c r="J21" s="37">
        <f>J8</f>
        <v>32.770000000000003</v>
      </c>
      <c r="K21" s="40">
        <f t="shared" ref="K21" si="11">IFERROR(_xlfn.RANK.EQ(J21,$J$21:$J$27,1),0)</f>
        <v>2</v>
      </c>
      <c r="L21" s="37">
        <f>L8</f>
        <v>19.52</v>
      </c>
      <c r="M21" s="40">
        <f t="shared" ref="M21:M25" si="12">IFERROR(_xlfn.RANK.EQ(L21,$L$21:$L$27,1),0)</f>
        <v>1</v>
      </c>
      <c r="N21" s="37">
        <f>N8</f>
        <v>32.770000000000003</v>
      </c>
      <c r="O21" s="40">
        <f>IFERROR(_xlfn.RANK.EQ(N21,$N$21:$N$27,1),0)</f>
        <v>3</v>
      </c>
    </row>
    <row r="22" spans="1:19" x14ac:dyDescent="0.25">
      <c r="A22" s="105" t="s">
        <v>19</v>
      </c>
      <c r="B22" s="56">
        <v>16.77</v>
      </c>
      <c r="C22" s="55">
        <f t="shared" si="7"/>
        <v>2</v>
      </c>
      <c r="D22" s="57">
        <v>19.559999999999999</v>
      </c>
      <c r="E22" s="55">
        <f t="shared" si="8"/>
        <v>5</v>
      </c>
      <c r="F22" s="58">
        <v>18.86</v>
      </c>
      <c r="G22" s="55">
        <f t="shared" si="9"/>
        <v>1</v>
      </c>
      <c r="H22" s="57" t="s">
        <v>38</v>
      </c>
      <c r="I22" s="55">
        <f t="shared" si="10"/>
        <v>0</v>
      </c>
      <c r="J22" s="57" t="s">
        <v>38</v>
      </c>
      <c r="K22" s="55">
        <f>IFERROR(_xlfn.RANK.EQ(J22,$J$21:$J$27,1),0)</f>
        <v>0</v>
      </c>
      <c r="L22" s="57" t="s">
        <v>38</v>
      </c>
      <c r="M22" s="55">
        <f t="shared" si="12"/>
        <v>0</v>
      </c>
      <c r="N22" s="56">
        <v>32.92</v>
      </c>
      <c r="O22" s="55">
        <f>IFERROR(_xlfn.RANK.EQ(N22,$N$22:$N$27,1),0)</f>
        <v>3</v>
      </c>
      <c r="P22" t="str">
        <f>VLOOKUP(A22,Hoja1!$A$3:$B$19,2,0)</f>
        <v>https://www.cotrafa.com.co/portafolio-de-credito</v>
      </c>
      <c r="S22" s="47"/>
    </row>
    <row r="23" spans="1:19" x14ac:dyDescent="0.25">
      <c r="A23" s="105" t="s">
        <v>20</v>
      </c>
      <c r="B23" s="22">
        <v>17</v>
      </c>
      <c r="C23" s="41">
        <f t="shared" si="7"/>
        <v>3</v>
      </c>
      <c r="D23" s="22">
        <v>17</v>
      </c>
      <c r="E23" s="41">
        <f t="shared" si="8"/>
        <v>2</v>
      </c>
      <c r="F23" s="16">
        <v>21.9</v>
      </c>
      <c r="G23" s="41">
        <f t="shared" si="9"/>
        <v>2</v>
      </c>
      <c r="H23" s="57" t="s">
        <v>38</v>
      </c>
      <c r="I23" s="41">
        <f t="shared" si="10"/>
        <v>0</v>
      </c>
      <c r="J23" s="22">
        <v>28</v>
      </c>
      <c r="K23" s="41">
        <f t="shared" ref="K23:K27" si="13">IFERROR(_xlfn.RANK.EQ(J23,$J$21:$J$27,1),0)</f>
        <v>1</v>
      </c>
      <c r="L23" s="22">
        <v>23.8</v>
      </c>
      <c r="M23" s="41">
        <f t="shared" si="12"/>
        <v>2</v>
      </c>
      <c r="N23" s="57" t="s">
        <v>38</v>
      </c>
      <c r="O23" s="55">
        <f t="shared" ref="O23:O27" si="14">IFERROR(_xlfn.RANK.EQ(N23,$N$22:$N$27,1),0)</f>
        <v>0</v>
      </c>
      <c r="P23" t="str">
        <f>VLOOKUP(A23,Hoja1!$A$3:$B$19,2,0)</f>
        <v>https://www.confiar.coop/personas/productos/credito/credito-para-comprar-vivienda/</v>
      </c>
    </row>
    <row r="24" spans="1:19" x14ac:dyDescent="0.25">
      <c r="A24" s="105" t="s">
        <v>57</v>
      </c>
      <c r="B24" s="115">
        <v>18.86</v>
      </c>
      <c r="C24" s="41">
        <f>IFERROR(_xlfn.RANK.EQ(B24,$B$21:$B$27,1),0)</f>
        <v>5</v>
      </c>
      <c r="D24" s="22">
        <v>18.86</v>
      </c>
      <c r="E24" s="41">
        <f t="shared" si="8"/>
        <v>4</v>
      </c>
      <c r="F24" s="22">
        <v>23.43</v>
      </c>
      <c r="G24" s="41">
        <f>IFERROR(_xlfn.RANK.EQ(F24,$F$21:$F$27,1),0)</f>
        <v>3</v>
      </c>
      <c r="H24" s="22">
        <v>18.86</v>
      </c>
      <c r="I24" s="41">
        <f t="shared" si="10"/>
        <v>2</v>
      </c>
      <c r="J24" s="57" t="s">
        <v>38</v>
      </c>
      <c r="K24" s="41">
        <f t="shared" si="13"/>
        <v>0</v>
      </c>
      <c r="L24" s="57" t="s">
        <v>38</v>
      </c>
      <c r="M24" s="41">
        <f t="shared" si="12"/>
        <v>0</v>
      </c>
      <c r="N24" s="22">
        <v>23.87</v>
      </c>
      <c r="O24" s="55">
        <f t="shared" si="14"/>
        <v>1</v>
      </c>
      <c r="P24" t="str">
        <f>VLOOKUP(A24,Hoja1!$A$3:$B$19,2,0)</f>
        <v>https://www.coopetraban.com.co/tasas-de-interes-para-credito/</v>
      </c>
    </row>
    <row r="25" spans="1:19" ht="30" x14ac:dyDescent="0.25">
      <c r="A25" s="105" t="s">
        <v>17</v>
      </c>
      <c r="B25" s="22">
        <v>17.52</v>
      </c>
      <c r="C25" s="41">
        <f>IFERROR(_xlfn.RANK.EQ(B25,$B$21:$B$27,1),0)</f>
        <v>4</v>
      </c>
      <c r="D25" s="22">
        <v>18.73</v>
      </c>
      <c r="E25" s="55">
        <f>IFERROR(_xlfn.RANK.EQ(D25,$D$21:$D$27,1),0)</f>
        <v>3</v>
      </c>
      <c r="F25" s="16">
        <v>32.43</v>
      </c>
      <c r="G25" s="41">
        <f t="shared" ref="G25:G27" si="15">IFERROR(_xlfn.RANK.EQ(F25,$F$21:$F$27,1),0)</f>
        <v>5</v>
      </c>
      <c r="H25" s="17">
        <v>28.24</v>
      </c>
      <c r="I25" s="41">
        <f t="shared" si="10"/>
        <v>3</v>
      </c>
      <c r="J25" s="57" t="s">
        <v>38</v>
      </c>
      <c r="K25" s="41">
        <f t="shared" si="13"/>
        <v>0</v>
      </c>
      <c r="L25" s="57" t="s">
        <v>38</v>
      </c>
      <c r="M25" s="41">
        <f t="shared" si="12"/>
        <v>0</v>
      </c>
      <c r="N25" s="57">
        <v>26.72</v>
      </c>
      <c r="O25" s="55">
        <f t="shared" si="14"/>
        <v>2</v>
      </c>
      <c r="P25" t="str">
        <f>VLOOKUP(A25,Hoja1!$A$3:$B$19,2,0)</f>
        <v>https://www.cfa.com.co/tasas-de-colocacion/</v>
      </c>
    </row>
    <row r="26" spans="1:19" hidden="1" x14ac:dyDescent="0.25">
      <c r="A26" s="105" t="s">
        <v>49</v>
      </c>
      <c r="B26" s="57"/>
      <c r="C26" s="41">
        <f t="shared" ref="C26:C27" si="16">IFERROR(_xlfn.RANK.EQ(B26,$B$21:$B$27,1),0)</f>
        <v>0</v>
      </c>
      <c r="D26" s="57"/>
      <c r="E26" s="41">
        <f t="shared" si="8"/>
        <v>0</v>
      </c>
      <c r="F26" s="66"/>
      <c r="G26" s="41">
        <f t="shared" si="15"/>
        <v>0</v>
      </c>
      <c r="H26" s="57"/>
      <c r="I26" s="41">
        <f t="shared" si="10"/>
        <v>0</v>
      </c>
      <c r="J26" s="66"/>
      <c r="K26" s="41">
        <f t="shared" si="13"/>
        <v>0</v>
      </c>
      <c r="L26" s="66"/>
      <c r="M26" s="41">
        <f>IFERROR(_xlfn.RANK.EQ(L26,$L$21:$L$27,1),0)</f>
        <v>0</v>
      </c>
      <c r="N26" s="57"/>
      <c r="O26" s="55">
        <f t="shared" si="14"/>
        <v>0</v>
      </c>
      <c r="P26" t="str">
        <f>VLOOKUP(A26,Hoja1!$A$3:$B$19,2,0)</f>
        <v>https://financierajuriscoop.com.co/tasas-y-tarifas</v>
      </c>
    </row>
    <row r="27" spans="1:19" ht="15.75" hidden="1" customHeight="1" x14ac:dyDescent="0.25">
      <c r="A27" s="105" t="s">
        <v>18</v>
      </c>
      <c r="B27" s="23"/>
      <c r="C27" s="42">
        <f t="shared" si="16"/>
        <v>0</v>
      </c>
      <c r="D27" s="23"/>
      <c r="E27" s="42">
        <f t="shared" si="8"/>
        <v>0</v>
      </c>
      <c r="F27" s="20"/>
      <c r="G27" s="42">
        <f t="shared" si="15"/>
        <v>0</v>
      </c>
      <c r="H27" s="23"/>
      <c r="I27" s="42">
        <f t="shared" si="10"/>
        <v>0</v>
      </c>
      <c r="J27" s="23"/>
      <c r="K27" s="21">
        <f t="shared" si="13"/>
        <v>0</v>
      </c>
      <c r="L27" s="23"/>
      <c r="M27" s="21">
        <f t="shared" ref="M27" si="17">IFERROR(_xlfn.RANK.EQ(L27,$L$21:$L$27,1),0)</f>
        <v>0</v>
      </c>
      <c r="N27" s="23"/>
      <c r="O27" s="42">
        <f t="shared" si="14"/>
        <v>0</v>
      </c>
      <c r="P27" t="str">
        <f>VLOOKUP(A27,Hoja1!$A$3:$B$19,2,0)</f>
        <v>https://www.jfk.com.co/credito/tasas</v>
      </c>
      <c r="S27" s="47"/>
    </row>
    <row r="28" spans="1:19" x14ac:dyDescent="0.25">
      <c r="P28" s="47"/>
      <c r="Q28" s="50">
        <v>11.151273943193299</v>
      </c>
      <c r="R28" s="47"/>
      <c r="S28" s="47"/>
    </row>
    <row r="29" spans="1:19" ht="15.75" customHeight="1" x14ac:dyDescent="0.25">
      <c r="A29" s="114" t="s">
        <v>67</v>
      </c>
      <c r="B29" s="27">
        <f>(1+1.038%)^(12/1)-1</f>
        <v>0.1319230184974447</v>
      </c>
      <c r="C29"/>
      <c r="P29" s="51">
        <v>0.116189</v>
      </c>
      <c r="Q29" s="52">
        <f>EFFECT(P29,12)</f>
        <v>0.12258056350536095</v>
      </c>
      <c r="R29" s="47"/>
      <c r="S29" s="47"/>
    </row>
    <row r="30" spans="1:19" ht="15.75" hidden="1" customHeight="1" x14ac:dyDescent="0.25">
      <c r="A30" s="146" t="s">
        <v>2</v>
      </c>
      <c r="B30" s="148"/>
      <c r="C30" s="149"/>
      <c r="D30" s="149"/>
      <c r="E30" s="149"/>
      <c r="F30" s="136" t="s">
        <v>56</v>
      </c>
      <c r="G30" s="145"/>
      <c r="H30" s="145"/>
      <c r="I30" s="145"/>
      <c r="J30" s="145"/>
      <c r="K30" s="145"/>
      <c r="L30" s="145"/>
      <c r="M30" s="145"/>
      <c r="N30" s="145"/>
      <c r="O30" s="137"/>
      <c r="P30" s="47"/>
      <c r="Q30" s="47">
        <v>12.2580563505361</v>
      </c>
      <c r="R30" s="47"/>
      <c r="S30" s="47"/>
    </row>
    <row r="31" spans="1:19" ht="26.25" hidden="1" customHeight="1" x14ac:dyDescent="0.25">
      <c r="A31" s="147"/>
      <c r="B31" s="148"/>
      <c r="C31" s="150"/>
      <c r="D31" s="148"/>
      <c r="E31" s="150"/>
      <c r="F31" s="148" t="s">
        <v>7</v>
      </c>
      <c r="G31" s="150"/>
      <c r="H31" s="148" t="s">
        <v>45</v>
      </c>
      <c r="I31" s="150"/>
      <c r="J31" s="136" t="s">
        <v>8</v>
      </c>
      <c r="K31" s="137"/>
      <c r="L31" s="136" t="s">
        <v>46</v>
      </c>
      <c r="M31" s="137"/>
      <c r="N31" s="136" t="s">
        <v>48</v>
      </c>
      <c r="O31" s="137"/>
      <c r="P31" s="47"/>
      <c r="Q31" s="47"/>
      <c r="R31" s="47"/>
      <c r="S31" s="47"/>
    </row>
    <row r="32" spans="1:19" ht="26.25" hidden="1" thickBot="1" x14ac:dyDescent="0.3">
      <c r="A32" s="80" t="s">
        <v>54</v>
      </c>
      <c r="B32" s="25"/>
      <c r="C32" s="26"/>
      <c r="D32" s="25"/>
      <c r="E32" s="26"/>
      <c r="F32" s="69" t="s">
        <v>40</v>
      </c>
      <c r="G32" s="70" t="s">
        <v>41</v>
      </c>
      <c r="H32" s="69" t="s">
        <v>40</v>
      </c>
      <c r="I32" s="70" t="s">
        <v>41</v>
      </c>
      <c r="J32" s="69" t="s">
        <v>40</v>
      </c>
      <c r="K32" s="70" t="s">
        <v>41</v>
      </c>
      <c r="L32" s="69" t="s">
        <v>40</v>
      </c>
      <c r="M32" s="70" t="s">
        <v>41</v>
      </c>
      <c r="N32" s="69" t="s">
        <v>40</v>
      </c>
      <c r="O32" s="70" t="s">
        <v>41</v>
      </c>
      <c r="P32" s="47"/>
      <c r="Q32" s="47"/>
      <c r="R32" s="47"/>
      <c r="S32" s="47"/>
    </row>
    <row r="33" spans="1:19" ht="15.75" hidden="1" thickBot="1" x14ac:dyDescent="0.3">
      <c r="A33" s="24" t="s">
        <v>36</v>
      </c>
      <c r="B33" s="28"/>
      <c r="C33" s="43"/>
      <c r="D33" s="28"/>
      <c r="E33" s="43"/>
      <c r="F33" s="28">
        <f>VLOOKUP(A33,$A$5:$O$27,6,0)+F55</f>
        <v>29.18</v>
      </c>
      <c r="G33" s="43">
        <f>IFERROR(_xlfn.RANK.EQ(F33,$F$33:$F$44,1),0)</f>
        <v>10</v>
      </c>
      <c r="H33" s="45">
        <f>VLOOKUP(A33,$A$5:$O$27,8,0)+H55</f>
        <v>20.8</v>
      </c>
      <c r="I33" s="46">
        <f>IFERROR(_xlfn.RANK.EQ(H33,$H$33:$H$44,1),0)</f>
        <v>6</v>
      </c>
      <c r="J33" s="28">
        <f>VLOOKUP(A33,$A$5:$O$27,10,0)+J55</f>
        <v>35.270000000000003</v>
      </c>
      <c r="K33" s="43">
        <f>IFERROR(_xlfn.RANK.EQ(J33,$J$33:$J$44,1),0)</f>
        <v>11</v>
      </c>
      <c r="L33" s="28">
        <f>VLOOKUP(A33,$A$5:$O$27,12,0)+L55</f>
        <v>22.02</v>
      </c>
      <c r="M33" s="40">
        <f>IFERROR(_xlfn.RANK.EQ(L33,$L$33:$L$44,1),0)</f>
        <v>5</v>
      </c>
      <c r="N33" s="37">
        <f>VLOOKUP(A33,$A$5:$O$27,14,0)+N55</f>
        <v>32.770000000000003</v>
      </c>
      <c r="O33" s="40">
        <f t="shared" ref="O33:O44" si="18">IFERROR(_xlfn.RANK.EQ(N33,$N$33:$N$52,1),0)</f>
        <v>9</v>
      </c>
      <c r="Q33" s="98"/>
      <c r="S33" s="47"/>
    </row>
    <row r="34" spans="1:19" hidden="1" x14ac:dyDescent="0.25">
      <c r="A34" s="32" t="s">
        <v>12</v>
      </c>
      <c r="B34" s="29"/>
      <c r="C34" s="44"/>
      <c r="D34" s="29"/>
      <c r="E34" s="44"/>
      <c r="F34" s="31">
        <f t="shared" ref="F34:F44" si="19">IFERROR(VLOOKUP(A34,$A$5:$O$27,6,0),0)</f>
        <v>19.7</v>
      </c>
      <c r="G34" s="44">
        <f t="shared" ref="G34:G44" si="20">IFERROR(_xlfn.RANK.EQ(F34,$F$33:$F$44,1),0)</f>
        <v>7</v>
      </c>
      <c r="H34" s="17">
        <f t="shared" ref="H34:H44" si="21">VLOOKUP(A34,$A$5:$O$27,8,0)</f>
        <v>17.88</v>
      </c>
      <c r="I34" s="41">
        <f t="shared" ref="I34:I44" si="22">IFERROR(_xlfn.RANK.EQ(H34,$H$33:$H$44,1),0)</f>
        <v>3</v>
      </c>
      <c r="J34" s="29">
        <f t="shared" ref="J34:J44" si="23">VLOOKUP(A34,$A$5:$O$27,10,0)</f>
        <v>32.94</v>
      </c>
      <c r="K34" s="44">
        <f t="shared" ref="K34:K44" si="24">IFERROR(_xlfn.RANK.EQ(J34,$J$33:$J$44,1),0)</f>
        <v>4</v>
      </c>
      <c r="L34" s="29">
        <f t="shared" ref="L34:L44" si="25">VLOOKUP(A34,$A$5:$O$27,12,0)</f>
        <v>18.440000000000001</v>
      </c>
      <c r="M34" s="41">
        <f t="shared" ref="M34:M44" si="26">IFERROR(_xlfn.RANK.EQ(L34,$L$33:$L$44,1),0)</f>
        <v>3</v>
      </c>
      <c r="N34" s="22">
        <f t="shared" ref="N34:N44" si="27">VLOOKUP(A34,$A$5:$O$27,14,0)</f>
        <v>21.7</v>
      </c>
      <c r="O34" s="41">
        <f t="shared" si="18"/>
        <v>3</v>
      </c>
      <c r="S34" s="53"/>
    </row>
    <row r="35" spans="1:19" hidden="1" x14ac:dyDescent="0.25">
      <c r="A35" s="18" t="s">
        <v>13</v>
      </c>
      <c r="B35" s="22"/>
      <c r="C35" s="41"/>
      <c r="D35" s="22"/>
      <c r="E35" s="41"/>
      <c r="F35" s="16">
        <f t="shared" si="19"/>
        <v>14.6</v>
      </c>
      <c r="G35" s="41">
        <f t="shared" si="20"/>
        <v>1</v>
      </c>
      <c r="H35" s="17">
        <f t="shared" si="21"/>
        <v>18.02</v>
      </c>
      <c r="I35" s="41">
        <f t="shared" si="22"/>
        <v>4</v>
      </c>
      <c r="J35" s="22">
        <f t="shared" si="23"/>
        <v>31.22</v>
      </c>
      <c r="K35" s="41">
        <f t="shared" si="24"/>
        <v>1</v>
      </c>
      <c r="L35" s="22" t="str">
        <f t="shared" si="25"/>
        <v>N/A</v>
      </c>
      <c r="M35" s="41">
        <f t="shared" si="26"/>
        <v>0</v>
      </c>
      <c r="N35" s="22">
        <f t="shared" si="27"/>
        <v>31.22</v>
      </c>
      <c r="O35" s="41">
        <f t="shared" si="18"/>
        <v>6</v>
      </c>
      <c r="Q35" s="97"/>
      <c r="S35" s="52"/>
    </row>
    <row r="36" spans="1:19" hidden="1" x14ac:dyDescent="0.25">
      <c r="A36" s="18" t="s">
        <v>14</v>
      </c>
      <c r="B36" s="22"/>
      <c r="C36" s="41"/>
      <c r="D36" s="22"/>
      <c r="E36" s="41"/>
      <c r="F36" s="16">
        <f t="shared" si="19"/>
        <v>18.989999999999998</v>
      </c>
      <c r="G36" s="41">
        <f t="shared" si="20"/>
        <v>4</v>
      </c>
      <c r="H36" s="17">
        <f t="shared" si="21"/>
        <v>16.489999999999998</v>
      </c>
      <c r="I36" s="41">
        <f t="shared" si="22"/>
        <v>1</v>
      </c>
      <c r="J36" s="22">
        <f t="shared" si="23"/>
        <v>32.92</v>
      </c>
      <c r="K36" s="41">
        <f t="shared" si="24"/>
        <v>2</v>
      </c>
      <c r="L36" s="22">
        <f t="shared" si="25"/>
        <v>17.18</v>
      </c>
      <c r="M36" s="41">
        <f t="shared" si="26"/>
        <v>1</v>
      </c>
      <c r="N36" s="22">
        <f t="shared" si="27"/>
        <v>32.76</v>
      </c>
      <c r="O36" s="41">
        <f t="shared" si="18"/>
        <v>8</v>
      </c>
      <c r="S36" s="47"/>
    </row>
    <row r="37" spans="1:19" hidden="1" x14ac:dyDescent="0.25">
      <c r="A37" s="18" t="s">
        <v>11</v>
      </c>
      <c r="B37" s="22"/>
      <c r="C37" s="41"/>
      <c r="D37" s="22"/>
      <c r="E37" s="41"/>
      <c r="F37" s="16">
        <f t="shared" si="19"/>
        <v>17.309999999999999</v>
      </c>
      <c r="G37" s="41">
        <f t="shared" si="20"/>
        <v>2</v>
      </c>
      <c r="H37" s="17">
        <f t="shared" si="21"/>
        <v>16.899999999999999</v>
      </c>
      <c r="I37" s="41">
        <f t="shared" si="22"/>
        <v>2</v>
      </c>
      <c r="J37" s="22">
        <f t="shared" si="23"/>
        <v>33.22</v>
      </c>
      <c r="K37" s="41">
        <f t="shared" si="24"/>
        <v>10</v>
      </c>
      <c r="L37" s="22">
        <f t="shared" si="25"/>
        <v>19.07</v>
      </c>
      <c r="M37" s="41">
        <f t="shared" si="26"/>
        <v>4</v>
      </c>
      <c r="N37" s="22" t="str">
        <f t="shared" si="27"/>
        <v>20.01</v>
      </c>
      <c r="O37" s="41">
        <f t="shared" si="18"/>
        <v>0</v>
      </c>
      <c r="S37" s="47"/>
    </row>
    <row r="38" spans="1:19" hidden="1" x14ac:dyDescent="0.25">
      <c r="A38" s="18" t="s">
        <v>16</v>
      </c>
      <c r="B38" s="22"/>
      <c r="C38" s="41"/>
      <c r="D38" s="22"/>
      <c r="E38" s="41"/>
      <c r="F38" s="16">
        <f t="shared" si="19"/>
        <v>17.600000000000001</v>
      </c>
      <c r="G38" s="41">
        <f t="shared" si="20"/>
        <v>3</v>
      </c>
      <c r="H38" s="63" t="str">
        <f t="shared" si="21"/>
        <v>N/A</v>
      </c>
      <c r="I38" s="41">
        <f t="shared" si="22"/>
        <v>0</v>
      </c>
      <c r="J38" s="22">
        <f t="shared" si="23"/>
        <v>33</v>
      </c>
      <c r="K38" s="41">
        <f t="shared" si="24"/>
        <v>5</v>
      </c>
      <c r="L38" s="22">
        <f t="shared" si="25"/>
        <v>17.3</v>
      </c>
      <c r="M38" s="41">
        <f t="shared" si="26"/>
        <v>2</v>
      </c>
      <c r="N38" s="22" t="str">
        <f t="shared" si="27"/>
        <v>N/A</v>
      </c>
      <c r="O38" s="41">
        <f t="shared" si="18"/>
        <v>0</v>
      </c>
      <c r="S38" s="47"/>
    </row>
    <row r="39" spans="1:19" hidden="1" x14ac:dyDescent="0.25">
      <c r="A39" s="18" t="s">
        <v>15</v>
      </c>
      <c r="B39" s="22"/>
      <c r="C39" s="41"/>
      <c r="D39" s="22"/>
      <c r="E39" s="41"/>
      <c r="F39" s="16" t="str">
        <f t="shared" si="19"/>
        <v>N/A</v>
      </c>
      <c r="G39" s="41">
        <f t="shared" si="20"/>
        <v>0</v>
      </c>
      <c r="H39" s="63">
        <f t="shared" si="21"/>
        <v>21.69</v>
      </c>
      <c r="I39" s="41">
        <f t="shared" si="22"/>
        <v>8</v>
      </c>
      <c r="J39" s="22">
        <f t="shared" si="23"/>
        <v>33.06</v>
      </c>
      <c r="K39" s="41">
        <f t="shared" si="24"/>
        <v>7</v>
      </c>
      <c r="L39" s="22" t="str">
        <f t="shared" si="25"/>
        <v>N/A</v>
      </c>
      <c r="M39" s="41">
        <f t="shared" si="26"/>
        <v>0</v>
      </c>
      <c r="N39" s="22">
        <f t="shared" si="27"/>
        <v>33.29</v>
      </c>
      <c r="O39" s="41">
        <f t="shared" si="18"/>
        <v>13</v>
      </c>
      <c r="S39" s="47"/>
    </row>
    <row r="40" spans="1:19" hidden="1" x14ac:dyDescent="0.25">
      <c r="A40" s="76" t="s">
        <v>50</v>
      </c>
      <c r="B40" s="22"/>
      <c r="C40" s="41"/>
      <c r="D40" s="22"/>
      <c r="E40" s="41"/>
      <c r="F40" s="16">
        <f t="shared" si="19"/>
        <v>19.279</v>
      </c>
      <c r="G40" s="41">
        <f t="shared" si="20"/>
        <v>6</v>
      </c>
      <c r="H40" s="17">
        <f t="shared" si="21"/>
        <v>21.699000000000002</v>
      </c>
      <c r="I40" s="41">
        <f t="shared" si="22"/>
        <v>9</v>
      </c>
      <c r="J40" s="22">
        <f t="shared" si="23"/>
        <v>33</v>
      </c>
      <c r="K40" s="41">
        <f t="shared" si="24"/>
        <v>5</v>
      </c>
      <c r="L40" s="22">
        <f t="shared" si="25"/>
        <v>24.311</v>
      </c>
      <c r="M40" s="41">
        <f t="shared" si="26"/>
        <v>9</v>
      </c>
      <c r="N40" s="22">
        <f t="shared" si="27"/>
        <v>31.527999999999999</v>
      </c>
      <c r="O40" s="41">
        <f t="shared" si="18"/>
        <v>7</v>
      </c>
      <c r="S40" s="47"/>
    </row>
    <row r="41" spans="1:19" hidden="1" x14ac:dyDescent="0.25">
      <c r="A41" s="18" t="s">
        <v>9</v>
      </c>
      <c r="B41" s="22"/>
      <c r="C41" s="41"/>
      <c r="D41" s="22"/>
      <c r="E41" s="41"/>
      <c r="F41" s="16">
        <f t="shared" si="19"/>
        <v>30.44</v>
      </c>
      <c r="G41" s="41">
        <f t="shared" si="20"/>
        <v>11</v>
      </c>
      <c r="H41" s="17">
        <f t="shared" si="21"/>
        <v>19.559999999999999</v>
      </c>
      <c r="I41" s="41">
        <f t="shared" si="22"/>
        <v>5</v>
      </c>
      <c r="J41" s="22">
        <f t="shared" si="23"/>
        <v>33.06</v>
      </c>
      <c r="K41" s="41">
        <f t="shared" si="24"/>
        <v>7</v>
      </c>
      <c r="L41" s="22">
        <f t="shared" si="25"/>
        <v>23.04</v>
      </c>
      <c r="M41" s="41">
        <f t="shared" si="26"/>
        <v>6</v>
      </c>
      <c r="N41" s="22">
        <f t="shared" si="27"/>
        <v>34.880000000000003</v>
      </c>
      <c r="O41" s="41">
        <f t="shared" si="18"/>
        <v>14</v>
      </c>
      <c r="S41" s="49"/>
    </row>
    <row r="42" spans="1:19" hidden="1" x14ac:dyDescent="0.25">
      <c r="A42" s="74" t="s">
        <v>51</v>
      </c>
      <c r="B42" s="56"/>
      <c r="C42" s="55"/>
      <c r="D42" s="77"/>
      <c r="E42" s="55"/>
      <c r="F42" s="59">
        <f t="shared" si="19"/>
        <v>19</v>
      </c>
      <c r="G42" s="55">
        <f t="shared" si="20"/>
        <v>5</v>
      </c>
      <c r="H42" s="59">
        <f t="shared" si="21"/>
        <v>21.54</v>
      </c>
      <c r="I42" s="55">
        <f t="shared" si="22"/>
        <v>7</v>
      </c>
      <c r="J42" s="59">
        <f t="shared" si="23"/>
        <v>32.92</v>
      </c>
      <c r="K42" s="55">
        <f t="shared" si="24"/>
        <v>2</v>
      </c>
      <c r="L42" s="59">
        <f t="shared" si="25"/>
        <v>26.23</v>
      </c>
      <c r="M42" s="55">
        <f t="shared" si="26"/>
        <v>10</v>
      </c>
      <c r="N42" s="59">
        <f t="shared" si="27"/>
        <v>33.03</v>
      </c>
      <c r="O42" s="55">
        <f t="shared" si="18"/>
        <v>12</v>
      </c>
      <c r="S42" s="47"/>
    </row>
    <row r="43" spans="1:19" hidden="1" x14ac:dyDescent="0.25">
      <c r="A43" s="61" t="s">
        <v>10</v>
      </c>
      <c r="B43" s="60"/>
      <c r="C43" s="41"/>
      <c r="D43" s="65"/>
      <c r="E43" s="41"/>
      <c r="F43" s="66">
        <f t="shared" si="19"/>
        <v>27.57</v>
      </c>
      <c r="G43" s="41">
        <f t="shared" si="20"/>
        <v>9</v>
      </c>
      <c r="H43" s="63" t="str">
        <f t="shared" si="21"/>
        <v>N/A</v>
      </c>
      <c r="I43" s="41">
        <f t="shared" si="22"/>
        <v>0</v>
      </c>
      <c r="J43" s="22">
        <f t="shared" si="23"/>
        <v>33.07</v>
      </c>
      <c r="K43" s="41">
        <f t="shared" si="24"/>
        <v>9</v>
      </c>
      <c r="L43" s="22">
        <f t="shared" si="25"/>
        <v>23.43</v>
      </c>
      <c r="M43" s="41">
        <f t="shared" si="26"/>
        <v>7</v>
      </c>
      <c r="N43" s="22" t="str">
        <f t="shared" si="27"/>
        <v>N/A</v>
      </c>
      <c r="O43" s="41">
        <f t="shared" si="18"/>
        <v>0</v>
      </c>
      <c r="S43" s="47"/>
    </row>
    <row r="44" spans="1:19" hidden="1" x14ac:dyDescent="0.25">
      <c r="A44" s="83" t="s">
        <v>47</v>
      </c>
      <c r="B44" s="56"/>
      <c r="C44" s="55"/>
      <c r="D44" s="57"/>
      <c r="E44" s="55"/>
      <c r="F44" s="75">
        <f t="shared" si="19"/>
        <v>26.82</v>
      </c>
      <c r="G44" s="67">
        <f t="shared" si="20"/>
        <v>8</v>
      </c>
      <c r="H44" s="59">
        <f t="shared" si="21"/>
        <v>23.73</v>
      </c>
      <c r="I44" s="55">
        <f t="shared" si="22"/>
        <v>10</v>
      </c>
      <c r="J44" s="59" t="str">
        <f t="shared" si="23"/>
        <v>N/A</v>
      </c>
      <c r="K44" s="55">
        <f t="shared" si="24"/>
        <v>0</v>
      </c>
      <c r="L44" s="59">
        <f t="shared" si="25"/>
        <v>23.73</v>
      </c>
      <c r="M44" s="68">
        <f t="shared" si="26"/>
        <v>8</v>
      </c>
      <c r="N44" s="56">
        <f t="shared" si="27"/>
        <v>29.84</v>
      </c>
      <c r="O44" s="55">
        <f t="shared" si="18"/>
        <v>5</v>
      </c>
      <c r="Q44" s="47"/>
      <c r="R44" s="47"/>
      <c r="S44" s="47"/>
    </row>
    <row r="45" spans="1:19" ht="26.25" hidden="1" thickBot="1" x14ac:dyDescent="0.3">
      <c r="A45" s="81" t="s">
        <v>55</v>
      </c>
      <c r="B45" s="25"/>
      <c r="C45" s="26"/>
      <c r="D45" s="25"/>
      <c r="E45" s="26"/>
      <c r="F45" s="69" t="s">
        <v>40</v>
      </c>
      <c r="G45" s="70" t="s">
        <v>41</v>
      </c>
      <c r="H45" s="69" t="s">
        <v>40</v>
      </c>
      <c r="I45" s="70" t="s">
        <v>41</v>
      </c>
      <c r="J45" s="69" t="s">
        <v>40</v>
      </c>
      <c r="K45" s="70" t="s">
        <v>41</v>
      </c>
      <c r="L45" s="69" t="s">
        <v>40</v>
      </c>
      <c r="M45" s="70" t="s">
        <v>41</v>
      </c>
      <c r="N45" s="33"/>
      <c r="O45" s="34"/>
      <c r="P45" s="47"/>
      <c r="Q45" s="47"/>
      <c r="R45" s="47"/>
      <c r="S45" s="47"/>
    </row>
    <row r="46" spans="1:19" ht="15.75" hidden="1" thickBot="1" x14ac:dyDescent="0.3">
      <c r="A46" s="36" t="s">
        <v>36</v>
      </c>
      <c r="B46" s="37"/>
      <c r="C46" s="40"/>
      <c r="D46" s="37"/>
      <c r="E46" s="40"/>
      <c r="F46" s="37">
        <f>VLOOKUP(A46,$A$5:$O$27,6,0)+F55</f>
        <v>29.18</v>
      </c>
      <c r="G46" s="40">
        <f t="shared" ref="G46:G52" si="28">IFERROR(_xlfn.RANK.EQ(F46,$F$46:$F$52,1),0)</f>
        <v>6</v>
      </c>
      <c r="H46" s="38">
        <f>VLOOKUP(A46,$A$5:$O$27,8,0)+H55</f>
        <v>20.8</v>
      </c>
      <c r="I46" s="40">
        <f t="shared" ref="I46:I52" si="29">IFERROR(_xlfn.RANK.EQ(H46,$H$46:$H$52,1),0)</f>
        <v>4</v>
      </c>
      <c r="J46" s="37">
        <f>VLOOKUP(A46,$A$5:$O$27,10,0)+J55</f>
        <v>35.270000000000003</v>
      </c>
      <c r="K46" s="40">
        <f t="shared" ref="K46:K52" si="30">IFERROR(_xlfn.RANK.EQ(J46,$J$46:$J$52,1),0)</f>
        <v>4</v>
      </c>
      <c r="L46" s="37">
        <f>VLOOKUP(A46,$A$5:$O$27,12,0)+L55</f>
        <v>22.02</v>
      </c>
      <c r="M46" s="40">
        <f t="shared" ref="M46:M52" si="31">IFERROR(_xlfn.RANK.EQ(L46,$L$46:$L$52,1),0)</f>
        <v>3</v>
      </c>
      <c r="N46" s="37">
        <f>VLOOKUP(A46,$A$5:$O$27,14,0)+N63</f>
        <v>32.770000000000003</v>
      </c>
      <c r="O46" s="40">
        <f>IFERROR(_xlfn.RANK.EQ(N46,$N$33:$N$52,1),0)</f>
        <v>9</v>
      </c>
      <c r="S46" s="47"/>
    </row>
    <row r="47" spans="1:19" hidden="1" x14ac:dyDescent="0.25">
      <c r="A47" s="18" t="s">
        <v>57</v>
      </c>
      <c r="B47" s="56"/>
      <c r="C47" s="55"/>
      <c r="D47" s="62"/>
      <c r="E47" s="86"/>
      <c r="F47" s="62">
        <f t="shared" ref="F47:F52" si="32">IFERROR(VLOOKUP(A47,$A$5:$O$27,6,0),0)</f>
        <v>23.43</v>
      </c>
      <c r="G47" s="86">
        <f t="shared" si="28"/>
        <v>5</v>
      </c>
      <c r="H47" s="59">
        <f t="shared" ref="H47:H52" si="33">VLOOKUP(A47,$A$5:$O$27,8,0)</f>
        <v>18.86</v>
      </c>
      <c r="I47" s="86">
        <f t="shared" si="29"/>
        <v>3</v>
      </c>
      <c r="J47" s="56" t="str">
        <f t="shared" ref="J47:J52" si="34">VLOOKUP(A47,$A$5:$O$27,10,0)</f>
        <v>N/A</v>
      </c>
      <c r="K47" s="86">
        <f t="shared" si="30"/>
        <v>0</v>
      </c>
      <c r="L47" s="56" t="str">
        <f t="shared" ref="L47:L52" si="35">VLOOKUP(A47,$A$5:$O$27,12,0)</f>
        <v>N/A</v>
      </c>
      <c r="M47" s="90">
        <f t="shared" si="31"/>
        <v>0</v>
      </c>
      <c r="N47" s="60"/>
      <c r="O47" s="41"/>
      <c r="S47" s="49"/>
    </row>
    <row r="48" spans="1:19" hidden="1" x14ac:dyDescent="0.25">
      <c r="A48" s="18" t="s">
        <v>17</v>
      </c>
      <c r="B48" s="56"/>
      <c r="C48" s="55"/>
      <c r="D48" s="62"/>
      <c r="E48" s="86"/>
      <c r="F48" s="62">
        <f t="shared" si="32"/>
        <v>32.43</v>
      </c>
      <c r="G48" s="86">
        <f t="shared" si="28"/>
        <v>7</v>
      </c>
      <c r="H48" s="59">
        <f t="shared" si="33"/>
        <v>28.24</v>
      </c>
      <c r="I48" s="86">
        <f t="shared" si="29"/>
        <v>5</v>
      </c>
      <c r="J48" s="56" t="str">
        <f t="shared" si="34"/>
        <v>N/A</v>
      </c>
      <c r="K48" s="86">
        <f t="shared" si="30"/>
        <v>0</v>
      </c>
      <c r="L48" s="56" t="str">
        <f t="shared" si="35"/>
        <v>N/A</v>
      </c>
      <c r="M48" s="90">
        <f t="shared" si="31"/>
        <v>0</v>
      </c>
      <c r="N48" s="60">
        <f>VLOOKUP(A48,$A$5:$O$27,14,0)</f>
        <v>26.72</v>
      </c>
      <c r="O48" s="41">
        <f>IFERROR(_xlfn.RANK.EQ(N48,$N$33:$N$52,1),0)</f>
        <v>4</v>
      </c>
      <c r="S48" s="49"/>
    </row>
    <row r="49" spans="1:19" hidden="1" x14ac:dyDescent="0.25">
      <c r="A49" s="35" t="s">
        <v>20</v>
      </c>
      <c r="B49" s="22"/>
      <c r="C49" s="41"/>
      <c r="D49" s="22"/>
      <c r="E49" s="92"/>
      <c r="F49" s="16">
        <f t="shared" si="32"/>
        <v>21.9</v>
      </c>
      <c r="G49" s="92">
        <f t="shared" si="28"/>
        <v>4</v>
      </c>
      <c r="H49" s="63" t="str">
        <f t="shared" si="33"/>
        <v>N/A</v>
      </c>
      <c r="I49" s="92">
        <f t="shared" si="29"/>
        <v>0</v>
      </c>
      <c r="J49" s="22">
        <f t="shared" si="34"/>
        <v>28</v>
      </c>
      <c r="K49" s="92">
        <f t="shared" si="30"/>
        <v>3</v>
      </c>
      <c r="L49" s="22">
        <f t="shared" si="35"/>
        <v>23.8</v>
      </c>
      <c r="M49" s="93">
        <f t="shared" si="31"/>
        <v>4</v>
      </c>
      <c r="N49" s="60" t="str">
        <f>VLOOKUP(A49,$A$5:$O$27,14,0)</f>
        <v>N/A</v>
      </c>
      <c r="O49" s="41">
        <f>IFERROR(_xlfn.RANK.EQ(N49,$N$33:$N$52,1),0)</f>
        <v>0</v>
      </c>
      <c r="S49" s="47"/>
    </row>
    <row r="50" spans="1:19" hidden="1" x14ac:dyDescent="0.25">
      <c r="A50" s="18" t="s">
        <v>19</v>
      </c>
      <c r="B50" s="56"/>
      <c r="C50" s="55"/>
      <c r="D50" s="56"/>
      <c r="E50" s="86"/>
      <c r="F50" s="62">
        <f t="shared" si="32"/>
        <v>18.86</v>
      </c>
      <c r="G50" s="86">
        <f t="shared" si="28"/>
        <v>3</v>
      </c>
      <c r="H50" s="64" t="str">
        <f t="shared" si="33"/>
        <v>N/A</v>
      </c>
      <c r="I50" s="86">
        <f t="shared" si="29"/>
        <v>0</v>
      </c>
      <c r="J50" s="56" t="str">
        <f t="shared" si="34"/>
        <v>N/A</v>
      </c>
      <c r="K50" s="86">
        <f t="shared" si="30"/>
        <v>0</v>
      </c>
      <c r="L50" s="56" t="str">
        <f t="shared" si="35"/>
        <v>N/A</v>
      </c>
      <c r="M50" s="90">
        <f t="shared" si="31"/>
        <v>0</v>
      </c>
      <c r="N50" s="60">
        <f>VLOOKUP(A50,$A$5:$O$27,14,0)</f>
        <v>32.92</v>
      </c>
      <c r="O50" s="41">
        <f>IFERROR(_xlfn.RANK.EQ(N50,$N$33:$N$52,1),0)</f>
        <v>11</v>
      </c>
      <c r="Q50" s="11"/>
      <c r="S50" s="47"/>
    </row>
    <row r="51" spans="1:19" ht="15.75" hidden="1" thickBot="1" x14ac:dyDescent="0.3">
      <c r="A51" s="18" t="s">
        <v>49</v>
      </c>
      <c r="B51" s="56"/>
      <c r="C51" s="55"/>
      <c r="D51" s="56"/>
      <c r="E51" s="86"/>
      <c r="F51" s="62">
        <f t="shared" si="32"/>
        <v>0</v>
      </c>
      <c r="G51" s="86">
        <f t="shared" si="28"/>
        <v>1</v>
      </c>
      <c r="H51" s="64">
        <f t="shared" si="33"/>
        <v>0</v>
      </c>
      <c r="I51" s="86">
        <f t="shared" si="29"/>
        <v>1</v>
      </c>
      <c r="J51" s="56">
        <f t="shared" si="34"/>
        <v>0</v>
      </c>
      <c r="K51" s="86">
        <f t="shared" si="30"/>
        <v>1</v>
      </c>
      <c r="L51" s="56">
        <f t="shared" si="35"/>
        <v>0</v>
      </c>
      <c r="M51" s="90">
        <f t="shared" si="31"/>
        <v>1</v>
      </c>
      <c r="N51" s="82">
        <f>VLOOKUP(A51,$A$5:$O$27,14,0)</f>
        <v>0</v>
      </c>
      <c r="O51" s="21">
        <f>IFERROR(_xlfn.RANK.EQ(N51,$N$33:$N$52,1),0)</f>
        <v>1</v>
      </c>
      <c r="Q51" s="49"/>
      <c r="R51" s="47"/>
      <c r="S51" s="47"/>
    </row>
    <row r="52" spans="1:19" ht="15.75" hidden="1" thickBot="1" x14ac:dyDescent="0.3">
      <c r="A52" s="19" t="s">
        <v>18</v>
      </c>
      <c r="B52" s="84"/>
      <c r="C52" s="85"/>
      <c r="D52" s="84"/>
      <c r="E52" s="87"/>
      <c r="F52" s="88">
        <f t="shared" si="32"/>
        <v>0</v>
      </c>
      <c r="G52" s="87">
        <f t="shared" si="28"/>
        <v>1</v>
      </c>
      <c r="H52" s="89">
        <f t="shared" si="33"/>
        <v>0</v>
      </c>
      <c r="I52" s="87">
        <f t="shared" si="29"/>
        <v>1</v>
      </c>
      <c r="J52" s="84">
        <f t="shared" si="34"/>
        <v>0</v>
      </c>
      <c r="K52" s="87">
        <f t="shared" si="30"/>
        <v>1</v>
      </c>
      <c r="L52" s="84">
        <f t="shared" si="35"/>
        <v>0</v>
      </c>
      <c r="M52" s="91">
        <f t="shared" si="31"/>
        <v>1</v>
      </c>
      <c r="N52" s="94">
        <f>VLOOKUP(A52,$A$5:$O$27,14,0)</f>
        <v>0</v>
      </c>
      <c r="O52" s="95">
        <f>IFERROR(_xlfn.RANK.EQ(N52,$N$33:$N$52,1),0)</f>
        <v>1</v>
      </c>
      <c r="S52" s="47"/>
    </row>
    <row r="53" spans="1:19" hidden="1" x14ac:dyDescent="0.25">
      <c r="O53" s="47"/>
      <c r="P53" s="47"/>
      <c r="Q53" s="54"/>
      <c r="R53" s="49"/>
      <c r="S53" s="47"/>
    </row>
    <row r="54" spans="1:19" hidden="1" x14ac:dyDescent="0.25">
      <c r="O54" s="47"/>
      <c r="P54" s="47"/>
      <c r="Q54" s="52"/>
      <c r="R54" s="49"/>
      <c r="S54" s="47"/>
    </row>
    <row r="55" spans="1:19" hidden="1" x14ac:dyDescent="0.25">
      <c r="B55" s="15"/>
      <c r="D55" s="15"/>
      <c r="F55" s="15">
        <v>2.5</v>
      </c>
      <c r="H55" s="15">
        <v>2.5</v>
      </c>
      <c r="J55" s="15">
        <v>2.5</v>
      </c>
      <c r="L55" s="15">
        <v>2.5</v>
      </c>
      <c r="N55" s="15"/>
      <c r="O55" s="47"/>
      <c r="P55" s="47"/>
      <c r="Q55" s="52"/>
      <c r="R55" s="48"/>
      <c r="S55" s="47"/>
    </row>
    <row r="56" spans="1:19" hidden="1" x14ac:dyDescent="0.25">
      <c r="O56" s="47"/>
      <c r="P56" s="47"/>
      <c r="Q56" s="52"/>
      <c r="R56" s="48"/>
      <c r="S56" s="47"/>
    </row>
    <row r="57" spans="1:19" hidden="1" x14ac:dyDescent="0.25">
      <c r="B57" s="96"/>
      <c r="D57" s="96"/>
      <c r="F57" s="96">
        <f>F55*100</f>
        <v>250</v>
      </c>
      <c r="H57" s="96">
        <f>H55*100</f>
        <v>250</v>
      </c>
      <c r="J57" s="96">
        <f>J55*100</f>
        <v>250</v>
      </c>
      <c r="L57" s="96">
        <f>L55*100</f>
        <v>250</v>
      </c>
      <c r="O57" s="47"/>
      <c r="P57" s="47"/>
      <c r="Q57" s="52"/>
      <c r="R57" s="49"/>
      <c r="S57" s="47"/>
    </row>
    <row r="58" spans="1:19" x14ac:dyDescent="0.25">
      <c r="B58" s="108"/>
      <c r="C58" s="102"/>
      <c r="D58" s="104"/>
      <c r="E58" s="103"/>
      <c r="H58" s="107"/>
    </row>
    <row r="59" spans="1:19" x14ac:dyDescent="0.25">
      <c r="B59" s="102"/>
      <c r="C59" s="1"/>
      <c r="D59" s="1"/>
      <c r="E59" s="1"/>
    </row>
    <row r="60" spans="1:19" x14ac:dyDescent="0.25">
      <c r="A60" s="71"/>
      <c r="B60" s="72"/>
      <c r="C60"/>
      <c r="E60"/>
      <c r="F60"/>
      <c r="G60"/>
      <c r="H60"/>
      <c r="I60"/>
    </row>
    <row r="61" spans="1:19" x14ac:dyDescent="0.25">
      <c r="A61" s="71"/>
      <c r="B61" s="72"/>
      <c r="C61"/>
      <c r="E61"/>
      <c r="F61"/>
      <c r="G61"/>
      <c r="H61"/>
      <c r="I61"/>
    </row>
    <row r="62" spans="1:19" x14ac:dyDescent="0.25">
      <c r="A62" s="71"/>
      <c r="B62" s="72"/>
      <c r="C62"/>
      <c r="E62"/>
      <c r="F62"/>
      <c r="G62"/>
      <c r="H62"/>
      <c r="I62"/>
    </row>
    <row r="63" spans="1:19" x14ac:dyDescent="0.25">
      <c r="A63" s="71"/>
      <c r="B63" s="72"/>
      <c r="C63"/>
      <c r="E63"/>
      <c r="F63"/>
      <c r="G63"/>
      <c r="H63"/>
      <c r="I63"/>
    </row>
    <row r="65" spans="1:9" x14ac:dyDescent="0.25">
      <c r="A65" s="71"/>
      <c r="B65" s="72"/>
      <c r="C65"/>
      <c r="E65"/>
      <c r="F65"/>
      <c r="G65"/>
      <c r="H65"/>
      <c r="I65"/>
    </row>
    <row r="66" spans="1:9" x14ac:dyDescent="0.25">
      <c r="A66" s="71"/>
      <c r="B66" s="72"/>
      <c r="C66"/>
      <c r="E66"/>
      <c r="F66"/>
      <c r="G66"/>
      <c r="H66"/>
      <c r="I66"/>
    </row>
    <row r="67" spans="1:9" x14ac:dyDescent="0.25">
      <c r="A67" s="71"/>
      <c r="B67" s="72"/>
      <c r="C67"/>
      <c r="E67"/>
      <c r="F67"/>
      <c r="G67"/>
      <c r="H67"/>
      <c r="I67"/>
    </row>
    <row r="68" spans="1:9" x14ac:dyDescent="0.25">
      <c r="A68" s="71"/>
      <c r="B68" s="72"/>
      <c r="C68"/>
      <c r="E68"/>
      <c r="F68"/>
      <c r="G68"/>
      <c r="H68"/>
      <c r="I68"/>
    </row>
    <row r="69" spans="1:9" x14ac:dyDescent="0.25">
      <c r="A69" s="71"/>
      <c r="B69" s="72"/>
      <c r="C69"/>
      <c r="E69"/>
      <c r="F69"/>
      <c r="G69"/>
      <c r="H69"/>
      <c r="I69"/>
    </row>
    <row r="70" spans="1:9" x14ac:dyDescent="0.25">
      <c r="A70" s="71"/>
      <c r="B70" s="72"/>
      <c r="C70"/>
      <c r="E70"/>
      <c r="F70"/>
      <c r="G70"/>
      <c r="H70"/>
      <c r="I70"/>
    </row>
    <row r="71" spans="1:9" x14ac:dyDescent="0.25">
      <c r="A71" s="71"/>
      <c r="B71" s="72"/>
      <c r="C71"/>
      <c r="E71"/>
      <c r="F71"/>
      <c r="G71"/>
      <c r="H71"/>
      <c r="I71"/>
    </row>
    <row r="72" spans="1:9" x14ac:dyDescent="0.25">
      <c r="A72" s="71"/>
      <c r="B72" s="72"/>
      <c r="C72"/>
      <c r="E72"/>
      <c r="F72"/>
      <c r="G72"/>
      <c r="H72"/>
      <c r="I72"/>
    </row>
    <row r="73" spans="1:9" x14ac:dyDescent="0.25">
      <c r="A73" s="71"/>
      <c r="B73" s="73"/>
      <c r="C73"/>
      <c r="E73"/>
      <c r="F73"/>
      <c r="G73"/>
      <c r="H73"/>
      <c r="I73"/>
    </row>
    <row r="74" spans="1:9" x14ac:dyDescent="0.25">
      <c r="A74" s="71"/>
      <c r="B74" s="72"/>
      <c r="C74"/>
      <c r="E74"/>
      <c r="F74"/>
      <c r="G74"/>
      <c r="H74"/>
      <c r="I74"/>
    </row>
    <row r="75" spans="1:9" x14ac:dyDescent="0.25">
      <c r="A75" s="71"/>
      <c r="B75" s="73"/>
      <c r="C75"/>
      <c r="E75"/>
      <c r="F75"/>
      <c r="G75"/>
      <c r="H75"/>
      <c r="I75"/>
    </row>
    <row r="76" spans="1:9" x14ac:dyDescent="0.25">
      <c r="A76" s="71"/>
      <c r="B76" s="72"/>
      <c r="C76"/>
      <c r="E76"/>
      <c r="F76"/>
      <c r="G76"/>
      <c r="H76"/>
      <c r="I76"/>
    </row>
    <row r="77" spans="1:9" x14ac:dyDescent="0.25">
      <c r="A77" s="73"/>
      <c r="B77" s="72"/>
      <c r="C77"/>
      <c r="E77"/>
      <c r="F77"/>
      <c r="G77"/>
      <c r="H77"/>
      <c r="I77"/>
    </row>
  </sheetData>
  <mergeCells count="23">
    <mergeCell ref="B1:J1"/>
    <mergeCell ref="B2:J2"/>
    <mergeCell ref="D3:J3"/>
    <mergeCell ref="A5:A6"/>
    <mergeCell ref="B5:E5"/>
    <mergeCell ref="F5:O5"/>
    <mergeCell ref="B6:C6"/>
    <mergeCell ref="D6:E6"/>
    <mergeCell ref="F6:G6"/>
    <mergeCell ref="H6:I6"/>
    <mergeCell ref="J6:K6"/>
    <mergeCell ref="L6:M6"/>
    <mergeCell ref="N6:O6"/>
    <mergeCell ref="A30:A31"/>
    <mergeCell ref="B30:E30"/>
    <mergeCell ref="F30:O30"/>
    <mergeCell ref="B31:C31"/>
    <mergeCell ref="D31:E31"/>
    <mergeCell ref="F31:G31"/>
    <mergeCell ref="H31:I31"/>
    <mergeCell ref="J31:K31"/>
    <mergeCell ref="L31:M31"/>
    <mergeCell ref="N31:O31"/>
  </mergeCells>
  <pageMargins left="0.70866141732283472" right="0.70866141732283472" top="0.35433070866141736" bottom="0.35433070866141736" header="0" footer="0"/>
  <pageSetup scale="4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D3E6-7E1B-45A5-AD9F-7F9DF8677AB2}">
  <sheetPr codeName="Hoja1">
    <pageSetUpPr fitToPage="1"/>
  </sheetPr>
  <dimension ref="A1:S77"/>
  <sheetViews>
    <sheetView showGridLines="0" topLeftCell="A2" zoomScale="87" zoomScaleNormal="90" workbookViewId="0">
      <selection activeCell="I8" sqref="I8"/>
    </sheetView>
  </sheetViews>
  <sheetFormatPr baseColWidth="10" defaultRowHeight="15" x14ac:dyDescent="0.25"/>
  <cols>
    <col min="1" max="1" width="36.7109375" customWidth="1"/>
    <col min="2" max="2" width="11.5703125" bestFit="1" customWidth="1"/>
    <col min="3" max="3" width="11.140625" style="4" customWidth="1"/>
    <col min="4" max="4" width="11.140625" customWidth="1"/>
    <col min="5" max="5" width="11.140625" style="3" customWidth="1"/>
    <col min="6" max="9" width="11.140625" style="1" customWidth="1"/>
    <col min="10" max="13" width="11.140625" customWidth="1"/>
    <col min="14" max="15" width="11.42578125" customWidth="1"/>
    <col min="16" max="16" width="16.5703125" customWidth="1"/>
    <col min="17" max="17" width="10.7109375" customWidth="1"/>
    <col min="18" max="18" width="12.5703125" customWidth="1"/>
    <col min="19" max="19" width="17.7109375" customWidth="1"/>
  </cols>
  <sheetData>
    <row r="1" spans="1:16" x14ac:dyDescent="0.25">
      <c r="B1" s="142" t="s">
        <v>0</v>
      </c>
      <c r="C1" s="142"/>
      <c r="D1" s="142"/>
      <c r="E1" s="142"/>
      <c r="F1" s="142"/>
      <c r="G1" s="142"/>
      <c r="H1" s="142"/>
      <c r="I1" s="142"/>
      <c r="J1" s="142"/>
      <c r="K1" s="6"/>
      <c r="L1" s="6"/>
      <c r="M1" s="6"/>
    </row>
    <row r="2" spans="1:16" x14ac:dyDescent="0.2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6"/>
      <c r="L2" s="6"/>
      <c r="M2" s="6"/>
    </row>
    <row r="3" spans="1:16" ht="12.75" customHeight="1" x14ac:dyDescent="0.25">
      <c r="D3" s="143">
        <v>45344</v>
      </c>
      <c r="E3" s="143"/>
      <c r="F3" s="143"/>
      <c r="G3" s="143"/>
      <c r="H3" s="143"/>
      <c r="I3" s="143"/>
      <c r="J3" s="143"/>
      <c r="K3" s="7"/>
      <c r="L3" s="7"/>
      <c r="M3" s="7"/>
    </row>
    <row r="4" spans="1:16" ht="12.75" customHeight="1" thickBot="1" x14ac:dyDescent="0.3">
      <c r="B4" s="27"/>
      <c r="C4" s="27"/>
      <c r="D4" s="106"/>
      <c r="E4" s="7"/>
      <c r="F4" s="7"/>
      <c r="G4" s="7"/>
      <c r="H4" s="27"/>
      <c r="I4" s="7"/>
      <c r="J4" s="7"/>
      <c r="K4" s="7"/>
      <c r="L4" s="7"/>
      <c r="M4" s="7"/>
    </row>
    <row r="5" spans="1:16" ht="15.75" customHeight="1" thickBot="1" x14ac:dyDescent="0.3">
      <c r="A5" s="146" t="s">
        <v>2</v>
      </c>
      <c r="B5" s="148" t="s">
        <v>3</v>
      </c>
      <c r="C5" s="149"/>
      <c r="D5" s="149"/>
      <c r="E5" s="149"/>
      <c r="F5" s="136" t="s">
        <v>56</v>
      </c>
      <c r="G5" s="145"/>
      <c r="H5" s="145"/>
      <c r="I5" s="145"/>
      <c r="J5" s="145"/>
      <c r="K5" s="145"/>
      <c r="L5" s="145"/>
      <c r="M5" s="145"/>
      <c r="N5" s="145"/>
      <c r="O5" s="137"/>
    </row>
    <row r="6" spans="1:16" ht="15.75" customHeight="1" thickBot="1" x14ac:dyDescent="0.3">
      <c r="A6" s="147"/>
      <c r="B6" s="148" t="s">
        <v>5</v>
      </c>
      <c r="C6" s="150"/>
      <c r="D6" s="148" t="s">
        <v>6</v>
      </c>
      <c r="E6" s="150"/>
      <c r="F6" s="148" t="s">
        <v>7</v>
      </c>
      <c r="G6" s="150"/>
      <c r="H6" s="148" t="s">
        <v>45</v>
      </c>
      <c r="I6" s="150"/>
      <c r="J6" s="136" t="s">
        <v>8</v>
      </c>
      <c r="K6" s="137"/>
      <c r="L6" s="136" t="s">
        <v>46</v>
      </c>
      <c r="M6" s="137"/>
      <c r="N6" s="136" t="s">
        <v>48</v>
      </c>
      <c r="O6" s="137"/>
    </row>
    <row r="7" spans="1:16" ht="15.75" thickBot="1" x14ac:dyDescent="0.3">
      <c r="A7" s="80" t="s">
        <v>54</v>
      </c>
      <c r="B7" s="25" t="s">
        <v>40</v>
      </c>
      <c r="C7" s="26" t="s">
        <v>41</v>
      </c>
      <c r="D7" s="25" t="s">
        <v>40</v>
      </c>
      <c r="E7" s="26" t="s">
        <v>41</v>
      </c>
      <c r="F7" s="69" t="s">
        <v>40</v>
      </c>
      <c r="G7" s="70" t="s">
        <v>41</v>
      </c>
      <c r="H7" s="69" t="s">
        <v>40</v>
      </c>
      <c r="I7" s="70" t="s">
        <v>41</v>
      </c>
      <c r="J7" s="69" t="s">
        <v>40</v>
      </c>
      <c r="K7" s="70" t="s">
        <v>41</v>
      </c>
      <c r="L7" s="69" t="s">
        <v>40</v>
      </c>
      <c r="M7" s="70" t="s">
        <v>41</v>
      </c>
      <c r="N7" s="69" t="s">
        <v>40</v>
      </c>
      <c r="O7" s="70" t="s">
        <v>41</v>
      </c>
    </row>
    <row r="8" spans="1:16" ht="15.75" thickBot="1" x14ac:dyDescent="0.3">
      <c r="A8" s="36" t="s">
        <v>36</v>
      </c>
      <c r="B8" s="37">
        <v>13.19</v>
      </c>
      <c r="C8" s="40">
        <f>IFERROR(_xlfn.RANK.EQ(B8,$B$8:$B$19,1),0)</f>
        <v>1</v>
      </c>
      <c r="D8" s="37">
        <v>15.25</v>
      </c>
      <c r="E8" s="40">
        <f>IFERROR(_xlfn.RANK.EQ(D8,$D$8:$D$19,1),0)</f>
        <v>2</v>
      </c>
      <c r="F8" s="37">
        <v>26.68</v>
      </c>
      <c r="G8" s="40">
        <f>IFERROR(_xlfn.RANK.EQ(F8,$F$8:$F$19,1),0)</f>
        <v>8</v>
      </c>
      <c r="H8" s="38">
        <v>18.3</v>
      </c>
      <c r="I8" s="40">
        <f>IFERROR(_xlfn.RANK.EQ(H8,$H$8:$H$19,1),0)</f>
        <v>3</v>
      </c>
      <c r="J8" s="37">
        <v>36.869999999999997</v>
      </c>
      <c r="K8" s="40">
        <f>IFERROR(_xlfn.RANK.EQ(J8,$J$8:$J$19,1),0)</f>
        <v>12</v>
      </c>
      <c r="L8" s="37">
        <v>19.52</v>
      </c>
      <c r="M8" s="40">
        <f>IFERROR(_xlfn.RANK.EQ(L8,$L$8:$L$19,1),0)</f>
        <v>4</v>
      </c>
      <c r="N8" s="37">
        <v>34.65</v>
      </c>
      <c r="O8" s="40">
        <f>IFERROR(_xlfn.RANK.EQ(N8,$N$8:$N$19,1),0)</f>
        <v>6</v>
      </c>
      <c r="P8" t="str">
        <f>VLOOKUP(A33,Hoja1!A2:B18,2,0)</f>
        <v>reglamento de crédito</v>
      </c>
    </row>
    <row r="9" spans="1:16" x14ac:dyDescent="0.25">
      <c r="A9" s="105" t="s">
        <v>14</v>
      </c>
      <c r="B9" s="22">
        <v>14</v>
      </c>
      <c r="C9" s="41">
        <f t="shared" ref="C9:C19" si="0">IFERROR(_xlfn.RANK.EQ(B9,$B$8:$B$19,1),0)</f>
        <v>2</v>
      </c>
      <c r="D9" s="22">
        <v>17.600000000000001</v>
      </c>
      <c r="E9" s="41">
        <f t="shared" ref="E9:E12" si="1">IFERROR(_xlfn.RANK.EQ(D9,$D$8:$D$19,1),0)</f>
        <v>9</v>
      </c>
      <c r="F9" s="16">
        <v>21.98</v>
      </c>
      <c r="G9" s="41">
        <f t="shared" ref="G9:G19" si="2">IFERROR(_xlfn.RANK.EQ(F9,$F$8:$F$19,1),0)</f>
        <v>5</v>
      </c>
      <c r="H9" s="17">
        <v>17.739999999999998</v>
      </c>
      <c r="I9" s="41">
        <f t="shared" ref="I9:I19" si="3">IFERROR(_xlfn.RANK.EQ(H9,$H$8:$H$19,1),0)</f>
        <v>2</v>
      </c>
      <c r="J9" s="22">
        <v>34.799999999999997</v>
      </c>
      <c r="K9" s="41">
        <f t="shared" ref="K9:K19" si="4">IFERROR(_xlfn.RANK.EQ(J9,$J$8:$J$19,1),0)</f>
        <v>5</v>
      </c>
      <c r="L9" s="22">
        <v>18.850000000000001</v>
      </c>
      <c r="M9" s="41">
        <f t="shared" ref="M9:M19" si="5">IFERROR(_xlfn.RANK.EQ(L9,$L$8:$L$19,1),0)</f>
        <v>2</v>
      </c>
      <c r="N9" s="57">
        <v>33.54</v>
      </c>
      <c r="O9" s="41">
        <f>IFERROR(_xlfn.RANK.EQ(N9,$N$8:$N$19,1),0)</f>
        <v>4</v>
      </c>
      <c r="P9" t="str">
        <f>VLOOKUP(A9,Hoja1!$A$3:$B$19,2,0)</f>
        <v>https://www.davivienda.com/wps/portal/personas/nuevo/personas/tasasytarifas/!ut/p/z1/jZBNb4JAEIZ_DdedYReHtbdtg7akKsZY6F4MGIokLGsAy98vml6a1I1zm-R55uMFDRnoNv-uq3yobZs3U_-p6RAs3979iBIVCeKoXgPiUn74GCKkN0DIbbCOn_lqt5gLVCvcvaj5xt8sOehHfLxTCh_zHYB2j09B3xDXBy4AF-Ev4FgSg64Lw8ajYcgE0fUwpJBLCmh2zVi1hZAV6K78KruyY5duiv40DOf-yUMPx3FklbVVU7KjNR7-p5xsP0D2l4Sz2e8zrBOTyv4Hlats8Q!!/dz/d5/L2dBISEvZ0FBIS9nQSEh/</v>
      </c>
    </row>
    <row r="10" spans="1:16" ht="15" customHeight="1" x14ac:dyDescent="0.25">
      <c r="A10" s="105" t="s">
        <v>12</v>
      </c>
      <c r="B10" s="22">
        <v>14.9</v>
      </c>
      <c r="C10" s="41">
        <f t="shared" si="0"/>
        <v>5</v>
      </c>
      <c r="D10" s="22">
        <v>14.9</v>
      </c>
      <c r="E10" s="41">
        <f t="shared" si="1"/>
        <v>1</v>
      </c>
      <c r="F10" s="16">
        <v>21.7</v>
      </c>
      <c r="G10" s="41">
        <f t="shared" si="2"/>
        <v>4</v>
      </c>
      <c r="H10" s="17">
        <v>18.86</v>
      </c>
      <c r="I10" s="41">
        <f t="shared" si="3"/>
        <v>4</v>
      </c>
      <c r="J10" s="22">
        <v>34.83</v>
      </c>
      <c r="K10" s="41">
        <f t="shared" si="4"/>
        <v>6</v>
      </c>
      <c r="L10" s="22">
        <v>19.84</v>
      </c>
      <c r="M10" s="41">
        <f t="shared" si="5"/>
        <v>5</v>
      </c>
      <c r="N10" s="57">
        <v>21.7</v>
      </c>
      <c r="O10" s="41">
        <f t="shared" ref="O10:O12" si="6">IFERROR(_xlfn.RANK.EQ(N10,$N$8:$N$19,1),0)</f>
        <v>1</v>
      </c>
      <c r="P10" t="str">
        <f>VLOOKUP(A10,Hoja1!$A$3:$B$19,2,0)</f>
        <v>https://www.bancodeoccidente.com.co/wps/wcm/connect/banco-de-occidente/c24390e8-b984-44de-b427-e59ff152a22c/tasas-personas-2022.pdf?MOD=AJPERES&amp;CVID=o7LgirB</v>
      </c>
    </row>
    <row r="11" spans="1:16" x14ac:dyDescent="0.25">
      <c r="A11" s="105" t="s">
        <v>13</v>
      </c>
      <c r="B11" s="22">
        <v>14.5</v>
      </c>
      <c r="C11" s="41">
        <f t="shared" si="0"/>
        <v>4</v>
      </c>
      <c r="D11" s="22">
        <v>15.6</v>
      </c>
      <c r="E11" s="41">
        <f t="shared" si="1"/>
        <v>5</v>
      </c>
      <c r="F11" s="16">
        <v>18.8</v>
      </c>
      <c r="G11" s="41">
        <f t="shared" si="2"/>
        <v>3</v>
      </c>
      <c r="H11" s="57">
        <v>19.84</v>
      </c>
      <c r="I11" s="41">
        <f t="shared" si="3"/>
        <v>5</v>
      </c>
      <c r="J11" s="22">
        <v>33.700000000000003</v>
      </c>
      <c r="K11" s="41">
        <f t="shared" si="4"/>
        <v>2</v>
      </c>
      <c r="L11" s="57" t="s">
        <v>38</v>
      </c>
      <c r="M11" s="41">
        <f t="shared" si="5"/>
        <v>0</v>
      </c>
      <c r="N11" s="22">
        <v>33.700000000000003</v>
      </c>
      <c r="O11" s="41">
        <f t="shared" si="6"/>
        <v>5</v>
      </c>
      <c r="P11" t="str">
        <f>VLOOKUP(A11,Hoja1!$A$3:$B$19,2,0)</f>
        <v xml:space="preserve">https://www.bancocajasocial.com/portalserver/tasas-precios-y-comisiones
</v>
      </c>
    </row>
    <row r="12" spans="1:16" x14ac:dyDescent="0.25">
      <c r="A12" s="105" t="s">
        <v>11</v>
      </c>
      <c r="B12" s="22">
        <v>15.15</v>
      </c>
      <c r="C12" s="41">
        <f t="shared" si="0"/>
        <v>7</v>
      </c>
      <c r="D12" s="22">
        <v>15.95</v>
      </c>
      <c r="E12" s="41">
        <f t="shared" si="1"/>
        <v>6</v>
      </c>
      <c r="F12" s="16">
        <v>17.309999999999999</v>
      </c>
      <c r="G12" s="41">
        <f t="shared" si="2"/>
        <v>1</v>
      </c>
      <c r="H12" s="17">
        <v>16.899999999999999</v>
      </c>
      <c r="I12" s="41">
        <f t="shared" si="3"/>
        <v>1</v>
      </c>
      <c r="J12" s="22">
        <v>27.03</v>
      </c>
      <c r="K12" s="41">
        <f t="shared" si="4"/>
        <v>1</v>
      </c>
      <c r="L12" s="22">
        <v>19.07</v>
      </c>
      <c r="M12" s="41">
        <f t="shared" si="5"/>
        <v>3</v>
      </c>
      <c r="N12" s="22" t="s">
        <v>69</v>
      </c>
      <c r="O12" s="41">
        <f t="shared" si="6"/>
        <v>0</v>
      </c>
      <c r="P12" t="str">
        <f>VLOOKUP(A12,Hoja1!$A$3:$B$19,2,0)</f>
        <v>https://www.bancolombia.com/personas/creditos/consumo/</v>
      </c>
    </row>
    <row r="13" spans="1:16" x14ac:dyDescent="0.25">
      <c r="A13" s="105" t="s">
        <v>16</v>
      </c>
      <c r="B13" s="22">
        <v>17.8</v>
      </c>
      <c r="C13" s="41">
        <f t="shared" si="0"/>
        <v>10</v>
      </c>
      <c r="D13" s="22">
        <v>17.850000000000001</v>
      </c>
      <c r="E13" s="41">
        <f t="shared" ref="E13:E19" si="7">IFERROR(_xlfn.RANK.EQ(D13,$D$8:$D$19,1),0)</f>
        <v>10</v>
      </c>
      <c r="F13" s="16">
        <v>17.600000000000001</v>
      </c>
      <c r="G13" s="41">
        <f t="shared" si="2"/>
        <v>2</v>
      </c>
      <c r="H13" s="57" t="s">
        <v>38</v>
      </c>
      <c r="I13" s="41">
        <f t="shared" si="3"/>
        <v>0</v>
      </c>
      <c r="J13" s="22">
        <v>34.68</v>
      </c>
      <c r="K13" s="41">
        <f t="shared" si="4"/>
        <v>4</v>
      </c>
      <c r="L13" s="22">
        <v>17.3</v>
      </c>
      <c r="M13" s="41">
        <f t="shared" si="5"/>
        <v>1</v>
      </c>
      <c r="N13" s="57" t="s">
        <v>38</v>
      </c>
      <c r="O13" s="41">
        <f t="shared" ref="O13:O19" si="8">IFERROR(_xlfn.RANK.EQ(N13,$N$8:$N$19,1),0)</f>
        <v>0</v>
      </c>
      <c r="P13" t="str">
        <f>VLOOKUP(A13,Hoja1!$A$3:$B$19,2,0)</f>
        <v>https://www.avvillas.com.co/wps/portal/avvillas/banco/banca-personal/tasas-tarifas-personas/</v>
      </c>
    </row>
    <row r="14" spans="1:16" x14ac:dyDescent="0.25">
      <c r="A14" s="105" t="s">
        <v>15</v>
      </c>
      <c r="B14" s="22">
        <v>14.3</v>
      </c>
      <c r="C14" s="41">
        <f t="shared" si="0"/>
        <v>3</v>
      </c>
      <c r="D14" s="22">
        <v>17.309999999999999</v>
      </c>
      <c r="E14" s="41">
        <f t="shared" si="7"/>
        <v>7</v>
      </c>
      <c r="F14" s="16">
        <v>25.66</v>
      </c>
      <c r="G14" s="41">
        <f t="shared" si="2"/>
        <v>7</v>
      </c>
      <c r="H14" s="57" t="s">
        <v>38</v>
      </c>
      <c r="I14" s="41">
        <f t="shared" si="3"/>
        <v>0</v>
      </c>
      <c r="J14" s="22">
        <v>34.94</v>
      </c>
      <c r="K14" s="41">
        <f t="shared" si="4"/>
        <v>7</v>
      </c>
      <c r="L14" s="57" t="s">
        <v>38</v>
      </c>
      <c r="M14" s="41">
        <f t="shared" si="5"/>
        <v>0</v>
      </c>
      <c r="N14" s="22">
        <v>34.97</v>
      </c>
      <c r="O14" s="41">
        <f t="shared" si="8"/>
        <v>8</v>
      </c>
      <c r="P14" t="str">
        <f>VLOOKUP(A14,Hoja1!$A$3:$B$19,2,0)</f>
        <v>https://www.scotiabankcolpatria.com/tasas-y-tarifas</v>
      </c>
    </row>
    <row r="15" spans="1:16" x14ac:dyDescent="0.25">
      <c r="A15" s="105" t="s">
        <v>50</v>
      </c>
      <c r="B15" s="22">
        <v>15.34</v>
      </c>
      <c r="C15" s="41">
        <f t="shared" si="0"/>
        <v>8</v>
      </c>
      <c r="D15" s="22">
        <v>15.34</v>
      </c>
      <c r="E15" s="41">
        <f t="shared" si="7"/>
        <v>3</v>
      </c>
      <c r="F15" s="16">
        <v>22.27</v>
      </c>
      <c r="G15" s="41">
        <f t="shared" si="2"/>
        <v>6</v>
      </c>
      <c r="H15" s="99">
        <v>21.69</v>
      </c>
      <c r="I15" s="41">
        <f t="shared" si="3"/>
        <v>8</v>
      </c>
      <c r="J15" s="22">
        <v>34.950000000000003</v>
      </c>
      <c r="K15" s="41">
        <f t="shared" si="4"/>
        <v>9</v>
      </c>
      <c r="L15" s="22">
        <v>24.3</v>
      </c>
      <c r="M15" s="41">
        <f t="shared" si="5"/>
        <v>9</v>
      </c>
      <c r="N15" s="17">
        <v>31.527999999999999</v>
      </c>
      <c r="O15" s="41">
        <f t="shared" si="8"/>
        <v>3</v>
      </c>
      <c r="P15" t="str">
        <f>VLOOKUP(A15,Hoja1!$A$3:$B$19,2,0)</f>
        <v>https://banco.itau.co/web/personas/informacion-de-interes/tasas-y-tarifas</v>
      </c>
    </row>
    <row r="16" spans="1:16" x14ac:dyDescent="0.25">
      <c r="A16" s="105" t="s">
        <v>9</v>
      </c>
      <c r="B16" s="22">
        <v>15.12</v>
      </c>
      <c r="C16" s="41">
        <f t="shared" si="0"/>
        <v>6</v>
      </c>
      <c r="D16" s="22">
        <v>15.39</v>
      </c>
      <c r="E16" s="41">
        <f t="shared" si="7"/>
        <v>4</v>
      </c>
      <c r="F16" s="16">
        <v>31.34</v>
      </c>
      <c r="G16" s="41">
        <f t="shared" si="2"/>
        <v>12</v>
      </c>
      <c r="H16" s="17">
        <v>21.13</v>
      </c>
      <c r="I16" s="41">
        <f t="shared" si="3"/>
        <v>6</v>
      </c>
      <c r="J16" s="22">
        <v>34.979999999999997</v>
      </c>
      <c r="K16" s="41">
        <f t="shared" si="4"/>
        <v>11</v>
      </c>
      <c r="L16" s="22">
        <v>23.44</v>
      </c>
      <c r="M16" s="41">
        <f t="shared" si="5"/>
        <v>8</v>
      </c>
      <c r="N16" s="22">
        <v>34.880000000000003</v>
      </c>
      <c r="O16" s="41">
        <f t="shared" si="8"/>
        <v>7</v>
      </c>
      <c r="P16" t="str">
        <f>VLOOKUP(A16,Hoja1!$A$3:$B$19,2,0)</f>
        <v>https://www.bancodebogota.com/wps/portal/banco-de-bogota/bogota/productos/para-ti/tasas-y-tarifas/tasas-2023</v>
      </c>
    </row>
    <row r="17" spans="1:19" x14ac:dyDescent="0.25">
      <c r="A17" s="105" t="s">
        <v>47</v>
      </c>
      <c r="B17" s="57" t="s">
        <v>38</v>
      </c>
      <c r="C17" s="41">
        <f t="shared" si="0"/>
        <v>0</v>
      </c>
      <c r="D17" s="57" t="s">
        <v>38</v>
      </c>
      <c r="E17" s="41">
        <f t="shared" si="7"/>
        <v>0</v>
      </c>
      <c r="F17" s="58">
        <v>29.84</v>
      </c>
      <c r="G17" s="41">
        <f t="shared" si="2"/>
        <v>11</v>
      </c>
      <c r="H17" s="59">
        <v>23.73</v>
      </c>
      <c r="I17" s="41">
        <f t="shared" si="3"/>
        <v>9</v>
      </c>
      <c r="J17" s="56">
        <v>34.65</v>
      </c>
      <c r="K17" s="41">
        <f t="shared" si="4"/>
        <v>3</v>
      </c>
      <c r="L17" s="57">
        <v>22.28</v>
      </c>
      <c r="M17" s="41">
        <f t="shared" si="5"/>
        <v>6</v>
      </c>
      <c r="N17" s="56">
        <v>26.82</v>
      </c>
      <c r="O17" s="41">
        <f t="shared" si="8"/>
        <v>2</v>
      </c>
      <c r="P17" t="s">
        <v>63</v>
      </c>
    </row>
    <row r="18" spans="1:19" x14ac:dyDescent="0.25">
      <c r="A18" s="105" t="s">
        <v>10</v>
      </c>
      <c r="B18" s="57">
        <v>17.55</v>
      </c>
      <c r="C18" s="41">
        <f t="shared" si="0"/>
        <v>9</v>
      </c>
      <c r="D18" s="57">
        <v>17.55</v>
      </c>
      <c r="E18" s="41">
        <f t="shared" si="7"/>
        <v>8</v>
      </c>
      <c r="F18" s="66">
        <v>26.82</v>
      </c>
      <c r="G18" s="41">
        <f t="shared" si="2"/>
        <v>9</v>
      </c>
      <c r="H18" s="57" t="s">
        <v>38</v>
      </c>
      <c r="I18" s="41">
        <f t="shared" si="3"/>
        <v>0</v>
      </c>
      <c r="J18" s="100">
        <v>34.94</v>
      </c>
      <c r="K18" s="41">
        <f t="shared" si="4"/>
        <v>7</v>
      </c>
      <c r="L18" s="22">
        <v>23.43</v>
      </c>
      <c r="M18" s="41">
        <f t="shared" si="5"/>
        <v>7</v>
      </c>
      <c r="N18" s="57" t="s">
        <v>38</v>
      </c>
      <c r="O18" s="41">
        <f t="shared" si="8"/>
        <v>0</v>
      </c>
      <c r="P18" t="str">
        <f>VLOOKUP(A18,Hoja1!$A$3:$B$19,2,0)</f>
        <v>https://www.bancopopular.com.co/wps/portal/bancopopular/inicio/informacion-interes/tasas</v>
      </c>
    </row>
    <row r="19" spans="1:19" ht="15.75" thickBot="1" x14ac:dyDescent="0.3">
      <c r="A19" s="105" t="s">
        <v>51</v>
      </c>
      <c r="B19" s="57" t="s">
        <v>38</v>
      </c>
      <c r="C19" s="41">
        <f t="shared" si="0"/>
        <v>0</v>
      </c>
      <c r="D19" s="57" t="s">
        <v>38</v>
      </c>
      <c r="E19" s="41">
        <f t="shared" si="7"/>
        <v>0</v>
      </c>
      <c r="F19" s="59">
        <v>26.97</v>
      </c>
      <c r="G19" s="41">
        <f t="shared" si="2"/>
        <v>10</v>
      </c>
      <c r="H19" s="59">
        <v>21.54</v>
      </c>
      <c r="I19" s="41">
        <f t="shared" si="3"/>
        <v>7</v>
      </c>
      <c r="J19" s="59">
        <v>34.96</v>
      </c>
      <c r="K19" s="41">
        <f t="shared" si="4"/>
        <v>10</v>
      </c>
      <c r="L19" s="59">
        <v>25.93</v>
      </c>
      <c r="M19" s="41">
        <f t="shared" si="5"/>
        <v>10</v>
      </c>
      <c r="N19" s="59">
        <v>34.979999999999997</v>
      </c>
      <c r="O19" s="41">
        <f t="shared" si="8"/>
        <v>9</v>
      </c>
      <c r="P19" t="str">
        <f>VLOOKUP(A19,Hoja1!$A$3:$B$19,2,0)</f>
        <v>https://www.bancopichincha.com.co/web/corporativo/tasas-y-tarifas</v>
      </c>
    </row>
    <row r="20" spans="1:19" ht="15.75" thickBot="1" x14ac:dyDescent="0.3">
      <c r="A20" s="81" t="s">
        <v>55</v>
      </c>
      <c r="B20" s="25" t="s">
        <v>40</v>
      </c>
      <c r="C20" s="26" t="s">
        <v>41</v>
      </c>
      <c r="D20" s="25" t="s">
        <v>40</v>
      </c>
      <c r="E20" s="26" t="s">
        <v>41</v>
      </c>
      <c r="F20" s="69" t="s">
        <v>40</v>
      </c>
      <c r="G20" s="70" t="s">
        <v>41</v>
      </c>
      <c r="H20" s="69" t="s">
        <v>40</v>
      </c>
      <c r="I20" s="70" t="s">
        <v>41</v>
      </c>
      <c r="J20" s="69" t="s">
        <v>40</v>
      </c>
      <c r="K20" s="70" t="s">
        <v>41</v>
      </c>
      <c r="L20" s="69" t="s">
        <v>40</v>
      </c>
      <c r="M20" s="70" t="s">
        <v>41</v>
      </c>
      <c r="N20" s="69" t="s">
        <v>40</v>
      </c>
      <c r="O20" s="70" t="s">
        <v>41</v>
      </c>
    </row>
    <row r="21" spans="1:19" ht="15.75" thickBot="1" x14ac:dyDescent="0.3">
      <c r="A21" s="36" t="s">
        <v>36</v>
      </c>
      <c r="B21" s="37">
        <f>B8</f>
        <v>13.19</v>
      </c>
      <c r="C21" s="40">
        <f t="shared" ref="C21:C23" si="9">IFERROR(_xlfn.RANK.EQ(B21,$B$21:$B$27,1),0)</f>
        <v>1</v>
      </c>
      <c r="D21" s="37">
        <f>D8</f>
        <v>15.25</v>
      </c>
      <c r="E21" s="40">
        <f t="shared" ref="E21:E24" si="10">IFERROR(_xlfn.RANK.EQ(D21,$D$21:$D$27,1),0)</f>
        <v>1</v>
      </c>
      <c r="F21" s="37">
        <f>F8</f>
        <v>26.68</v>
      </c>
      <c r="G21" s="40">
        <f t="shared" ref="G21:G23" si="11">IFERROR(_xlfn.RANK.EQ(F21,$F$21:$F$27,1),0)</f>
        <v>3</v>
      </c>
      <c r="H21" s="37">
        <f>H8</f>
        <v>18.3</v>
      </c>
      <c r="I21" s="40">
        <f t="shared" ref="I21:I25" si="12">IFERROR(_xlfn.RANK.EQ(H21,$H$21:$H$27,1),0)</f>
        <v>1</v>
      </c>
      <c r="J21" s="37">
        <f>J8</f>
        <v>36.869999999999997</v>
      </c>
      <c r="K21" s="40">
        <f t="shared" ref="K21" si="13">IFERROR(_xlfn.RANK.EQ(J21,$J$21:$J$27,1),0)</f>
        <v>2</v>
      </c>
      <c r="L21" s="37">
        <f>L8</f>
        <v>19.52</v>
      </c>
      <c r="M21" s="40">
        <f t="shared" ref="M21:M25" si="14">IFERROR(_xlfn.RANK.EQ(L21,$L$21:$L$27,1),0)</f>
        <v>1</v>
      </c>
      <c r="N21" s="37">
        <f>N8</f>
        <v>34.65</v>
      </c>
      <c r="O21" s="40">
        <f>IFERROR(_xlfn.RANK.EQ(N21,$N$21:$N$27,1),0)</f>
        <v>4</v>
      </c>
    </row>
    <row r="22" spans="1:19" x14ac:dyDescent="0.25">
      <c r="A22" s="105" t="s">
        <v>19</v>
      </c>
      <c r="B22" s="56">
        <v>16.77</v>
      </c>
      <c r="C22" s="55">
        <f t="shared" si="9"/>
        <v>2</v>
      </c>
      <c r="D22" s="57">
        <v>20.98</v>
      </c>
      <c r="E22" s="55">
        <f t="shared" si="10"/>
        <v>3</v>
      </c>
      <c r="F22" s="58">
        <v>18.86</v>
      </c>
      <c r="G22" s="55">
        <f t="shared" si="11"/>
        <v>1</v>
      </c>
      <c r="H22" s="57" t="s">
        <v>38</v>
      </c>
      <c r="I22" s="55">
        <f t="shared" si="12"/>
        <v>0</v>
      </c>
      <c r="J22" s="57" t="s">
        <v>38</v>
      </c>
      <c r="K22" s="55">
        <f>IFERROR(_xlfn.RANK.EQ(J22,$J$21:$J$27,1),0)</f>
        <v>0</v>
      </c>
      <c r="L22" s="57" t="s">
        <v>38</v>
      </c>
      <c r="M22" s="55">
        <f t="shared" si="14"/>
        <v>0</v>
      </c>
      <c r="N22" s="56">
        <v>34.479999999999997</v>
      </c>
      <c r="O22" s="55">
        <f>IFERROR(_xlfn.RANK.EQ(N22,$N$22:$N$27,1),0)</f>
        <v>3</v>
      </c>
      <c r="P22" t="str">
        <f>VLOOKUP(A22,Hoja1!$A$3:$B$19,2,0)</f>
        <v>https://www.cotrafa.com.co/portafolio-de-credito</v>
      </c>
      <c r="S22" s="47"/>
    </row>
    <row r="23" spans="1:19" x14ac:dyDescent="0.25">
      <c r="A23" s="105" t="s">
        <v>20</v>
      </c>
      <c r="B23" s="22">
        <v>17</v>
      </c>
      <c r="C23" s="41">
        <f t="shared" si="9"/>
        <v>3</v>
      </c>
      <c r="D23" s="22">
        <v>17</v>
      </c>
      <c r="E23" s="41">
        <f t="shared" si="10"/>
        <v>2</v>
      </c>
      <c r="F23" s="16">
        <v>21.9</v>
      </c>
      <c r="G23" s="41">
        <f t="shared" si="11"/>
        <v>2</v>
      </c>
      <c r="H23" s="57" t="s">
        <v>38</v>
      </c>
      <c r="I23" s="41">
        <f t="shared" si="12"/>
        <v>0</v>
      </c>
      <c r="J23" s="22">
        <v>28</v>
      </c>
      <c r="K23" s="41">
        <f t="shared" ref="K23:K25" si="15">IFERROR(_xlfn.RANK.EQ(J23,$J$21:$J$27,1),0)</f>
        <v>1</v>
      </c>
      <c r="L23" s="22">
        <v>23.8</v>
      </c>
      <c r="M23" s="41">
        <f t="shared" si="14"/>
        <v>2</v>
      </c>
      <c r="N23" s="57" t="s">
        <v>38</v>
      </c>
      <c r="O23" s="55">
        <f t="shared" ref="O23" si="16">IFERROR(_xlfn.RANK.EQ(N23,$N$22:$N$27,1),0)</f>
        <v>0</v>
      </c>
      <c r="P23" t="str">
        <f>VLOOKUP(A23,Hoja1!$A$3:$B$19,2,0)</f>
        <v>https://www.confiar.coop/personas/productos/credito/credito-para-comprar-vivienda/</v>
      </c>
    </row>
    <row r="24" spans="1:19" x14ac:dyDescent="0.25">
      <c r="A24" s="105" t="s">
        <v>57</v>
      </c>
      <c r="B24" s="22">
        <v>22.42</v>
      </c>
      <c r="C24" s="41">
        <f>IFERROR(_xlfn.RANK.EQ(B24,$B$21:$B$27,1),0)</f>
        <v>4</v>
      </c>
      <c r="D24" s="22">
        <v>22.42</v>
      </c>
      <c r="E24" s="41">
        <f t="shared" si="10"/>
        <v>4</v>
      </c>
      <c r="F24" s="22">
        <v>28.32</v>
      </c>
      <c r="G24" s="41">
        <f>IFERROR(_xlfn.RANK.EQ(F24,$F$21:$F$27,1),0)</f>
        <v>4</v>
      </c>
      <c r="H24" s="22">
        <v>22.42</v>
      </c>
      <c r="I24" s="41">
        <f t="shared" si="12"/>
        <v>2</v>
      </c>
      <c r="J24" s="57" t="s">
        <v>38</v>
      </c>
      <c r="K24" s="41">
        <f t="shared" si="15"/>
        <v>0</v>
      </c>
      <c r="L24" s="57" t="s">
        <v>38</v>
      </c>
      <c r="M24" s="41">
        <f t="shared" si="14"/>
        <v>0</v>
      </c>
      <c r="N24" s="22">
        <v>27.57</v>
      </c>
      <c r="O24" s="55">
        <f t="shared" ref="O24:O25" si="17">IFERROR(_xlfn.RANK.EQ(N24,$N$22:$N$27,1),0)</f>
        <v>2</v>
      </c>
      <c r="P24" t="str">
        <f>VLOOKUP(A24,Hoja1!$A$3:$B$19,2,0)</f>
        <v>https://www.coopetraban.com.co/tasas-de-interes-para-credito/</v>
      </c>
    </row>
    <row r="25" spans="1:19" x14ac:dyDescent="0.25">
      <c r="A25" s="105" t="s">
        <v>17</v>
      </c>
      <c r="B25" s="22" t="s">
        <v>38</v>
      </c>
      <c r="C25" s="41">
        <f>IFERROR(_xlfn.RANK.EQ(B25,$B$21:$B$27,1),0)</f>
        <v>0</v>
      </c>
      <c r="D25" s="22">
        <v>22.71</v>
      </c>
      <c r="E25" s="55">
        <f t="shared" ref="E25:E27" si="18">IFERROR(_xlfn.RANK.EQ(D25,$D$21:$D$27,1),0)</f>
        <v>5</v>
      </c>
      <c r="F25" s="16">
        <v>36.81</v>
      </c>
      <c r="G25" s="41">
        <f t="shared" ref="G25" si="19">IFERROR(_xlfn.RANK.EQ(F25,$F$21:$F$27,1),0)</f>
        <v>5</v>
      </c>
      <c r="H25" s="17">
        <v>28.24</v>
      </c>
      <c r="I25" s="41">
        <f t="shared" si="12"/>
        <v>3</v>
      </c>
      <c r="J25" s="57" t="s">
        <v>38</v>
      </c>
      <c r="K25" s="41">
        <f t="shared" si="15"/>
        <v>0</v>
      </c>
      <c r="L25" s="57" t="s">
        <v>38</v>
      </c>
      <c r="M25" s="41">
        <f t="shared" si="14"/>
        <v>0</v>
      </c>
      <c r="N25" s="57">
        <v>26.72</v>
      </c>
      <c r="O25" s="55">
        <f t="shared" si="17"/>
        <v>1</v>
      </c>
      <c r="P25" t="str">
        <f>VLOOKUP(A25,Hoja1!$A$3:$B$19,2,0)</f>
        <v>https://www.cfa.com.co/tasas-de-colocacion/</v>
      </c>
    </row>
    <row r="26" spans="1:19" hidden="1" x14ac:dyDescent="0.25">
      <c r="A26" s="105" t="s">
        <v>49</v>
      </c>
      <c r="B26" s="57"/>
      <c r="C26" s="41">
        <f t="shared" ref="C26:C27" si="20">IFERROR(_xlfn.RANK.EQ(B26,$B$21:$B$27,1),0)</f>
        <v>0</v>
      </c>
      <c r="D26" s="57"/>
      <c r="E26" s="41">
        <f t="shared" si="18"/>
        <v>0</v>
      </c>
      <c r="F26" s="66"/>
      <c r="G26" s="41">
        <f t="shared" ref="G26:G27" si="21">IFERROR(_xlfn.RANK.EQ(F26,$F$21:$F$27,1),0)</f>
        <v>0</v>
      </c>
      <c r="H26" s="57"/>
      <c r="I26" s="41">
        <f t="shared" ref="I26:I27" si="22">IFERROR(_xlfn.RANK.EQ(H26,$H$21:$H$27,1),0)</f>
        <v>0</v>
      </c>
      <c r="J26" s="66"/>
      <c r="K26" s="41">
        <f t="shared" ref="K26:K27" si="23">IFERROR(_xlfn.RANK.EQ(J26,$J$21:$J$27,1),0)</f>
        <v>0</v>
      </c>
      <c r="L26" s="66"/>
      <c r="M26" s="41">
        <f>IFERROR(_xlfn.RANK.EQ(L26,$L$21:$L$27,1),0)</f>
        <v>0</v>
      </c>
      <c r="N26" s="57"/>
      <c r="O26" s="55">
        <f t="shared" ref="O26:O27" si="24">IFERROR(_xlfn.RANK.EQ(N26,$N$22:$N$27,1),0)</f>
        <v>0</v>
      </c>
      <c r="P26" t="str">
        <f>VLOOKUP(A26,Hoja1!$A$3:$B$19,2,0)</f>
        <v>https://financierajuriscoop.com.co/tasas-y-tarifas</v>
      </c>
    </row>
    <row r="27" spans="1:19" ht="15.75" hidden="1" customHeight="1" x14ac:dyDescent="0.25">
      <c r="A27" s="105" t="s">
        <v>18</v>
      </c>
      <c r="B27" s="23"/>
      <c r="C27" s="42">
        <f t="shared" si="20"/>
        <v>0</v>
      </c>
      <c r="D27" s="23"/>
      <c r="E27" s="42">
        <f t="shared" si="18"/>
        <v>0</v>
      </c>
      <c r="F27" s="20"/>
      <c r="G27" s="42">
        <f t="shared" si="21"/>
        <v>0</v>
      </c>
      <c r="H27" s="23"/>
      <c r="I27" s="42">
        <f t="shared" si="22"/>
        <v>0</v>
      </c>
      <c r="J27" s="23"/>
      <c r="K27" s="21">
        <f t="shared" si="23"/>
        <v>0</v>
      </c>
      <c r="L27" s="23"/>
      <c r="M27" s="21">
        <f t="shared" ref="M27" si="25">IFERROR(_xlfn.RANK.EQ(L27,$L$21:$L$27,1),0)</f>
        <v>0</v>
      </c>
      <c r="N27" s="23"/>
      <c r="O27" s="42">
        <f t="shared" si="24"/>
        <v>0</v>
      </c>
      <c r="P27" t="str">
        <f>VLOOKUP(A27,Hoja1!$A$3:$B$19,2,0)</f>
        <v>https://www.jfk.com.co/credito/tasas</v>
      </c>
      <c r="S27" s="47"/>
    </row>
    <row r="28" spans="1:19" x14ac:dyDescent="0.25">
      <c r="P28" s="47"/>
      <c r="Q28" s="50">
        <v>11.151273943193299</v>
      </c>
      <c r="R28" s="47"/>
      <c r="S28" s="47"/>
    </row>
    <row r="29" spans="1:19" ht="15.75" customHeight="1" x14ac:dyDescent="0.25">
      <c r="A29" s="114" t="s">
        <v>67</v>
      </c>
      <c r="B29">
        <f>(1+1.8%)^(12/1)-1</f>
        <v>0.23872053157552808</v>
      </c>
      <c r="C29"/>
      <c r="P29" s="51">
        <v>0.116189</v>
      </c>
      <c r="Q29" s="52">
        <f>EFFECT(P29,12)</f>
        <v>0.12258056350536095</v>
      </c>
      <c r="R29" s="47"/>
      <c r="S29" s="47"/>
    </row>
    <row r="30" spans="1:19" ht="15.75" hidden="1" customHeight="1" x14ac:dyDescent="0.25">
      <c r="A30" s="146" t="s">
        <v>2</v>
      </c>
      <c r="B30" s="148"/>
      <c r="C30" s="149"/>
      <c r="D30" s="149"/>
      <c r="E30" s="149"/>
      <c r="F30" s="136" t="s">
        <v>56</v>
      </c>
      <c r="G30" s="145"/>
      <c r="H30" s="145"/>
      <c r="I30" s="145"/>
      <c r="J30" s="145"/>
      <c r="K30" s="145"/>
      <c r="L30" s="145"/>
      <c r="M30" s="145"/>
      <c r="N30" s="145"/>
      <c r="O30" s="137"/>
      <c r="P30" s="47"/>
      <c r="Q30" s="47">
        <v>12.2580563505361</v>
      </c>
      <c r="R30" s="47"/>
      <c r="S30" s="47"/>
    </row>
    <row r="31" spans="1:19" ht="26.25" hidden="1" customHeight="1" x14ac:dyDescent="0.25">
      <c r="A31" s="147"/>
      <c r="B31" s="148"/>
      <c r="C31" s="150"/>
      <c r="D31" s="148"/>
      <c r="E31" s="150"/>
      <c r="F31" s="148" t="s">
        <v>7</v>
      </c>
      <c r="G31" s="150"/>
      <c r="H31" s="148" t="s">
        <v>45</v>
      </c>
      <c r="I31" s="150"/>
      <c r="J31" s="136" t="s">
        <v>8</v>
      </c>
      <c r="K31" s="137"/>
      <c r="L31" s="136" t="s">
        <v>46</v>
      </c>
      <c r="M31" s="137"/>
      <c r="N31" s="136" t="s">
        <v>48</v>
      </c>
      <c r="O31" s="137"/>
      <c r="P31" s="47"/>
      <c r="Q31" s="47"/>
      <c r="R31" s="47"/>
      <c r="S31" s="47"/>
    </row>
    <row r="32" spans="1:19" ht="15.75" hidden="1" thickBot="1" x14ac:dyDescent="0.3">
      <c r="A32" s="80" t="s">
        <v>54</v>
      </c>
      <c r="B32" s="25"/>
      <c r="C32" s="26"/>
      <c r="D32" s="25"/>
      <c r="E32" s="26"/>
      <c r="F32" s="69" t="s">
        <v>40</v>
      </c>
      <c r="G32" s="70" t="s">
        <v>41</v>
      </c>
      <c r="H32" s="69" t="s">
        <v>40</v>
      </c>
      <c r="I32" s="70" t="s">
        <v>41</v>
      </c>
      <c r="J32" s="69" t="s">
        <v>40</v>
      </c>
      <c r="K32" s="70" t="s">
        <v>41</v>
      </c>
      <c r="L32" s="69" t="s">
        <v>40</v>
      </c>
      <c r="M32" s="70" t="s">
        <v>41</v>
      </c>
      <c r="N32" s="69" t="s">
        <v>40</v>
      </c>
      <c r="O32" s="70" t="s">
        <v>41</v>
      </c>
      <c r="P32" s="47"/>
      <c r="Q32" s="47"/>
      <c r="R32" s="47"/>
      <c r="S32" s="47"/>
    </row>
    <row r="33" spans="1:19" ht="15.75" hidden="1" thickBot="1" x14ac:dyDescent="0.3">
      <c r="A33" s="24" t="s">
        <v>36</v>
      </c>
      <c r="B33" s="28"/>
      <c r="C33" s="43"/>
      <c r="D33" s="28"/>
      <c r="E33" s="43"/>
      <c r="F33" s="28">
        <f>VLOOKUP(A33,$A$5:$O$27,6,0)+F55</f>
        <v>29.18</v>
      </c>
      <c r="G33" s="43">
        <f>IFERROR(_xlfn.RANK.EQ(F33,$F$33:$F$44,1),0)</f>
        <v>10</v>
      </c>
      <c r="H33" s="45">
        <f>VLOOKUP(A33,$A$5:$O$27,8,0)+H55</f>
        <v>20.8</v>
      </c>
      <c r="I33" s="46">
        <f>IFERROR(_xlfn.RANK.EQ(H33,$H$33:$H$44,1),0)</f>
        <v>5</v>
      </c>
      <c r="J33" s="28">
        <f>VLOOKUP(A33,$A$5:$O$27,10,0)+J55</f>
        <v>39.369999999999997</v>
      </c>
      <c r="K33" s="43">
        <f>IFERROR(_xlfn.RANK.EQ(J33,$J$33:$J$44,1),0)</f>
        <v>12</v>
      </c>
      <c r="L33" s="28">
        <f>VLOOKUP(A33,$A$5:$O$27,12,0)+L55</f>
        <v>22.02</v>
      </c>
      <c r="M33" s="40">
        <f>IFERROR(_xlfn.RANK.EQ(L33,$L$33:$L$44,1),0)</f>
        <v>5</v>
      </c>
      <c r="N33" s="37">
        <f>VLOOKUP(A33,$A$5:$O$27,14,0)+N55</f>
        <v>34.65</v>
      </c>
      <c r="O33" s="40">
        <f t="shared" ref="O33:O44" si="26">IFERROR(_xlfn.RANK.EQ(N33,$N$33:$N$52,1),0)</f>
        <v>10</v>
      </c>
      <c r="Q33" s="98"/>
      <c r="S33" s="47"/>
    </row>
    <row r="34" spans="1:19" hidden="1" x14ac:dyDescent="0.25">
      <c r="A34" s="32" t="s">
        <v>12</v>
      </c>
      <c r="B34" s="29"/>
      <c r="C34" s="44"/>
      <c r="D34" s="29"/>
      <c r="E34" s="44"/>
      <c r="F34" s="31">
        <f t="shared" ref="F34:F44" si="27">IFERROR(VLOOKUP(A34,$A$5:$O$27,6,0),0)</f>
        <v>21.7</v>
      </c>
      <c r="G34" s="44">
        <f t="shared" ref="G34:G44" si="28">IFERROR(_xlfn.RANK.EQ(F34,$F$33:$F$44,1),0)</f>
        <v>4</v>
      </c>
      <c r="H34" s="17">
        <f t="shared" ref="H34:H44" si="29">VLOOKUP(A34,$A$5:$O$27,8,0)</f>
        <v>18.86</v>
      </c>
      <c r="I34" s="41">
        <f t="shared" ref="I34:I44" si="30">IFERROR(_xlfn.RANK.EQ(H34,$H$33:$H$44,1),0)</f>
        <v>3</v>
      </c>
      <c r="J34" s="29">
        <f t="shared" ref="J34:J44" si="31">VLOOKUP(A34,$A$5:$O$27,10,0)</f>
        <v>34.83</v>
      </c>
      <c r="K34" s="44">
        <f t="shared" ref="K34:K44" si="32">IFERROR(_xlfn.RANK.EQ(J34,$J$33:$J$44,1),0)</f>
        <v>6</v>
      </c>
      <c r="L34" s="29">
        <f t="shared" ref="L34:L44" si="33">VLOOKUP(A34,$A$5:$O$27,12,0)</f>
        <v>19.84</v>
      </c>
      <c r="M34" s="41">
        <f t="shared" ref="M34:M44" si="34">IFERROR(_xlfn.RANK.EQ(L34,$L$33:$L$44,1),0)</f>
        <v>4</v>
      </c>
      <c r="N34" s="22">
        <f t="shared" ref="N34:N44" si="35">VLOOKUP(A34,$A$5:$O$27,14,0)</f>
        <v>21.7</v>
      </c>
      <c r="O34" s="41">
        <f t="shared" si="26"/>
        <v>3</v>
      </c>
      <c r="S34" s="53"/>
    </row>
    <row r="35" spans="1:19" hidden="1" x14ac:dyDescent="0.25">
      <c r="A35" s="18" t="s">
        <v>13</v>
      </c>
      <c r="B35" s="22"/>
      <c r="C35" s="41"/>
      <c r="D35" s="22"/>
      <c r="E35" s="41"/>
      <c r="F35" s="16">
        <f t="shared" si="27"/>
        <v>18.8</v>
      </c>
      <c r="G35" s="41">
        <f t="shared" si="28"/>
        <v>3</v>
      </c>
      <c r="H35" s="17">
        <f t="shared" si="29"/>
        <v>19.84</v>
      </c>
      <c r="I35" s="41">
        <f t="shared" si="30"/>
        <v>4</v>
      </c>
      <c r="J35" s="22">
        <f t="shared" si="31"/>
        <v>33.700000000000003</v>
      </c>
      <c r="K35" s="41">
        <f t="shared" si="32"/>
        <v>2</v>
      </c>
      <c r="L35" s="22" t="str">
        <f t="shared" si="33"/>
        <v>N/A</v>
      </c>
      <c r="M35" s="41">
        <f t="shared" si="34"/>
        <v>0</v>
      </c>
      <c r="N35" s="22">
        <f t="shared" si="35"/>
        <v>33.700000000000003</v>
      </c>
      <c r="O35" s="41">
        <f t="shared" si="26"/>
        <v>8</v>
      </c>
      <c r="Q35" s="97"/>
      <c r="S35" s="52"/>
    </row>
    <row r="36" spans="1:19" hidden="1" x14ac:dyDescent="0.25">
      <c r="A36" s="18" t="s">
        <v>14</v>
      </c>
      <c r="B36" s="22"/>
      <c r="C36" s="41"/>
      <c r="D36" s="22"/>
      <c r="E36" s="41"/>
      <c r="F36" s="16">
        <f t="shared" si="27"/>
        <v>21.98</v>
      </c>
      <c r="G36" s="41">
        <f t="shared" si="28"/>
        <v>5</v>
      </c>
      <c r="H36" s="17">
        <f t="shared" si="29"/>
        <v>17.739999999999998</v>
      </c>
      <c r="I36" s="41">
        <f t="shared" si="30"/>
        <v>2</v>
      </c>
      <c r="J36" s="22">
        <f t="shared" si="31"/>
        <v>34.799999999999997</v>
      </c>
      <c r="K36" s="41">
        <f t="shared" si="32"/>
        <v>5</v>
      </c>
      <c r="L36" s="22">
        <f t="shared" si="33"/>
        <v>18.850000000000001</v>
      </c>
      <c r="M36" s="41">
        <f t="shared" si="34"/>
        <v>2</v>
      </c>
      <c r="N36" s="22">
        <f t="shared" si="35"/>
        <v>33.54</v>
      </c>
      <c r="O36" s="41">
        <f t="shared" si="26"/>
        <v>7</v>
      </c>
      <c r="S36" s="47"/>
    </row>
    <row r="37" spans="1:19" hidden="1" x14ac:dyDescent="0.25">
      <c r="A37" s="18" t="s">
        <v>11</v>
      </c>
      <c r="B37" s="22"/>
      <c r="C37" s="41"/>
      <c r="D37" s="22"/>
      <c r="E37" s="41"/>
      <c r="F37" s="16">
        <f t="shared" si="27"/>
        <v>17.309999999999999</v>
      </c>
      <c r="G37" s="41">
        <f t="shared" si="28"/>
        <v>1</v>
      </c>
      <c r="H37" s="17">
        <f t="shared" si="29"/>
        <v>16.899999999999999</v>
      </c>
      <c r="I37" s="41">
        <f t="shared" si="30"/>
        <v>1</v>
      </c>
      <c r="J37" s="22">
        <f t="shared" si="31"/>
        <v>27.03</v>
      </c>
      <c r="K37" s="41">
        <f t="shared" si="32"/>
        <v>1</v>
      </c>
      <c r="L37" s="22">
        <f t="shared" si="33"/>
        <v>19.07</v>
      </c>
      <c r="M37" s="41">
        <f t="shared" si="34"/>
        <v>3</v>
      </c>
      <c r="N37" s="22" t="str">
        <f t="shared" si="35"/>
        <v>20.01</v>
      </c>
      <c r="O37" s="41">
        <f t="shared" si="26"/>
        <v>0</v>
      </c>
      <c r="S37" s="47"/>
    </row>
    <row r="38" spans="1:19" hidden="1" x14ac:dyDescent="0.25">
      <c r="A38" s="18" t="s">
        <v>16</v>
      </c>
      <c r="B38" s="22"/>
      <c r="C38" s="41"/>
      <c r="D38" s="22"/>
      <c r="E38" s="41"/>
      <c r="F38" s="16">
        <f t="shared" si="27"/>
        <v>17.600000000000001</v>
      </c>
      <c r="G38" s="41">
        <f t="shared" si="28"/>
        <v>2</v>
      </c>
      <c r="H38" s="63" t="str">
        <f t="shared" si="29"/>
        <v>N/A</v>
      </c>
      <c r="I38" s="41">
        <f t="shared" si="30"/>
        <v>0</v>
      </c>
      <c r="J38" s="22">
        <f t="shared" si="31"/>
        <v>34.68</v>
      </c>
      <c r="K38" s="41">
        <f t="shared" si="32"/>
        <v>4</v>
      </c>
      <c r="L38" s="22">
        <f t="shared" si="33"/>
        <v>17.3</v>
      </c>
      <c r="M38" s="41">
        <f t="shared" si="34"/>
        <v>1</v>
      </c>
      <c r="N38" s="22" t="str">
        <f t="shared" si="35"/>
        <v>N/A</v>
      </c>
      <c r="O38" s="41">
        <f t="shared" si="26"/>
        <v>0</v>
      </c>
      <c r="S38" s="47"/>
    </row>
    <row r="39" spans="1:19" hidden="1" x14ac:dyDescent="0.25">
      <c r="A39" s="18" t="s">
        <v>15</v>
      </c>
      <c r="B39" s="22"/>
      <c r="C39" s="41"/>
      <c r="D39" s="22"/>
      <c r="E39" s="41"/>
      <c r="F39" s="16">
        <f t="shared" si="27"/>
        <v>25.66</v>
      </c>
      <c r="G39" s="41">
        <f t="shared" si="28"/>
        <v>7</v>
      </c>
      <c r="H39" s="63" t="str">
        <f t="shared" si="29"/>
        <v>N/A</v>
      </c>
      <c r="I39" s="41">
        <f t="shared" si="30"/>
        <v>0</v>
      </c>
      <c r="J39" s="22">
        <f t="shared" si="31"/>
        <v>34.94</v>
      </c>
      <c r="K39" s="41">
        <f t="shared" si="32"/>
        <v>7</v>
      </c>
      <c r="L39" s="22" t="str">
        <f t="shared" si="33"/>
        <v>N/A</v>
      </c>
      <c r="M39" s="41">
        <f t="shared" si="34"/>
        <v>0</v>
      </c>
      <c r="N39" s="22">
        <f t="shared" si="35"/>
        <v>34.97</v>
      </c>
      <c r="O39" s="41">
        <f t="shared" si="26"/>
        <v>13</v>
      </c>
      <c r="S39" s="47"/>
    </row>
    <row r="40" spans="1:19" hidden="1" x14ac:dyDescent="0.25">
      <c r="A40" s="76" t="s">
        <v>50</v>
      </c>
      <c r="B40" s="22"/>
      <c r="C40" s="41"/>
      <c r="D40" s="22"/>
      <c r="E40" s="41"/>
      <c r="F40" s="16">
        <f t="shared" si="27"/>
        <v>22.27</v>
      </c>
      <c r="G40" s="41">
        <f t="shared" si="28"/>
        <v>6</v>
      </c>
      <c r="H40" s="17">
        <f t="shared" si="29"/>
        <v>21.69</v>
      </c>
      <c r="I40" s="41">
        <f t="shared" si="30"/>
        <v>8</v>
      </c>
      <c r="J40" s="22">
        <f t="shared" si="31"/>
        <v>34.950000000000003</v>
      </c>
      <c r="K40" s="41">
        <f t="shared" si="32"/>
        <v>9</v>
      </c>
      <c r="L40" s="22">
        <f t="shared" si="33"/>
        <v>24.3</v>
      </c>
      <c r="M40" s="41">
        <f t="shared" si="34"/>
        <v>9</v>
      </c>
      <c r="N40" s="22">
        <f t="shared" si="35"/>
        <v>31.527999999999999</v>
      </c>
      <c r="O40" s="41">
        <f t="shared" si="26"/>
        <v>6</v>
      </c>
      <c r="S40" s="47"/>
    </row>
    <row r="41" spans="1:19" hidden="1" x14ac:dyDescent="0.25">
      <c r="A41" s="18" t="s">
        <v>9</v>
      </c>
      <c r="B41" s="22"/>
      <c r="C41" s="41"/>
      <c r="D41" s="22"/>
      <c r="E41" s="41"/>
      <c r="F41" s="16">
        <f t="shared" si="27"/>
        <v>31.34</v>
      </c>
      <c r="G41" s="41">
        <f t="shared" si="28"/>
        <v>12</v>
      </c>
      <c r="H41" s="17">
        <f t="shared" si="29"/>
        <v>21.13</v>
      </c>
      <c r="I41" s="41">
        <f t="shared" si="30"/>
        <v>6</v>
      </c>
      <c r="J41" s="22">
        <f t="shared" si="31"/>
        <v>34.979999999999997</v>
      </c>
      <c r="K41" s="41">
        <f t="shared" si="32"/>
        <v>11</v>
      </c>
      <c r="L41" s="22">
        <f t="shared" si="33"/>
        <v>23.44</v>
      </c>
      <c r="M41" s="41">
        <f t="shared" si="34"/>
        <v>8</v>
      </c>
      <c r="N41" s="22">
        <f t="shared" si="35"/>
        <v>34.880000000000003</v>
      </c>
      <c r="O41" s="41">
        <f t="shared" si="26"/>
        <v>12</v>
      </c>
      <c r="S41" s="49"/>
    </row>
    <row r="42" spans="1:19" hidden="1" x14ac:dyDescent="0.25">
      <c r="A42" s="74" t="s">
        <v>51</v>
      </c>
      <c r="B42" s="56"/>
      <c r="C42" s="55"/>
      <c r="D42" s="77"/>
      <c r="E42" s="55"/>
      <c r="F42" s="59">
        <f t="shared" si="27"/>
        <v>26.97</v>
      </c>
      <c r="G42" s="55">
        <f t="shared" si="28"/>
        <v>9</v>
      </c>
      <c r="H42" s="59">
        <f t="shared" si="29"/>
        <v>21.54</v>
      </c>
      <c r="I42" s="55">
        <f t="shared" si="30"/>
        <v>7</v>
      </c>
      <c r="J42" s="59">
        <f t="shared" si="31"/>
        <v>34.96</v>
      </c>
      <c r="K42" s="55">
        <f t="shared" si="32"/>
        <v>10</v>
      </c>
      <c r="L42" s="59">
        <f t="shared" si="33"/>
        <v>25.93</v>
      </c>
      <c r="M42" s="55">
        <f t="shared" si="34"/>
        <v>10</v>
      </c>
      <c r="N42" s="59">
        <f t="shared" si="35"/>
        <v>34.979999999999997</v>
      </c>
      <c r="O42" s="55">
        <f t="shared" si="26"/>
        <v>14</v>
      </c>
      <c r="S42" s="47"/>
    </row>
    <row r="43" spans="1:19" hidden="1" x14ac:dyDescent="0.25">
      <c r="A43" s="61" t="s">
        <v>10</v>
      </c>
      <c r="B43" s="60"/>
      <c r="C43" s="41"/>
      <c r="D43" s="65"/>
      <c r="E43" s="41"/>
      <c r="F43" s="66">
        <f t="shared" si="27"/>
        <v>26.82</v>
      </c>
      <c r="G43" s="41">
        <f t="shared" si="28"/>
        <v>8</v>
      </c>
      <c r="H43" s="63" t="str">
        <f t="shared" si="29"/>
        <v>N/A</v>
      </c>
      <c r="I43" s="41">
        <f t="shared" si="30"/>
        <v>0</v>
      </c>
      <c r="J43" s="22">
        <f t="shared" si="31"/>
        <v>34.94</v>
      </c>
      <c r="K43" s="41">
        <f t="shared" si="32"/>
        <v>7</v>
      </c>
      <c r="L43" s="22">
        <f t="shared" si="33"/>
        <v>23.43</v>
      </c>
      <c r="M43" s="41">
        <f t="shared" si="34"/>
        <v>7</v>
      </c>
      <c r="N43" s="22" t="str">
        <f t="shared" si="35"/>
        <v>N/A</v>
      </c>
      <c r="O43" s="41">
        <f t="shared" si="26"/>
        <v>0</v>
      </c>
      <c r="S43" s="47"/>
    </row>
    <row r="44" spans="1:19" hidden="1" x14ac:dyDescent="0.25">
      <c r="A44" s="83" t="s">
        <v>47</v>
      </c>
      <c r="B44" s="56"/>
      <c r="C44" s="55"/>
      <c r="D44" s="57"/>
      <c r="E44" s="55"/>
      <c r="F44" s="75">
        <f t="shared" si="27"/>
        <v>29.84</v>
      </c>
      <c r="G44" s="67">
        <f t="shared" si="28"/>
        <v>11</v>
      </c>
      <c r="H44" s="59">
        <f t="shared" si="29"/>
        <v>23.73</v>
      </c>
      <c r="I44" s="55">
        <f t="shared" si="30"/>
        <v>9</v>
      </c>
      <c r="J44" s="59">
        <f t="shared" si="31"/>
        <v>34.65</v>
      </c>
      <c r="K44" s="55">
        <f t="shared" si="32"/>
        <v>3</v>
      </c>
      <c r="L44" s="59">
        <f t="shared" si="33"/>
        <v>22.28</v>
      </c>
      <c r="M44" s="68">
        <f t="shared" si="34"/>
        <v>6</v>
      </c>
      <c r="N44" s="56">
        <f t="shared" si="35"/>
        <v>26.82</v>
      </c>
      <c r="O44" s="55">
        <f t="shared" si="26"/>
        <v>5</v>
      </c>
      <c r="Q44" s="47"/>
      <c r="R44" s="47"/>
      <c r="S44" s="47"/>
    </row>
    <row r="45" spans="1:19" ht="15.75" hidden="1" thickBot="1" x14ac:dyDescent="0.3">
      <c r="A45" s="81" t="s">
        <v>55</v>
      </c>
      <c r="B45" s="25"/>
      <c r="C45" s="26"/>
      <c r="D45" s="25"/>
      <c r="E45" s="26"/>
      <c r="F45" s="69" t="s">
        <v>40</v>
      </c>
      <c r="G45" s="70" t="s">
        <v>41</v>
      </c>
      <c r="H45" s="69" t="s">
        <v>40</v>
      </c>
      <c r="I45" s="70" t="s">
        <v>41</v>
      </c>
      <c r="J45" s="69" t="s">
        <v>40</v>
      </c>
      <c r="K45" s="70" t="s">
        <v>41</v>
      </c>
      <c r="L45" s="69" t="s">
        <v>40</v>
      </c>
      <c r="M45" s="70" t="s">
        <v>41</v>
      </c>
      <c r="N45" s="33"/>
      <c r="O45" s="34"/>
      <c r="P45" s="47"/>
      <c r="Q45" s="47"/>
      <c r="R45" s="47"/>
      <c r="S45" s="47"/>
    </row>
    <row r="46" spans="1:19" ht="15.75" hidden="1" thickBot="1" x14ac:dyDescent="0.3">
      <c r="A46" s="36" t="s">
        <v>36</v>
      </c>
      <c r="B46" s="37"/>
      <c r="C46" s="40"/>
      <c r="D46" s="37"/>
      <c r="E46" s="40"/>
      <c r="F46" s="37">
        <f>VLOOKUP(A46,$A$5:$O$27,6,0)+F55</f>
        <v>29.18</v>
      </c>
      <c r="G46" s="40">
        <f t="shared" ref="G46:G52" si="36">IFERROR(_xlfn.RANK.EQ(F46,$F$46:$F$52,1),0)</f>
        <v>6</v>
      </c>
      <c r="H46" s="38">
        <f>VLOOKUP(A46,$A$5:$O$27,8,0)+H55</f>
        <v>20.8</v>
      </c>
      <c r="I46" s="40">
        <f t="shared" ref="I46:I52" si="37">IFERROR(_xlfn.RANK.EQ(H46,$H$46:$H$52,1),0)</f>
        <v>3</v>
      </c>
      <c r="J46" s="37">
        <f>VLOOKUP(A46,$A$5:$O$27,10,0)+J55</f>
        <v>39.369999999999997</v>
      </c>
      <c r="K46" s="40">
        <f t="shared" ref="K46:K52" si="38">IFERROR(_xlfn.RANK.EQ(J46,$J$46:$J$52,1),0)</f>
        <v>4</v>
      </c>
      <c r="L46" s="37">
        <f>VLOOKUP(A46,$A$5:$O$27,12,0)+L55</f>
        <v>22.02</v>
      </c>
      <c r="M46" s="40">
        <f t="shared" ref="M46:M52" si="39">IFERROR(_xlfn.RANK.EQ(L46,$L$46:$L$52,1),0)</f>
        <v>3</v>
      </c>
      <c r="N46" s="37">
        <f>VLOOKUP(A46,$A$5:$O$27,14,0)+N63</f>
        <v>34.65</v>
      </c>
      <c r="O46" s="40">
        <f>IFERROR(_xlfn.RANK.EQ(N46,$N$33:$N$52,1),0)</f>
        <v>10</v>
      </c>
      <c r="S46" s="47"/>
    </row>
    <row r="47" spans="1:19" hidden="1" x14ac:dyDescent="0.25">
      <c r="A47" s="18" t="s">
        <v>57</v>
      </c>
      <c r="B47" s="56"/>
      <c r="C47" s="55"/>
      <c r="D47" s="62"/>
      <c r="E47" s="86"/>
      <c r="F47" s="62">
        <f t="shared" ref="F47:F52" si="40">IFERROR(VLOOKUP(A47,$A$5:$O$27,6,0),0)</f>
        <v>28.32</v>
      </c>
      <c r="G47" s="86">
        <f t="shared" si="36"/>
        <v>5</v>
      </c>
      <c r="H47" s="59">
        <f t="shared" ref="H47:H52" si="41">VLOOKUP(A47,$A$5:$O$27,8,0)</f>
        <v>22.42</v>
      </c>
      <c r="I47" s="86">
        <f t="shared" si="37"/>
        <v>4</v>
      </c>
      <c r="J47" s="56" t="str">
        <f t="shared" ref="J47:J52" si="42">VLOOKUP(A47,$A$5:$O$27,10,0)</f>
        <v>N/A</v>
      </c>
      <c r="K47" s="86">
        <f t="shared" si="38"/>
        <v>0</v>
      </c>
      <c r="L47" s="56" t="str">
        <f t="shared" ref="L47:L52" si="43">VLOOKUP(A47,$A$5:$O$27,12,0)</f>
        <v>N/A</v>
      </c>
      <c r="M47" s="90">
        <f t="shared" si="39"/>
        <v>0</v>
      </c>
      <c r="N47" s="60"/>
      <c r="O47" s="41"/>
      <c r="S47" s="49"/>
    </row>
    <row r="48" spans="1:19" hidden="1" x14ac:dyDescent="0.25">
      <c r="A48" s="18" t="s">
        <v>17</v>
      </c>
      <c r="B48" s="56"/>
      <c r="C48" s="55"/>
      <c r="D48" s="62"/>
      <c r="E48" s="86"/>
      <c r="F48" s="62">
        <f t="shared" si="40"/>
        <v>36.81</v>
      </c>
      <c r="G48" s="86">
        <f t="shared" si="36"/>
        <v>7</v>
      </c>
      <c r="H48" s="59">
        <f t="shared" si="41"/>
        <v>28.24</v>
      </c>
      <c r="I48" s="86">
        <f t="shared" si="37"/>
        <v>5</v>
      </c>
      <c r="J48" s="56" t="str">
        <f t="shared" si="42"/>
        <v>N/A</v>
      </c>
      <c r="K48" s="86">
        <f t="shared" si="38"/>
        <v>0</v>
      </c>
      <c r="L48" s="56" t="str">
        <f t="shared" si="43"/>
        <v>N/A</v>
      </c>
      <c r="M48" s="90">
        <f t="shared" si="39"/>
        <v>0</v>
      </c>
      <c r="N48" s="60">
        <f>VLOOKUP(A48,$A$5:$O$27,14,0)</f>
        <v>26.72</v>
      </c>
      <c r="O48" s="41">
        <f>IFERROR(_xlfn.RANK.EQ(N48,$N$33:$N$52,1),0)</f>
        <v>4</v>
      </c>
      <c r="S48" s="49"/>
    </row>
    <row r="49" spans="1:19" hidden="1" x14ac:dyDescent="0.25">
      <c r="A49" s="35" t="s">
        <v>20</v>
      </c>
      <c r="B49" s="22"/>
      <c r="C49" s="41"/>
      <c r="D49" s="22"/>
      <c r="E49" s="92"/>
      <c r="F49" s="16">
        <f t="shared" si="40"/>
        <v>21.9</v>
      </c>
      <c r="G49" s="92">
        <f t="shared" si="36"/>
        <v>4</v>
      </c>
      <c r="H49" s="63" t="str">
        <f t="shared" si="41"/>
        <v>N/A</v>
      </c>
      <c r="I49" s="92">
        <f t="shared" si="37"/>
        <v>0</v>
      </c>
      <c r="J49" s="22">
        <f t="shared" si="42"/>
        <v>28</v>
      </c>
      <c r="K49" s="92">
        <f t="shared" si="38"/>
        <v>3</v>
      </c>
      <c r="L49" s="22">
        <f t="shared" si="43"/>
        <v>23.8</v>
      </c>
      <c r="M49" s="93">
        <f t="shared" si="39"/>
        <v>4</v>
      </c>
      <c r="N49" s="60" t="str">
        <f>VLOOKUP(A49,$A$5:$O$27,14,0)</f>
        <v>N/A</v>
      </c>
      <c r="O49" s="41">
        <f>IFERROR(_xlfn.RANK.EQ(N49,$N$33:$N$52,1),0)</f>
        <v>0</v>
      </c>
      <c r="S49" s="47"/>
    </row>
    <row r="50" spans="1:19" hidden="1" x14ac:dyDescent="0.25">
      <c r="A50" s="18" t="s">
        <v>19</v>
      </c>
      <c r="B50" s="56"/>
      <c r="C50" s="55"/>
      <c r="D50" s="56"/>
      <c r="E50" s="86"/>
      <c r="F50" s="62">
        <f t="shared" si="40"/>
        <v>18.86</v>
      </c>
      <c r="G50" s="86">
        <f t="shared" si="36"/>
        <v>3</v>
      </c>
      <c r="H50" s="64" t="str">
        <f t="shared" si="41"/>
        <v>N/A</v>
      </c>
      <c r="I50" s="86">
        <f t="shared" si="37"/>
        <v>0</v>
      </c>
      <c r="J50" s="56" t="str">
        <f t="shared" si="42"/>
        <v>N/A</v>
      </c>
      <c r="K50" s="86">
        <f t="shared" si="38"/>
        <v>0</v>
      </c>
      <c r="L50" s="56" t="str">
        <f t="shared" si="43"/>
        <v>N/A</v>
      </c>
      <c r="M50" s="90">
        <f t="shared" si="39"/>
        <v>0</v>
      </c>
      <c r="N50" s="60">
        <f>VLOOKUP(A50,$A$5:$O$27,14,0)</f>
        <v>34.479999999999997</v>
      </c>
      <c r="O50" s="41">
        <f>IFERROR(_xlfn.RANK.EQ(N50,$N$33:$N$52,1),0)</f>
        <v>9</v>
      </c>
      <c r="Q50" s="11"/>
      <c r="S50" s="47"/>
    </row>
    <row r="51" spans="1:19" ht="15.75" hidden="1" thickBot="1" x14ac:dyDescent="0.3">
      <c r="A51" s="18" t="s">
        <v>49</v>
      </c>
      <c r="B51" s="56"/>
      <c r="C51" s="55"/>
      <c r="D51" s="56"/>
      <c r="E51" s="86"/>
      <c r="F51" s="62">
        <f t="shared" si="40"/>
        <v>0</v>
      </c>
      <c r="G51" s="86">
        <f t="shared" si="36"/>
        <v>1</v>
      </c>
      <c r="H51" s="64">
        <f t="shared" si="41"/>
        <v>0</v>
      </c>
      <c r="I51" s="86">
        <f t="shared" si="37"/>
        <v>1</v>
      </c>
      <c r="J51" s="56">
        <f t="shared" si="42"/>
        <v>0</v>
      </c>
      <c r="K51" s="86">
        <f t="shared" si="38"/>
        <v>1</v>
      </c>
      <c r="L51" s="56">
        <f t="shared" si="43"/>
        <v>0</v>
      </c>
      <c r="M51" s="90">
        <f t="shared" si="39"/>
        <v>1</v>
      </c>
      <c r="N51" s="82">
        <f>VLOOKUP(A51,$A$5:$O$27,14,0)</f>
        <v>0</v>
      </c>
      <c r="O51" s="21">
        <f>IFERROR(_xlfn.RANK.EQ(N51,$N$33:$N$52,1),0)</f>
        <v>1</v>
      </c>
      <c r="Q51" s="49"/>
      <c r="R51" s="47"/>
      <c r="S51" s="47"/>
    </row>
    <row r="52" spans="1:19" ht="15.75" hidden="1" thickBot="1" x14ac:dyDescent="0.3">
      <c r="A52" s="19" t="s">
        <v>18</v>
      </c>
      <c r="B52" s="84"/>
      <c r="C52" s="85"/>
      <c r="D52" s="84"/>
      <c r="E52" s="87"/>
      <c r="F52" s="88">
        <f t="shared" si="40"/>
        <v>0</v>
      </c>
      <c r="G52" s="87">
        <f t="shared" si="36"/>
        <v>1</v>
      </c>
      <c r="H52" s="89">
        <f t="shared" si="41"/>
        <v>0</v>
      </c>
      <c r="I52" s="87">
        <f t="shared" si="37"/>
        <v>1</v>
      </c>
      <c r="J52" s="84">
        <f t="shared" si="42"/>
        <v>0</v>
      </c>
      <c r="K52" s="87">
        <f t="shared" si="38"/>
        <v>1</v>
      </c>
      <c r="L52" s="84">
        <f t="shared" si="43"/>
        <v>0</v>
      </c>
      <c r="M52" s="91">
        <f t="shared" si="39"/>
        <v>1</v>
      </c>
      <c r="N52" s="94">
        <f>VLOOKUP(A52,$A$5:$O$27,14,0)</f>
        <v>0</v>
      </c>
      <c r="O52" s="95">
        <f>IFERROR(_xlfn.RANK.EQ(N52,$N$33:$N$52,1),0)</f>
        <v>1</v>
      </c>
      <c r="S52" s="47"/>
    </row>
    <row r="53" spans="1:19" hidden="1" x14ac:dyDescent="0.25">
      <c r="O53" s="47"/>
      <c r="P53" s="47"/>
      <c r="Q53" s="54"/>
      <c r="R53" s="49"/>
      <c r="S53" s="47"/>
    </row>
    <row r="54" spans="1:19" hidden="1" x14ac:dyDescent="0.25">
      <c r="O54" s="47"/>
      <c r="P54" s="47"/>
      <c r="Q54" s="52"/>
      <c r="R54" s="49"/>
      <c r="S54" s="47"/>
    </row>
    <row r="55" spans="1:19" hidden="1" x14ac:dyDescent="0.25">
      <c r="B55" s="15"/>
      <c r="D55" s="15"/>
      <c r="F55" s="15">
        <v>2.5</v>
      </c>
      <c r="H55" s="15">
        <v>2.5</v>
      </c>
      <c r="J55" s="15">
        <v>2.5</v>
      </c>
      <c r="L55" s="15">
        <v>2.5</v>
      </c>
      <c r="N55" s="15"/>
      <c r="O55" s="47"/>
      <c r="P55" s="47"/>
      <c r="Q55" s="52"/>
      <c r="R55" s="48"/>
      <c r="S55" s="47"/>
    </row>
    <row r="56" spans="1:19" hidden="1" x14ac:dyDescent="0.25">
      <c r="O56" s="47"/>
      <c r="P56" s="47"/>
      <c r="Q56" s="52"/>
      <c r="R56" s="48"/>
      <c r="S56" s="47"/>
    </row>
    <row r="57" spans="1:19" hidden="1" x14ac:dyDescent="0.25">
      <c r="B57" s="96"/>
      <c r="D57" s="96"/>
      <c r="F57" s="96">
        <f>F55*100</f>
        <v>250</v>
      </c>
      <c r="H57" s="96">
        <f>H55*100</f>
        <v>250</v>
      </c>
      <c r="J57" s="96">
        <f>J55*100</f>
        <v>250</v>
      </c>
      <c r="L57" s="96">
        <f>L55*100</f>
        <v>250</v>
      </c>
      <c r="O57" s="47"/>
      <c r="P57" s="47"/>
      <c r="Q57" s="52"/>
      <c r="R57" s="49"/>
      <c r="S57" s="47"/>
    </row>
    <row r="58" spans="1:19" x14ac:dyDescent="0.25">
      <c r="B58" s="108"/>
      <c r="C58" s="102"/>
      <c r="D58" s="104"/>
      <c r="E58" s="103"/>
      <c r="H58" s="107"/>
    </row>
    <row r="59" spans="1:19" x14ac:dyDescent="0.25">
      <c r="B59" s="102"/>
      <c r="C59" s="1"/>
      <c r="D59" s="1"/>
      <c r="E59" s="1"/>
    </row>
    <row r="60" spans="1:19" x14ac:dyDescent="0.25">
      <c r="A60" s="71"/>
      <c r="B60" s="72"/>
      <c r="C60"/>
      <c r="E60"/>
      <c r="F60"/>
      <c r="G60"/>
      <c r="H60"/>
      <c r="I60"/>
    </row>
    <row r="61" spans="1:19" x14ac:dyDescent="0.25">
      <c r="A61" s="71"/>
      <c r="B61" s="72"/>
      <c r="C61"/>
      <c r="E61"/>
      <c r="F61"/>
      <c r="G61"/>
      <c r="H61"/>
      <c r="I61"/>
    </row>
    <row r="62" spans="1:19" x14ac:dyDescent="0.25">
      <c r="A62" s="71"/>
      <c r="B62" s="72"/>
      <c r="C62"/>
      <c r="E62"/>
      <c r="F62"/>
      <c r="G62"/>
      <c r="H62"/>
      <c r="I62"/>
    </row>
    <row r="63" spans="1:19" x14ac:dyDescent="0.25">
      <c r="A63" s="71"/>
      <c r="B63" s="72"/>
      <c r="C63"/>
      <c r="E63"/>
      <c r="F63"/>
      <c r="G63"/>
      <c r="H63"/>
      <c r="I63"/>
    </row>
    <row r="65" spans="1:9" x14ac:dyDescent="0.25">
      <c r="A65" s="71"/>
      <c r="B65" s="72"/>
      <c r="C65"/>
      <c r="E65"/>
      <c r="F65"/>
      <c r="G65"/>
      <c r="H65"/>
      <c r="I65"/>
    </row>
    <row r="66" spans="1:9" x14ac:dyDescent="0.25">
      <c r="A66" s="71"/>
      <c r="B66" s="72"/>
      <c r="C66"/>
      <c r="E66"/>
      <c r="F66"/>
      <c r="G66"/>
      <c r="H66"/>
      <c r="I66"/>
    </row>
    <row r="67" spans="1:9" x14ac:dyDescent="0.25">
      <c r="A67" s="71"/>
      <c r="B67" s="72"/>
      <c r="C67"/>
      <c r="E67"/>
      <c r="F67"/>
      <c r="G67"/>
      <c r="H67"/>
      <c r="I67"/>
    </row>
    <row r="68" spans="1:9" x14ac:dyDescent="0.25">
      <c r="A68" s="71"/>
      <c r="B68" s="72"/>
      <c r="C68"/>
      <c r="E68"/>
      <c r="F68"/>
      <c r="G68"/>
      <c r="H68"/>
      <c r="I68"/>
    </row>
    <row r="69" spans="1:9" x14ac:dyDescent="0.25">
      <c r="A69" s="71"/>
      <c r="B69" s="72"/>
      <c r="C69"/>
      <c r="E69"/>
      <c r="F69"/>
      <c r="G69"/>
      <c r="H69"/>
      <c r="I69"/>
    </row>
    <row r="70" spans="1:9" x14ac:dyDescent="0.25">
      <c r="A70" s="71"/>
      <c r="B70" s="72"/>
      <c r="C70"/>
      <c r="E70"/>
      <c r="F70"/>
      <c r="G70"/>
      <c r="H70"/>
      <c r="I70"/>
    </row>
    <row r="71" spans="1:9" x14ac:dyDescent="0.25">
      <c r="A71" s="71"/>
      <c r="B71" s="72"/>
      <c r="C71"/>
      <c r="E71"/>
      <c r="F71"/>
      <c r="G71"/>
      <c r="H71"/>
      <c r="I71"/>
    </row>
    <row r="72" spans="1:9" x14ac:dyDescent="0.25">
      <c r="A72" s="71"/>
      <c r="B72" s="72"/>
      <c r="C72"/>
      <c r="E72"/>
      <c r="F72"/>
      <c r="G72"/>
      <c r="H72"/>
      <c r="I72"/>
    </row>
    <row r="73" spans="1:9" x14ac:dyDescent="0.25">
      <c r="A73" s="71"/>
      <c r="B73" s="73"/>
      <c r="C73"/>
      <c r="E73"/>
      <c r="F73"/>
      <c r="G73"/>
      <c r="H73"/>
      <c r="I73"/>
    </row>
    <row r="74" spans="1:9" x14ac:dyDescent="0.25">
      <c r="A74" s="71"/>
      <c r="B74" s="72"/>
      <c r="C74"/>
      <c r="E74"/>
      <c r="F74"/>
      <c r="G74"/>
      <c r="H74"/>
      <c r="I74"/>
    </row>
    <row r="75" spans="1:9" x14ac:dyDescent="0.25">
      <c r="A75" s="71"/>
      <c r="B75" s="73"/>
      <c r="C75"/>
      <c r="E75"/>
      <c r="F75"/>
      <c r="G75"/>
      <c r="H75"/>
      <c r="I75"/>
    </row>
    <row r="76" spans="1:9" x14ac:dyDescent="0.25">
      <c r="A76" s="71"/>
      <c r="B76" s="72"/>
      <c r="C76"/>
      <c r="E76"/>
      <c r="F76"/>
      <c r="G76"/>
      <c r="H76"/>
      <c r="I76"/>
    </row>
    <row r="77" spans="1:9" x14ac:dyDescent="0.25">
      <c r="A77" s="73"/>
      <c r="B77" s="72"/>
      <c r="C77"/>
      <c r="E77"/>
      <c r="F77"/>
      <c r="G77"/>
      <c r="H77"/>
      <c r="I77"/>
    </row>
  </sheetData>
  <sortState xmlns:xlrd2="http://schemas.microsoft.com/office/spreadsheetml/2017/richdata2" ref="A22:M27">
    <sortCondition ref="B22:B27"/>
  </sortState>
  <mergeCells count="23">
    <mergeCell ref="L31:M31"/>
    <mergeCell ref="A5:A6"/>
    <mergeCell ref="B31:C31"/>
    <mergeCell ref="D31:E31"/>
    <mergeCell ref="F31:G31"/>
    <mergeCell ref="H31:I31"/>
    <mergeCell ref="J31:K31"/>
    <mergeCell ref="F5:O5"/>
    <mergeCell ref="F30:O30"/>
    <mergeCell ref="L6:M6"/>
    <mergeCell ref="N6:O6"/>
    <mergeCell ref="N31:O31"/>
    <mergeCell ref="B30:E30"/>
    <mergeCell ref="A30:A31"/>
    <mergeCell ref="B1:J1"/>
    <mergeCell ref="B2:J2"/>
    <mergeCell ref="D3:J3"/>
    <mergeCell ref="B5:E5"/>
    <mergeCell ref="B6:C6"/>
    <mergeCell ref="D6:E6"/>
    <mergeCell ref="F6:G6"/>
    <mergeCell ref="J6:K6"/>
    <mergeCell ref="H6:I6"/>
  </mergeCells>
  <pageMargins left="0.70866141732283472" right="0.70866141732283472" top="0.35433070866141736" bottom="0.35433070866141736" header="0" footer="0"/>
  <pageSetup scale="46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52C3-6ED9-4D5E-8D87-BFD12DA69C04}">
  <dimension ref="B3:I6"/>
  <sheetViews>
    <sheetView workbookViewId="0">
      <selection activeCell="B16" sqref="B16"/>
    </sheetView>
  </sheetViews>
  <sheetFormatPr baseColWidth="10" defaultRowHeight="15" x14ac:dyDescent="0.25"/>
  <cols>
    <col min="2" max="2" width="23.28515625" bestFit="1" customWidth="1"/>
    <col min="3" max="3" width="18.5703125" customWidth="1"/>
    <col min="4" max="4" width="16.7109375" customWidth="1"/>
    <col min="5" max="5" width="17.42578125" customWidth="1"/>
    <col min="6" max="6" width="15.5703125" customWidth="1"/>
    <col min="7" max="7" width="17.7109375" customWidth="1"/>
    <col min="8" max="8" width="19.85546875" customWidth="1"/>
    <col min="9" max="9" width="20" customWidth="1"/>
  </cols>
  <sheetData>
    <row r="3" spans="2:9" x14ac:dyDescent="0.25">
      <c r="B3" s="113" t="s">
        <v>65</v>
      </c>
      <c r="C3" s="113" t="s">
        <v>5</v>
      </c>
      <c r="D3" s="113" t="s">
        <v>6</v>
      </c>
      <c r="E3" s="113" t="s">
        <v>7</v>
      </c>
      <c r="F3" s="113" t="s">
        <v>45</v>
      </c>
      <c r="G3" s="113" t="s">
        <v>8</v>
      </c>
      <c r="H3" s="113" t="s">
        <v>46</v>
      </c>
      <c r="I3" s="113" t="s">
        <v>48</v>
      </c>
    </row>
    <row r="4" spans="2:9" x14ac:dyDescent="0.25">
      <c r="B4" s="109" t="s">
        <v>66</v>
      </c>
      <c r="C4" s="110">
        <f>AVERAGE('Cartera Créditos - E'!B9:B19)</f>
        <v>15.406666666666666</v>
      </c>
      <c r="D4" s="110">
        <f>AVERAGE('Cartera Créditos - E'!D9:D19)</f>
        <v>16.387777777777778</v>
      </c>
      <c r="E4" s="110">
        <f>AVERAGE('Cartera Créditos - E'!F9:F19)</f>
        <v>23.662727272727274</v>
      </c>
      <c r="F4" s="110">
        <f>AVERAGE('Cartera Créditos - E'!H9:H19)</f>
        <v>20.178749999999997</v>
      </c>
      <c r="G4" s="110">
        <f>AVERAGE('Cartera Créditos - E'!J9:J19)</f>
        <v>34.041818181818179</v>
      </c>
      <c r="H4" s="110">
        <f>AVERAGE('Cartera Créditos - E'!L9:L19)</f>
        <v>21.604444444444443</v>
      </c>
      <c r="I4" s="110">
        <f>AVERAGE('Cartera Créditos - E'!N9:N19)</f>
        <v>31.514749999999996</v>
      </c>
    </row>
    <row r="5" spans="2:9" x14ac:dyDescent="0.25">
      <c r="B5" s="109" t="s">
        <v>55</v>
      </c>
      <c r="C5" s="110">
        <f>AVERAGE('Cartera Créditos - E'!B22:B27)</f>
        <v>18.73</v>
      </c>
      <c r="D5" s="110">
        <f>AVERAGE('Cartera Créditos - E'!D22:D27)</f>
        <v>20.777500000000003</v>
      </c>
      <c r="E5" s="110">
        <f>AVERAGE('Cartera Créditos - E'!F22:F27)</f>
        <v>26.4725</v>
      </c>
      <c r="F5" s="110">
        <f>AVERAGE('Cartera Créditos - E'!H22:H27)</f>
        <v>25.33</v>
      </c>
      <c r="G5" s="110">
        <f>AVERAGE('Cartera Créditos - E'!J22:J27)</f>
        <v>28</v>
      </c>
      <c r="H5" s="110">
        <f>AVERAGE('Cartera Créditos - E'!L22:L27)</f>
        <v>23.8</v>
      </c>
      <c r="I5" s="110">
        <f>AVERAGE('Cartera Créditos - E'!N22:N27)</f>
        <v>29.59</v>
      </c>
    </row>
    <row r="6" spans="2:9" x14ac:dyDescent="0.25">
      <c r="B6" s="111" t="s">
        <v>36</v>
      </c>
      <c r="C6" s="112">
        <v>14.15</v>
      </c>
      <c r="D6" s="112">
        <v>16.96</v>
      </c>
      <c r="E6" s="112">
        <v>28.03</v>
      </c>
      <c r="F6" s="112">
        <v>18.27</v>
      </c>
      <c r="G6" s="112">
        <v>38.19</v>
      </c>
      <c r="H6" s="112">
        <v>19.52</v>
      </c>
      <c r="I6" s="112">
        <v>38.19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03ED-7528-4B38-BA5B-C5D9013A4816}">
  <sheetPr>
    <pageSetUpPr fitToPage="1"/>
  </sheetPr>
  <dimension ref="A1:L39"/>
  <sheetViews>
    <sheetView showGridLines="0" topLeftCell="A4" zoomScale="87" zoomScaleNormal="87" workbookViewId="0">
      <selection activeCell="G42" sqref="G42"/>
    </sheetView>
  </sheetViews>
  <sheetFormatPr baseColWidth="10" defaultRowHeight="15" x14ac:dyDescent="0.25"/>
  <cols>
    <col min="1" max="1" width="36.7109375" customWidth="1"/>
    <col min="2" max="2" width="12" customWidth="1"/>
    <col min="3" max="3" width="9" style="4" customWidth="1"/>
    <col min="4" max="4" width="15" customWidth="1"/>
    <col min="5" max="5" width="9" style="3" customWidth="1"/>
    <col min="6" max="7" width="14.140625" style="1" customWidth="1"/>
    <col min="8" max="9" width="14.42578125" customWidth="1"/>
    <col min="12" max="12" width="21.140625" customWidth="1"/>
    <col min="13" max="13" width="14.42578125" customWidth="1"/>
    <col min="14" max="14" width="18.42578125" customWidth="1"/>
    <col min="15" max="15" width="17.7109375" customWidth="1"/>
  </cols>
  <sheetData>
    <row r="1" spans="1:12" x14ac:dyDescent="0.25">
      <c r="B1" s="142" t="s">
        <v>0</v>
      </c>
      <c r="C1" s="142"/>
      <c r="D1" s="142"/>
      <c r="E1" s="142"/>
      <c r="F1" s="142"/>
      <c r="G1" s="142"/>
      <c r="H1" s="142"/>
      <c r="I1" s="6"/>
    </row>
    <row r="2" spans="1:12" x14ac:dyDescent="0.25">
      <c r="B2" s="142" t="s">
        <v>1</v>
      </c>
      <c r="C2" s="142"/>
      <c r="D2" s="142"/>
      <c r="E2" s="142"/>
      <c r="F2" s="142"/>
      <c r="G2" s="142"/>
      <c r="H2" s="142"/>
      <c r="I2" s="6"/>
    </row>
    <row r="3" spans="1:12" ht="12.75" customHeight="1" x14ac:dyDescent="0.25">
      <c r="D3" s="151">
        <v>44743</v>
      </c>
      <c r="E3" s="152"/>
      <c r="F3" s="152"/>
      <c r="G3" s="152"/>
      <c r="H3" s="152"/>
      <c r="I3" s="7"/>
    </row>
    <row r="4" spans="1:12" ht="12.75" customHeight="1" thickBot="1" x14ac:dyDescent="0.3">
      <c r="B4" s="8" t="s">
        <v>21</v>
      </c>
      <c r="C4" s="9"/>
      <c r="D4" s="10" t="s">
        <v>22</v>
      </c>
      <c r="E4" s="5">
        <v>7</v>
      </c>
      <c r="F4" s="2">
        <v>14</v>
      </c>
      <c r="G4" s="2"/>
      <c r="H4" s="2">
        <v>17</v>
      </c>
      <c r="I4" s="2"/>
    </row>
    <row r="5" spans="1:12" ht="15.75" thickBot="1" x14ac:dyDescent="0.3">
      <c r="A5" s="153" t="s">
        <v>2</v>
      </c>
      <c r="B5" s="148" t="s">
        <v>3</v>
      </c>
      <c r="C5" s="149"/>
      <c r="D5" s="149"/>
      <c r="E5" s="150"/>
      <c r="F5" s="136" t="s">
        <v>4</v>
      </c>
      <c r="G5" s="145"/>
      <c r="H5" s="145"/>
      <c r="I5" s="137"/>
    </row>
    <row r="6" spans="1:12" ht="15.75" thickBot="1" x14ac:dyDescent="0.3">
      <c r="A6" s="154"/>
      <c r="B6" s="148" t="s">
        <v>5</v>
      </c>
      <c r="C6" s="150"/>
      <c r="D6" s="155" t="s">
        <v>6</v>
      </c>
      <c r="E6" s="156"/>
      <c r="F6" s="155" t="s">
        <v>7</v>
      </c>
      <c r="G6" s="156"/>
      <c r="H6" s="136" t="s">
        <v>8</v>
      </c>
      <c r="I6" s="137"/>
      <c r="J6" t="s">
        <v>37</v>
      </c>
      <c r="K6" t="s">
        <v>37</v>
      </c>
      <c r="L6" t="s">
        <v>37</v>
      </c>
    </row>
    <row r="7" spans="1:12" ht="15.75" thickBot="1" x14ac:dyDescent="0.3">
      <c r="A7" s="154"/>
      <c r="B7" s="33" t="s">
        <v>40</v>
      </c>
      <c r="C7" s="34" t="s">
        <v>41</v>
      </c>
      <c r="D7" s="33" t="s">
        <v>40</v>
      </c>
      <c r="E7" s="34" t="s">
        <v>41</v>
      </c>
      <c r="F7" s="33" t="s">
        <v>40</v>
      </c>
      <c r="G7" s="34" t="s">
        <v>41</v>
      </c>
      <c r="H7" s="33" t="s">
        <v>40</v>
      </c>
      <c r="I7" s="34" t="s">
        <v>41</v>
      </c>
    </row>
    <row r="8" spans="1:12" ht="15.75" thickBot="1" x14ac:dyDescent="0.3">
      <c r="A8" s="36" t="s">
        <v>36</v>
      </c>
      <c r="B8" s="37">
        <f>M31*100</f>
        <v>0</v>
      </c>
      <c r="C8" s="38">
        <f>IFERROR(_xlfn.RANK.EQ(B8,$B$8:$B$20,1),0)</f>
        <v>1</v>
      </c>
      <c r="D8" s="37">
        <v>11.6</v>
      </c>
      <c r="E8" s="38">
        <f t="shared" ref="E8:E20" si="0">IFERROR(_xlfn.RANK.EQ(D8,$D$8:$D$20,1),0)</f>
        <v>2</v>
      </c>
      <c r="F8" s="39">
        <f>(19.64)</f>
        <v>19.64</v>
      </c>
      <c r="G8" s="38">
        <f t="shared" ref="G8:G20" si="1">IFERROR(_xlfn.RANK.EQ(F8,$F$8:$F$20,1),0)</f>
        <v>7</v>
      </c>
      <c r="H8" s="37">
        <f>22.03</f>
        <v>22.03</v>
      </c>
      <c r="I8" s="38">
        <f t="shared" ref="I8:I20" si="2">IFERROR(_xlfn.RANK.EQ(H8,$H$8:$H$20,1),0)</f>
        <v>1</v>
      </c>
      <c r="J8" t="s">
        <v>42</v>
      </c>
    </row>
    <row r="9" spans="1:12" x14ac:dyDescent="0.25">
      <c r="A9" s="35" t="s">
        <v>12</v>
      </c>
      <c r="B9" s="22">
        <v>11.85</v>
      </c>
      <c r="C9" s="17">
        <f t="shared" ref="C9:C20" si="3">IFERROR(_xlfn.RANK.EQ(B9,$B$8:$B$20,1),0)</f>
        <v>2</v>
      </c>
      <c r="D9" s="22">
        <v>11.85</v>
      </c>
      <c r="E9" s="17">
        <f t="shared" si="0"/>
        <v>3</v>
      </c>
      <c r="F9" s="16">
        <v>17.04</v>
      </c>
      <c r="G9" s="17">
        <f t="shared" si="1"/>
        <v>4</v>
      </c>
      <c r="H9" s="22">
        <v>31.77</v>
      </c>
      <c r="I9" s="17">
        <f t="shared" si="2"/>
        <v>5</v>
      </c>
      <c r="J9" s="11" t="s">
        <v>32</v>
      </c>
    </row>
    <row r="10" spans="1:12" x14ac:dyDescent="0.25">
      <c r="A10" s="18" t="s">
        <v>14</v>
      </c>
      <c r="B10" s="22">
        <v>12</v>
      </c>
      <c r="C10" s="17">
        <f t="shared" si="3"/>
        <v>3</v>
      </c>
      <c r="D10" s="22">
        <v>12.8</v>
      </c>
      <c r="E10" s="17">
        <f t="shared" si="0"/>
        <v>7</v>
      </c>
      <c r="F10" s="16">
        <v>29.53</v>
      </c>
      <c r="G10" s="17">
        <f t="shared" si="1"/>
        <v>11</v>
      </c>
      <c r="H10" s="22">
        <v>31.68</v>
      </c>
      <c r="I10" s="17">
        <f t="shared" si="2"/>
        <v>4</v>
      </c>
      <c r="J10" s="11" t="s">
        <v>35</v>
      </c>
    </row>
    <row r="11" spans="1:12" ht="15" customHeight="1" x14ac:dyDescent="0.25">
      <c r="A11" s="18" t="s">
        <v>19</v>
      </c>
      <c r="B11" s="22">
        <v>12.01</v>
      </c>
      <c r="C11" s="17">
        <f t="shared" si="3"/>
        <v>4</v>
      </c>
      <c r="D11" s="22">
        <v>12.55</v>
      </c>
      <c r="E11" s="17">
        <f t="shared" si="0"/>
        <v>5</v>
      </c>
      <c r="F11" s="16">
        <v>19.559999999999999</v>
      </c>
      <c r="G11" s="17">
        <f t="shared" si="1"/>
        <v>6</v>
      </c>
      <c r="H11" s="22" t="s">
        <v>38</v>
      </c>
      <c r="I11" s="17">
        <f t="shared" si="2"/>
        <v>0</v>
      </c>
      <c r="J11" t="s">
        <v>26</v>
      </c>
    </row>
    <row r="12" spans="1:12" x14ac:dyDescent="0.25">
      <c r="A12" s="18" t="s">
        <v>11</v>
      </c>
      <c r="B12" s="22">
        <v>12.05</v>
      </c>
      <c r="C12" s="17">
        <f t="shared" si="3"/>
        <v>5</v>
      </c>
      <c r="D12" s="22">
        <v>11.35</v>
      </c>
      <c r="E12" s="17">
        <f t="shared" si="0"/>
        <v>1</v>
      </c>
      <c r="F12" s="16">
        <v>15.47</v>
      </c>
      <c r="G12" s="17">
        <f t="shared" si="1"/>
        <v>2</v>
      </c>
      <c r="H12" s="22">
        <v>31.85</v>
      </c>
      <c r="I12" s="17">
        <f t="shared" si="2"/>
        <v>6</v>
      </c>
      <c r="J12" t="s">
        <v>29</v>
      </c>
    </row>
    <row r="13" spans="1:12" x14ac:dyDescent="0.25">
      <c r="A13" s="18" t="s">
        <v>20</v>
      </c>
      <c r="B13" s="22">
        <v>13.25</v>
      </c>
      <c r="C13" s="17">
        <f t="shared" si="3"/>
        <v>6</v>
      </c>
      <c r="D13" s="22" t="s">
        <v>38</v>
      </c>
      <c r="E13" s="17">
        <f t="shared" si="0"/>
        <v>0</v>
      </c>
      <c r="F13" s="16">
        <v>15.25</v>
      </c>
      <c r="G13" s="17">
        <f t="shared" si="1"/>
        <v>1</v>
      </c>
      <c r="H13" s="22">
        <v>25.5</v>
      </c>
      <c r="I13" s="17">
        <f t="shared" si="2"/>
        <v>2</v>
      </c>
      <c r="J13" t="s">
        <v>30</v>
      </c>
      <c r="K13" s="11" t="s">
        <v>33</v>
      </c>
      <c r="L13" s="11" t="s">
        <v>34</v>
      </c>
    </row>
    <row r="14" spans="1:12" x14ac:dyDescent="0.25">
      <c r="A14" s="18" t="s">
        <v>13</v>
      </c>
      <c r="B14" s="22">
        <v>13.35</v>
      </c>
      <c r="C14" s="17">
        <f t="shared" si="3"/>
        <v>7</v>
      </c>
      <c r="D14" s="22">
        <v>12.4</v>
      </c>
      <c r="E14" s="17">
        <f t="shared" si="0"/>
        <v>4</v>
      </c>
      <c r="F14" s="16">
        <v>31.35</v>
      </c>
      <c r="G14" s="17">
        <f t="shared" si="1"/>
        <v>13</v>
      </c>
      <c r="H14" s="22">
        <v>29.84</v>
      </c>
      <c r="I14" s="17">
        <f t="shared" si="2"/>
        <v>3</v>
      </c>
      <c r="J14" t="s">
        <v>31</v>
      </c>
    </row>
    <row r="15" spans="1:12" x14ac:dyDescent="0.25">
      <c r="A15" s="18" t="s">
        <v>9</v>
      </c>
      <c r="B15" s="22">
        <v>13.76</v>
      </c>
      <c r="C15" s="17">
        <f t="shared" si="3"/>
        <v>8</v>
      </c>
      <c r="D15" s="22">
        <v>12.68</v>
      </c>
      <c r="E15" s="17">
        <f t="shared" si="0"/>
        <v>6</v>
      </c>
      <c r="F15" s="16">
        <v>25.95</v>
      </c>
      <c r="G15" s="17">
        <f t="shared" si="1"/>
        <v>10</v>
      </c>
      <c r="H15" s="22">
        <v>31.89</v>
      </c>
      <c r="I15" s="17">
        <f t="shared" si="2"/>
        <v>9</v>
      </c>
      <c r="J15" s="14" t="s">
        <v>39</v>
      </c>
    </row>
    <row r="16" spans="1:12" x14ac:dyDescent="0.25">
      <c r="A16" s="18" t="s">
        <v>16</v>
      </c>
      <c r="B16" s="22">
        <v>14.6</v>
      </c>
      <c r="C16" s="17">
        <f t="shared" si="3"/>
        <v>9</v>
      </c>
      <c r="D16" s="22">
        <v>14.7</v>
      </c>
      <c r="E16" s="17">
        <f t="shared" si="0"/>
        <v>9</v>
      </c>
      <c r="F16" s="16">
        <v>16.25</v>
      </c>
      <c r="G16" s="17">
        <f t="shared" si="1"/>
        <v>3</v>
      </c>
      <c r="H16" s="22">
        <v>31.87</v>
      </c>
      <c r="I16" s="17">
        <f t="shared" si="2"/>
        <v>8</v>
      </c>
      <c r="J16" t="s">
        <v>24</v>
      </c>
    </row>
    <row r="17" spans="1:10" x14ac:dyDescent="0.25">
      <c r="A17" s="18" t="s">
        <v>15</v>
      </c>
      <c r="B17" s="22">
        <v>15.12</v>
      </c>
      <c r="C17" s="17">
        <f t="shared" si="3"/>
        <v>10</v>
      </c>
      <c r="D17" s="22">
        <v>14.42</v>
      </c>
      <c r="E17" s="17">
        <f t="shared" si="0"/>
        <v>8</v>
      </c>
      <c r="F17" s="16">
        <v>24.56</v>
      </c>
      <c r="G17" s="17">
        <f t="shared" si="1"/>
        <v>9</v>
      </c>
      <c r="H17" s="22">
        <v>31.91</v>
      </c>
      <c r="I17" s="17">
        <f t="shared" si="2"/>
        <v>10</v>
      </c>
      <c r="J17" t="s">
        <v>25</v>
      </c>
    </row>
    <row r="18" spans="1:10" x14ac:dyDescent="0.25">
      <c r="A18" s="18" t="s">
        <v>17</v>
      </c>
      <c r="B18" s="22">
        <v>19.79</v>
      </c>
      <c r="C18" s="17">
        <f t="shared" si="3"/>
        <v>11</v>
      </c>
      <c r="D18" s="22">
        <v>21.49</v>
      </c>
      <c r="E18" s="17">
        <f t="shared" si="0"/>
        <v>10</v>
      </c>
      <c r="F18" s="16">
        <v>29.99</v>
      </c>
      <c r="G18" s="17">
        <f t="shared" si="1"/>
        <v>12</v>
      </c>
      <c r="H18" s="22" t="s">
        <v>38</v>
      </c>
      <c r="I18" s="17">
        <f t="shared" si="2"/>
        <v>0</v>
      </c>
      <c r="J18" t="s">
        <v>23</v>
      </c>
    </row>
    <row r="19" spans="1:10" x14ac:dyDescent="0.25">
      <c r="A19" s="18" t="s">
        <v>10</v>
      </c>
      <c r="B19" s="22" t="s">
        <v>38</v>
      </c>
      <c r="C19" s="17">
        <f t="shared" si="3"/>
        <v>0</v>
      </c>
      <c r="D19" s="22" t="s">
        <v>38</v>
      </c>
      <c r="E19" s="17">
        <f t="shared" si="0"/>
        <v>0</v>
      </c>
      <c r="F19" s="16">
        <v>21.99</v>
      </c>
      <c r="G19" s="17">
        <f t="shared" si="1"/>
        <v>8</v>
      </c>
      <c r="H19" s="22">
        <v>31.86</v>
      </c>
      <c r="I19" s="17">
        <f t="shared" si="2"/>
        <v>7</v>
      </c>
      <c r="J19" t="s">
        <v>27</v>
      </c>
    </row>
    <row r="20" spans="1:10" ht="15.75" thickBot="1" x14ac:dyDescent="0.3">
      <c r="A20" s="19" t="s">
        <v>18</v>
      </c>
      <c r="B20" s="23" t="s">
        <v>38</v>
      </c>
      <c r="C20" s="21">
        <f t="shared" si="3"/>
        <v>0</v>
      </c>
      <c r="D20" s="23" t="s">
        <v>38</v>
      </c>
      <c r="E20" s="21">
        <f t="shared" si="0"/>
        <v>0</v>
      </c>
      <c r="F20" s="20">
        <v>19.420000000000002</v>
      </c>
      <c r="G20" s="21">
        <f t="shared" si="1"/>
        <v>5</v>
      </c>
      <c r="H20" s="23" t="s">
        <v>38</v>
      </c>
      <c r="I20" s="21">
        <f t="shared" si="2"/>
        <v>0</v>
      </c>
      <c r="J20" t="s">
        <v>28</v>
      </c>
    </row>
    <row r="21" spans="1:10" ht="15.75" thickBot="1" x14ac:dyDescent="0.3"/>
    <row r="22" spans="1:10" ht="15.75" thickBot="1" x14ac:dyDescent="0.3">
      <c r="A22" s="146" t="s">
        <v>2</v>
      </c>
      <c r="B22" s="148" t="s">
        <v>3</v>
      </c>
      <c r="C22" s="149"/>
      <c r="D22" s="149"/>
      <c r="E22" s="150"/>
      <c r="F22" s="136" t="s">
        <v>4</v>
      </c>
      <c r="G22" s="145"/>
      <c r="H22" s="145"/>
      <c r="I22" s="137"/>
    </row>
    <row r="23" spans="1:10" ht="15.75" thickBot="1" x14ac:dyDescent="0.3">
      <c r="A23" s="157"/>
      <c r="B23" s="148" t="s">
        <v>5</v>
      </c>
      <c r="C23" s="150"/>
      <c r="D23" s="155" t="s">
        <v>6</v>
      </c>
      <c r="E23" s="156"/>
      <c r="F23" s="155" t="s">
        <v>7</v>
      </c>
      <c r="G23" s="156"/>
      <c r="H23" s="136" t="s">
        <v>8</v>
      </c>
      <c r="I23" s="137"/>
    </row>
    <row r="24" spans="1:10" ht="15.75" thickBot="1" x14ac:dyDescent="0.3">
      <c r="A24" s="147"/>
      <c r="B24" s="25" t="s">
        <v>40</v>
      </c>
      <c r="C24" s="26" t="s">
        <v>41</v>
      </c>
      <c r="D24" s="25" t="s">
        <v>40</v>
      </c>
      <c r="E24" s="26" t="s">
        <v>41</v>
      </c>
      <c r="F24" s="25" t="s">
        <v>40</v>
      </c>
      <c r="G24" s="26" t="s">
        <v>41</v>
      </c>
      <c r="H24" s="25" t="s">
        <v>40</v>
      </c>
      <c r="I24" s="26" t="s">
        <v>41</v>
      </c>
    </row>
    <row r="25" spans="1:10" ht="15.75" thickBot="1" x14ac:dyDescent="0.3">
      <c r="A25" s="24" t="s">
        <v>36</v>
      </c>
      <c r="B25" s="28">
        <f>B8+1</f>
        <v>1</v>
      </c>
      <c r="C25" s="13">
        <f>IFERROR(_xlfn.RANK.EQ(B25,$B$25:$B$37,1),0)</f>
        <v>1</v>
      </c>
      <c r="D25" s="28">
        <f>11.6+$D$39</f>
        <v>12.6</v>
      </c>
      <c r="E25" s="13">
        <f>IFERROR(_xlfn.RANK.EQ(D25,$D$25:$D$37,1),0)</f>
        <v>5</v>
      </c>
      <c r="F25" s="12">
        <f>(19.64+$F$39)</f>
        <v>21.14</v>
      </c>
      <c r="G25" s="13">
        <f>IFERROR(_xlfn.RANK.EQ(F25,$F$25:$F$37,1),0)</f>
        <v>7</v>
      </c>
      <c r="H25" s="28">
        <f>22.03+$H$39</f>
        <v>26.03</v>
      </c>
      <c r="I25" s="13">
        <f>IFERROR(_xlfn.RANK.EQ(H25,$H$25:$H$37,1),0)</f>
        <v>2</v>
      </c>
    </row>
    <row r="26" spans="1:10" x14ac:dyDescent="0.25">
      <c r="A26" s="32" t="s">
        <v>12</v>
      </c>
      <c r="B26" s="29">
        <v>11.85</v>
      </c>
      <c r="C26" s="30">
        <f t="shared" ref="C26:C37" si="4">IFERROR(_xlfn.RANK.EQ(B26,$B$25:$B$37,1),0)</f>
        <v>2</v>
      </c>
      <c r="D26" s="29">
        <v>11.85</v>
      </c>
      <c r="E26" s="30">
        <f t="shared" ref="E26:E37" si="5">IFERROR(_xlfn.RANK.EQ(D26,$D$25:$D$37,1),0)</f>
        <v>2</v>
      </c>
      <c r="F26" s="31">
        <v>17.04</v>
      </c>
      <c r="G26" s="30">
        <f t="shared" ref="G26:G37" si="6">IFERROR(_xlfn.RANK.EQ(F26,$F$25:$F$37,1),0)</f>
        <v>4</v>
      </c>
      <c r="H26" s="29">
        <v>31.77</v>
      </c>
      <c r="I26" s="30">
        <f t="shared" ref="I26:I37" si="7">IFERROR(_xlfn.RANK.EQ(H26,$H$25:$H$37,1),0)</f>
        <v>5</v>
      </c>
    </row>
    <row r="27" spans="1:10" x14ac:dyDescent="0.25">
      <c r="A27" s="18" t="s">
        <v>14</v>
      </c>
      <c r="B27" s="22">
        <v>12</v>
      </c>
      <c r="C27" s="17">
        <f t="shared" si="4"/>
        <v>3</v>
      </c>
      <c r="D27" s="22">
        <v>12.8</v>
      </c>
      <c r="E27" s="17">
        <f t="shared" si="5"/>
        <v>7</v>
      </c>
      <c r="F27" s="16">
        <v>29.53</v>
      </c>
      <c r="G27" s="17">
        <f t="shared" si="6"/>
        <v>11</v>
      </c>
      <c r="H27" s="22">
        <v>31.68</v>
      </c>
      <c r="I27" s="17">
        <f t="shared" si="7"/>
        <v>4</v>
      </c>
    </row>
    <row r="28" spans="1:10" x14ac:dyDescent="0.25">
      <c r="A28" s="18" t="s">
        <v>19</v>
      </c>
      <c r="B28" s="22">
        <v>12.01</v>
      </c>
      <c r="C28" s="17">
        <f t="shared" si="4"/>
        <v>4</v>
      </c>
      <c r="D28" s="22">
        <v>12.55</v>
      </c>
      <c r="E28" s="17">
        <f t="shared" si="5"/>
        <v>4</v>
      </c>
      <c r="F28" s="16">
        <v>19.559999999999999</v>
      </c>
      <c r="G28" s="17">
        <f t="shared" si="6"/>
        <v>6</v>
      </c>
      <c r="H28" s="22" t="s">
        <v>38</v>
      </c>
      <c r="I28" s="17">
        <f t="shared" si="7"/>
        <v>0</v>
      </c>
    </row>
    <row r="29" spans="1:10" x14ac:dyDescent="0.25">
      <c r="A29" s="18" t="s">
        <v>11</v>
      </c>
      <c r="B29" s="22">
        <v>12.05</v>
      </c>
      <c r="C29" s="17">
        <f t="shared" si="4"/>
        <v>5</v>
      </c>
      <c r="D29" s="22">
        <v>11.35</v>
      </c>
      <c r="E29" s="17">
        <f t="shared" si="5"/>
        <v>1</v>
      </c>
      <c r="F29" s="16">
        <v>15.47</v>
      </c>
      <c r="G29" s="17">
        <f t="shared" si="6"/>
        <v>2</v>
      </c>
      <c r="H29" s="22">
        <v>31.85</v>
      </c>
      <c r="I29" s="17">
        <f t="shared" si="7"/>
        <v>6</v>
      </c>
    </row>
    <row r="30" spans="1:10" x14ac:dyDescent="0.25">
      <c r="A30" s="18" t="s">
        <v>20</v>
      </c>
      <c r="B30" s="22">
        <v>13.25</v>
      </c>
      <c r="C30" s="17">
        <f t="shared" si="4"/>
        <v>6</v>
      </c>
      <c r="D30" s="22" t="s">
        <v>38</v>
      </c>
      <c r="E30" s="17">
        <f t="shared" si="5"/>
        <v>0</v>
      </c>
      <c r="F30" s="16">
        <v>15.25</v>
      </c>
      <c r="G30" s="17">
        <f t="shared" si="6"/>
        <v>1</v>
      </c>
      <c r="H30" s="22">
        <v>25.5</v>
      </c>
      <c r="I30" s="17">
        <f t="shared" si="7"/>
        <v>1</v>
      </c>
    </row>
    <row r="31" spans="1:10" x14ac:dyDescent="0.25">
      <c r="A31" s="18" t="s">
        <v>13</v>
      </c>
      <c r="B31" s="22">
        <v>13.35</v>
      </c>
      <c r="C31" s="17">
        <f t="shared" si="4"/>
        <v>7</v>
      </c>
      <c r="D31" s="22">
        <v>12.4</v>
      </c>
      <c r="E31" s="17">
        <f t="shared" si="5"/>
        <v>3</v>
      </c>
      <c r="F31" s="16">
        <v>31.35</v>
      </c>
      <c r="G31" s="17">
        <f t="shared" si="6"/>
        <v>13</v>
      </c>
      <c r="H31" s="22">
        <v>29.84</v>
      </c>
      <c r="I31" s="17">
        <f t="shared" si="7"/>
        <v>3</v>
      </c>
    </row>
    <row r="32" spans="1:10" x14ac:dyDescent="0.25">
      <c r="A32" s="18" t="s">
        <v>9</v>
      </c>
      <c r="B32" s="22">
        <v>13.76</v>
      </c>
      <c r="C32" s="17">
        <f t="shared" si="4"/>
        <v>8</v>
      </c>
      <c r="D32" s="22">
        <v>12.68</v>
      </c>
      <c r="E32" s="17">
        <f t="shared" si="5"/>
        <v>6</v>
      </c>
      <c r="F32" s="16">
        <v>25.95</v>
      </c>
      <c r="G32" s="17">
        <f t="shared" si="6"/>
        <v>10</v>
      </c>
      <c r="H32" s="22">
        <v>31.89</v>
      </c>
      <c r="I32" s="17">
        <f t="shared" si="7"/>
        <v>9</v>
      </c>
    </row>
    <row r="33" spans="1:9" x14ac:dyDescent="0.25">
      <c r="A33" s="18" t="s">
        <v>16</v>
      </c>
      <c r="B33" s="22">
        <v>14.6</v>
      </c>
      <c r="C33" s="17">
        <f t="shared" si="4"/>
        <v>9</v>
      </c>
      <c r="D33" s="22">
        <v>14.7</v>
      </c>
      <c r="E33" s="17">
        <f t="shared" si="5"/>
        <v>9</v>
      </c>
      <c r="F33" s="16">
        <v>16.25</v>
      </c>
      <c r="G33" s="17">
        <f t="shared" si="6"/>
        <v>3</v>
      </c>
      <c r="H33" s="22">
        <v>31.87</v>
      </c>
      <c r="I33" s="17">
        <f t="shared" si="7"/>
        <v>8</v>
      </c>
    </row>
    <row r="34" spans="1:9" x14ac:dyDescent="0.25">
      <c r="A34" s="18" t="s">
        <v>15</v>
      </c>
      <c r="B34" s="22">
        <v>15.12</v>
      </c>
      <c r="C34" s="17">
        <f t="shared" si="4"/>
        <v>10</v>
      </c>
      <c r="D34" s="22">
        <v>14.42</v>
      </c>
      <c r="E34" s="17">
        <f t="shared" si="5"/>
        <v>8</v>
      </c>
      <c r="F34" s="16">
        <v>24.56</v>
      </c>
      <c r="G34" s="17">
        <f t="shared" si="6"/>
        <v>9</v>
      </c>
      <c r="H34" s="22">
        <v>31.91</v>
      </c>
      <c r="I34" s="17">
        <f t="shared" si="7"/>
        <v>10</v>
      </c>
    </row>
    <row r="35" spans="1:9" x14ac:dyDescent="0.25">
      <c r="A35" s="18" t="s">
        <v>17</v>
      </c>
      <c r="B35" s="22">
        <v>19.79</v>
      </c>
      <c r="C35" s="17">
        <f t="shared" si="4"/>
        <v>11</v>
      </c>
      <c r="D35" s="16">
        <v>21.49</v>
      </c>
      <c r="E35" s="17">
        <f t="shared" si="5"/>
        <v>10</v>
      </c>
      <c r="F35" s="16">
        <v>29.99</v>
      </c>
      <c r="G35" s="17">
        <f t="shared" si="6"/>
        <v>12</v>
      </c>
      <c r="H35" s="22" t="s">
        <v>38</v>
      </c>
      <c r="I35" s="17">
        <f t="shared" si="7"/>
        <v>0</v>
      </c>
    </row>
    <row r="36" spans="1:9" x14ac:dyDescent="0.25">
      <c r="A36" s="18" t="s">
        <v>10</v>
      </c>
      <c r="B36" s="22" t="s">
        <v>38</v>
      </c>
      <c r="C36" s="17">
        <f t="shared" si="4"/>
        <v>0</v>
      </c>
      <c r="D36" s="22" t="s">
        <v>38</v>
      </c>
      <c r="E36" s="17">
        <f t="shared" si="5"/>
        <v>0</v>
      </c>
      <c r="F36" s="16">
        <v>21.99</v>
      </c>
      <c r="G36" s="17">
        <f t="shared" si="6"/>
        <v>8</v>
      </c>
      <c r="H36" s="22">
        <v>31.86</v>
      </c>
      <c r="I36" s="17">
        <f t="shared" si="7"/>
        <v>7</v>
      </c>
    </row>
    <row r="37" spans="1:9" ht="15.75" thickBot="1" x14ac:dyDescent="0.3">
      <c r="A37" s="19" t="s">
        <v>18</v>
      </c>
      <c r="B37" s="23" t="s">
        <v>38</v>
      </c>
      <c r="C37" s="21">
        <f t="shared" si="4"/>
        <v>0</v>
      </c>
      <c r="D37" s="23" t="s">
        <v>38</v>
      </c>
      <c r="E37" s="21">
        <f t="shared" si="5"/>
        <v>0</v>
      </c>
      <c r="F37" s="20">
        <v>19.420000000000002</v>
      </c>
      <c r="G37" s="21">
        <f t="shared" si="6"/>
        <v>5</v>
      </c>
      <c r="H37" s="23" t="s">
        <v>38</v>
      </c>
      <c r="I37" s="21">
        <f t="shared" si="7"/>
        <v>0</v>
      </c>
    </row>
    <row r="39" spans="1:9" hidden="1" x14ac:dyDescent="0.25">
      <c r="B39" s="15"/>
      <c r="D39" s="15">
        <v>1</v>
      </c>
      <c r="F39" s="15">
        <v>1.5</v>
      </c>
      <c r="H39" s="15">
        <v>4</v>
      </c>
    </row>
  </sheetData>
  <mergeCells count="17">
    <mergeCell ref="A22:A24"/>
    <mergeCell ref="B22:E22"/>
    <mergeCell ref="F22:I22"/>
    <mergeCell ref="B23:C23"/>
    <mergeCell ref="D23:E23"/>
    <mergeCell ref="F23:G23"/>
    <mergeCell ref="H23:I23"/>
    <mergeCell ref="B1:H1"/>
    <mergeCell ref="B2:H2"/>
    <mergeCell ref="D3:H3"/>
    <mergeCell ref="A5:A7"/>
    <mergeCell ref="B5:E5"/>
    <mergeCell ref="F5:I5"/>
    <mergeCell ref="B6:C6"/>
    <mergeCell ref="D6:E6"/>
    <mergeCell ref="F6:G6"/>
    <mergeCell ref="H6:I6"/>
  </mergeCells>
  <hyperlinks>
    <hyperlink ref="J9" r:id="rId1" xr:uid="{B9946203-8ACD-4D9E-A8F1-24BB9AE26C47}"/>
    <hyperlink ref="K13" r:id="rId2" xr:uid="{EBBC931D-403C-4F3F-BE1B-0651BCA4E07C}"/>
    <hyperlink ref="L13" r:id="rId3" xr:uid="{77E7370E-94AD-4306-9015-526E5A3B9655}"/>
    <hyperlink ref="J10" r:id="rId4" xr:uid="{81B516BD-4C0E-4AAC-AC43-C35841EADD57}"/>
    <hyperlink ref="J15" r:id="rId5" xr:uid="{18D031AC-1D72-4A62-BC40-BCAE6C457BBD}"/>
  </hyperlinks>
  <pageMargins left="0.70866141732283472" right="0.70866141732283472" top="0.35433070866141736" bottom="0.35433070866141736" header="0" footer="0"/>
  <pageSetup scale="46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Cartera Créditos - E (4)</vt:lpstr>
      <vt:lpstr>propuesta disminución</vt:lpstr>
      <vt:lpstr>Cartera Créditos - E</vt:lpstr>
      <vt:lpstr>Historico</vt:lpstr>
      <vt:lpstr>Cartera Créditos - 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Juan Andres Miranda Rojo</cp:lastModifiedBy>
  <dcterms:created xsi:type="dcterms:W3CDTF">2022-07-14T01:58:22Z</dcterms:created>
  <dcterms:modified xsi:type="dcterms:W3CDTF">2026-01-21T15:00:14Z</dcterms:modified>
</cp:coreProperties>
</file>