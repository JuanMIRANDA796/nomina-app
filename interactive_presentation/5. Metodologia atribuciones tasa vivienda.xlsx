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.gemini\antigravity\scratch\nomina_colombia\web\interactive_presentation\"/>
    </mc:Choice>
  </mc:AlternateContent>
  <xr:revisionPtr revIDLastSave="0" documentId="13_ncr:1_{2AD9595F-B344-49B6-A45E-BD466B9E4ADF}" xr6:coauthVersionLast="47" xr6:coauthVersionMax="47" xr10:uidLastSave="{00000000-0000-0000-0000-000000000000}"/>
  <bookViews>
    <workbookView xWindow="-120" yWindow="-120" windowWidth="20730" windowHeight="11040" activeTab="3" xr2:uid="{EBCD0170-28C1-4C94-9492-730D9CB64138}"/>
  </bookViews>
  <sheets>
    <sheet name="Gráfico1" sheetId="6" r:id="rId1"/>
    <sheet name="Gráfico2" sheetId="7" r:id="rId2"/>
    <sheet name="Hoja1" sheetId="1" r:id="rId3"/>
    <sheet name="Hoja2" sheetId="8" r:id="rId4"/>
    <sheet name="Metodología" sheetId="3" r:id="rId5"/>
    <sheet name="Promedio ciclos" sheetId="5" r:id="rId6"/>
    <sheet name="Datos recursos" sheetId="4" r:id="rId7"/>
    <sheet name="tpp" sheetId="2" r:id="rId8"/>
  </sheets>
  <externalReferences>
    <externalReference r:id="rId9"/>
    <externalReference r:id="rId10"/>
    <externalReference r:id="rId11"/>
  </externalReferences>
  <definedNames>
    <definedName name="_xlnm._FilterDatabase" localSheetId="2" hidden="1">Hoja1!$A$1:$F$293</definedName>
    <definedName name="BloombergHeader">'[1]Datos Bloomberg'!$2:$2</definedName>
    <definedName name="BloombergRef">'[1]Datos Bloomberg'!$A$2</definedName>
    <definedName name="BloombergTickers">'[1]Datos Bloomberg'!$A:$B</definedName>
    <definedName name="Bmg_ref">[2]Refinitiv_precios!#REF!</definedName>
    <definedName name="Bmg_ticker">[2]Refinitiv_precios!#REF!</definedName>
    <definedName name="Canasta">[1]Canasta!$B:$F</definedName>
    <definedName name="Dividendos">#REF!</definedName>
    <definedName name="PreciosObjetivo">'[1]Precio Objetivo'!$A:$N</definedName>
    <definedName name="Refinitiv">[2]Refinitiv_precios!#REF!</definedName>
    <definedName name="SAA">[1]SAA!$E:$G</definedName>
    <definedName name="TRNR_0472f342a99a4d8eb10ec59f17364d08_906_9" hidden="1">[3]PB!#REF!</definedName>
    <definedName name="TRNR_04ff9c51f12448568af2eccde5e853f9_920_9" hidden="1">[3]EV!#REF!</definedName>
    <definedName name="TRNR_08aabf8ae7f041fda3eca2ad688392b5_896_9" hidden="1">[3]PB!#REF!</definedName>
    <definedName name="TRNR_0a0865fe505c440298dd6582844d7273_896_9" hidden="1">[3]EV!#REF!</definedName>
    <definedName name="TRNR_0bdda5d415c34abd83c7e7915c248501_890_10" hidden="1">#REF!</definedName>
    <definedName name="TRNR_0c20f933bc944229a9a5dd01f63cf5f9_871_9" hidden="1">#REF!</definedName>
    <definedName name="TRNR_0f43108a0e5742d4b49b3faba6766af6_850_5" hidden="1">#REF!</definedName>
    <definedName name="TRNR_200d58382e42418b88db24befcb622b5_904_9" hidden="1">[3]PE!#REF!</definedName>
    <definedName name="TRNR_22072ac157084da89dec3523cc7cb162_918_10" hidden="1">#REF!</definedName>
    <definedName name="TRNR_24c519770be2492cbbd643ca551081fb_918_9" hidden="1">[3]PE!#REF!</definedName>
    <definedName name="TRNR_283d7aa343434f9a91952e536d638fa6_904_9" hidden="1">[3]PB!#REF!</definedName>
    <definedName name="TRNR_29dbc7ebdee0478f9ff9424286ab48ee_900_10" hidden="1">#REF!</definedName>
    <definedName name="TRNR_2fddc74def9b4eefa0b9dc64550629f5_906_10" hidden="1">#REF!</definedName>
    <definedName name="TRNR_326fb425738543b98e734e491408bc32_0_10" hidden="1">#REF!</definedName>
    <definedName name="TRNR_35adc15d1f3143568fe8280934735543_917_10" hidden="1">#REF!</definedName>
    <definedName name="TRNR_371d950860c74b2d841f35fe3fcacac8_908_9" hidden="1">[3]EV!#REF!</definedName>
    <definedName name="TRNR_3b14fb1e0ad9451c82b47500079af2e0_918_10" hidden="1">#REF!</definedName>
    <definedName name="TRNR_3b58e935f56d46799d66507288802398_908_9" hidden="1">[3]EV!#REF!</definedName>
    <definedName name="TRNR_3e2a07c6fac0464f8bfcb5203fc9ad4f_904_10" hidden="1">#REF!</definedName>
    <definedName name="TRNR_41ca457cd610487b91ea2d6a525fedd8_896_10" hidden="1">#REF!</definedName>
    <definedName name="TRNR_44bfdb6ade9747cd9c9b04333b98b747_920_9" hidden="1">[3]PB!#REF!</definedName>
    <definedName name="TRNR_4db932930e7c46719d8d4c0d611588c4_896_9" hidden="1">[3]PE!#REF!</definedName>
    <definedName name="TRNR_4ed46b5aa6c44fb08a2d7ca833f4a017_904_9" hidden="1" xml:space="preserve">  [3]EV!#REF!</definedName>
    <definedName name="TRNR_5141e5f9559e42bc8f6f9fe22bb3f1d8_904_9" hidden="1">[3]EV!#REF!</definedName>
    <definedName name="TRNR_5a2ba5e14fe344d1a1f121b2c4484d8d_910_9" hidden="1">[3]EV!#REF!</definedName>
    <definedName name="TRNR_60bd5be577ef4ee79e60807dc777ecbb_904_9" hidden="1">[3]PE!#REF!</definedName>
    <definedName name="TRNR_73486022317e4f72a4c3199fd4bf4092_904_10" hidden="1">#REF!</definedName>
    <definedName name="TRNR_78afb3098b6d4aecbe57e5757f7ffb37_908_9" hidden="1">[3]PB!#REF!</definedName>
    <definedName name="TRNR_7ec1640813584c338bef4944c07323f1_920_9" hidden="1">[3]PE!#REF!</definedName>
    <definedName name="TRNR_80998c4c54a445c3a80a4e34696d3b21_920_9" hidden="1">[3]PB!#REF!</definedName>
    <definedName name="TRNR_83112f7a605149ef841b5a2829c9854c_904_9" hidden="1">[3]PE!#REF!</definedName>
    <definedName name="TRNR_8a60b4ced48744028fa2560fceb4c791_872_9" hidden="1">#REF!</definedName>
    <definedName name="TRNR_925774243af84470be16c480b934c9cd_908_9" hidden="1">[3]PE!#REF!</definedName>
    <definedName name="TRNR_9332ae236df749eba7d8d34ed7ef6bfa_918_9" hidden="1">[3]PE!#REF!</definedName>
    <definedName name="TRNR_93de9a3ac04f41b98fad521c49a1870e_918_9" hidden="1">[3]EV!#REF!</definedName>
    <definedName name="TRNR_9603cf21d0254ce49c262a950191e5cd_920_9" hidden="1">[3]EV!#REF!</definedName>
    <definedName name="TRNR_9906c1e84328484cbbb6cbdb633f3d71_920_9" hidden="1">[3]PE!#REF!</definedName>
    <definedName name="TRNR_9e28580e2d4e4b8bb29316c60bac5581_872_9" hidden="1">[3]PE!#REF!</definedName>
    <definedName name="TRNR_9f2982d9080843558cd56d86ac806452_910_9" hidden="1">[3]PB!#REF!</definedName>
    <definedName name="TRNR_9f67f22066064b5ca2e6c05246ae00c4_904_9" hidden="1" xml:space="preserve">  [3]PE!#REF!</definedName>
    <definedName name="TRNR_a281bfb6f6844fffb177c7417587897a_910_9" hidden="1">[3]PE!#REF!</definedName>
    <definedName name="TRNR_a61c8b2edeb0495390313a20bb6b9c00_908_9" hidden="1">[3]PE!#REF!</definedName>
    <definedName name="TRNR_aa8c20e2fa4e44289d74ebc9e341544c_904_9" hidden="1" xml:space="preserve">  [3]PB!#REF!</definedName>
    <definedName name="TRNR_ae3f16d0a37e4ef592a94b44478a7923_910_10" hidden="1">#REF!</definedName>
    <definedName name="TRNR_b3e01be1be9f443d89f7c9d3aacabba8_920_10" hidden="1">#REF!</definedName>
    <definedName name="TRNR_c2db849986704d378df8e475e4ac7821_850_5" hidden="1">#REF!</definedName>
    <definedName name="TRNR_c5f749d0cf554e3c88f051b09925b23f_906_9" hidden="1">[3]PE!#REF!</definedName>
    <definedName name="TRNR_cd7ae0b537524b88bf1cb6bc50df5ceb_906_9" hidden="1">[3]EV!#REF!</definedName>
    <definedName name="TRNR_dc1aba8afb904e41b1ba2927297b9f33_908_10" hidden="1">#REF!</definedName>
    <definedName name="TRNR_e0c5d1fcf69d4540872753ec4813cc2d_906_10" hidden="1">#REF!</definedName>
    <definedName name="TRNR_e916618555d3432c958b940b980cc12e_2610_18" hidden="1">#REF!</definedName>
    <definedName name="TRNR_ed54a2fd6b174972ab25f8019e2b2f2c_908_9" hidden="1">[3]PB!#REF!</definedName>
    <definedName name="TRNR_eecad39b598b430b936d9889d12364eb_908_10" hidden="1">#REF!</definedName>
    <definedName name="TRNR_f03f7a43dd2b499989c08dd7fd58c693_850_12" hidden="1">#REF!</definedName>
    <definedName name="TRNR_f2ddb50a07a349558bc477b7c77c9211_920_10" hidden="1">#REF!</definedName>
    <definedName name="TRNR_f66adef3443342c188c0ceb714c42bbd_851_7" hidden="1">[3]PB!#REF!</definedName>
    <definedName name="TRNR_f931ade133eb491784d3ec666855ff24_918_9" hidden="1">[3]PB!#REF!</definedName>
    <definedName name="TRNR_fc4e841988234779b729e237e8602551_918_9" hidden="1">[3]PB!#REF!</definedName>
    <definedName name="TRNR_fc8f76322ab548d9aaaab81669f4ce6b_872_9" hidden="1">[3]PB!#REF!</definedName>
    <definedName name="TRNR_fd94f5ae6ecb475ab431a7917c552ca8_906_9" hidden="1">[3]PE!#REF!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11" i="3"/>
  <c r="F12" i="3"/>
  <c r="D11" i="3"/>
  <c r="D12" i="3"/>
  <c r="H11" i="4"/>
  <c r="K11" i="4" s="1"/>
  <c r="I11" i="4"/>
  <c r="J11" i="4"/>
  <c r="H12" i="4"/>
  <c r="I12" i="4"/>
  <c r="J12" i="4"/>
  <c r="K12" i="4"/>
  <c r="F11" i="4"/>
  <c r="F12" i="4"/>
  <c r="J11" i="2" l="1"/>
  <c r="N11" i="2" s="1"/>
  <c r="K11" i="2"/>
  <c r="L11" i="2"/>
  <c r="M11" i="2"/>
  <c r="J12" i="2"/>
  <c r="N12" i="2" s="1"/>
  <c r="K12" i="2"/>
  <c r="L12" i="2"/>
  <c r="M12" i="2"/>
  <c r="E21" i="5"/>
  <c r="F21" i="5" s="1"/>
  <c r="G21" i="5"/>
  <c r="E22" i="5"/>
  <c r="F22" i="5" s="1"/>
  <c r="G22" i="5"/>
  <c r="C21" i="5"/>
  <c r="C22" i="5"/>
  <c r="D21" i="5"/>
  <c r="D22" i="5"/>
  <c r="J12" i="1"/>
  <c r="G20" i="5"/>
  <c r="E20" i="5"/>
  <c r="F20" i="5" s="1"/>
  <c r="D20" i="5"/>
  <c r="C20" i="5"/>
  <c r="F10" i="4"/>
  <c r="J10" i="2"/>
  <c r="K10" i="2"/>
  <c r="L10" i="2"/>
  <c r="M10" i="2"/>
  <c r="N10" i="2"/>
  <c r="K10" i="4"/>
  <c r="D10" i="3" s="1"/>
  <c r="H10" i="4"/>
  <c r="I10" i="4"/>
  <c r="J10" i="4"/>
  <c r="G301" i="1"/>
  <c r="J9" i="2" l="1"/>
  <c r="K9" i="2"/>
  <c r="L9" i="2"/>
  <c r="M9" i="2"/>
  <c r="N9" i="2"/>
  <c r="F9" i="4" s="1"/>
  <c r="H9" i="4"/>
  <c r="I9" i="4"/>
  <c r="J9" i="4"/>
  <c r="K9" i="4" l="1"/>
  <c r="D9" i="3" s="1"/>
  <c r="F9" i="3" s="1"/>
  <c r="C19" i="5"/>
  <c r="D19" i="5"/>
  <c r="G19" i="5" s="1"/>
  <c r="E19" i="5"/>
  <c r="F19" i="5" s="1"/>
  <c r="G300" i="1"/>
  <c r="D17" i="5"/>
  <c r="G17" i="5" s="1"/>
  <c r="E17" i="5"/>
  <c r="F17" i="5" s="1"/>
  <c r="D18" i="5"/>
  <c r="G18" i="5" s="1"/>
  <c r="E18" i="5"/>
  <c r="F18" i="5" s="1"/>
  <c r="C16" i="5"/>
  <c r="C17" i="5"/>
  <c r="C18" i="5"/>
  <c r="C7" i="4"/>
  <c r="I7" i="4" s="1"/>
  <c r="C8" i="4"/>
  <c r="I8" i="4" s="1"/>
  <c r="H7" i="4" l="1"/>
  <c r="J7" i="4"/>
  <c r="H8" i="4"/>
  <c r="J8" i="4"/>
  <c r="F7" i="4"/>
  <c r="N8" i="2"/>
  <c r="F8" i="4" s="1"/>
  <c r="J8" i="2"/>
  <c r="K8" i="2"/>
  <c r="L8" i="2"/>
  <c r="M8" i="2"/>
  <c r="J7" i="2"/>
  <c r="N7" i="2" s="1"/>
  <c r="K7" i="2"/>
  <c r="L7" i="2"/>
  <c r="M7" i="2"/>
  <c r="K8" i="4" l="1"/>
  <c r="D8" i="3" s="1"/>
  <c r="F8" i="3" s="1"/>
  <c r="K7" i="4"/>
  <c r="D7" i="3" s="1"/>
  <c r="F7" i="3" s="1"/>
  <c r="G298" i="1"/>
  <c r="G299" i="1"/>
  <c r="C5" i="4"/>
  <c r="C6" i="4"/>
  <c r="I6" i="4" s="1"/>
  <c r="M5" i="2"/>
  <c r="M6" i="2"/>
  <c r="L6" i="2"/>
  <c r="K6" i="2"/>
  <c r="J6" i="2"/>
  <c r="N6" i="2" l="1"/>
  <c r="F6" i="4" s="1"/>
  <c r="H6" i="4"/>
  <c r="J6" i="4"/>
  <c r="K6" i="4" l="1"/>
  <c r="D6" i="3" s="1"/>
  <c r="F6" i="3" s="1"/>
  <c r="G296" i="1"/>
  <c r="G297" i="1"/>
  <c r="E16" i="5"/>
  <c r="D16" i="5"/>
  <c r="G16" i="5" s="1"/>
  <c r="H5" i="4"/>
  <c r="I5" i="4"/>
  <c r="J5" i="4"/>
  <c r="J5" i="2"/>
  <c r="N5" i="2" s="1"/>
  <c r="F5" i="4" s="1"/>
  <c r="K5" i="2"/>
  <c r="L5" i="2"/>
  <c r="G287" i="1"/>
  <c r="G288" i="1"/>
  <c r="G289" i="1"/>
  <c r="G290" i="1"/>
  <c r="G291" i="1"/>
  <c r="G292" i="1"/>
  <c r="G293" i="1"/>
  <c r="G294" i="1"/>
  <c r="G295" i="1"/>
  <c r="G285" i="1"/>
  <c r="G286" i="1"/>
  <c r="C4" i="4"/>
  <c r="H4" i="4" s="1"/>
  <c r="J4" i="2"/>
  <c r="N4" i="2" s="1"/>
  <c r="F4" i="4" s="1"/>
  <c r="K4" i="2"/>
  <c r="L4" i="2"/>
  <c r="M4" i="2"/>
  <c r="A4" i="2"/>
  <c r="A5" i="2" s="1"/>
  <c r="A4" i="4"/>
  <c r="A5" i="4" s="1"/>
  <c r="E14" i="5"/>
  <c r="F14" i="5" s="1"/>
  <c r="G14" i="5"/>
  <c r="E15" i="5"/>
  <c r="D14" i="5"/>
  <c r="D15" i="5"/>
  <c r="G15" i="5" s="1"/>
  <c r="C14" i="5"/>
  <c r="C15" i="5"/>
  <c r="A14" i="5"/>
  <c r="A15" i="5" s="1"/>
  <c r="A5" i="3"/>
  <c r="A4" i="3"/>
  <c r="D13" i="5"/>
  <c r="F3" i="4"/>
  <c r="C3" i="4"/>
  <c r="I3" i="4" s="1"/>
  <c r="C2" i="4"/>
  <c r="I2" i="4" s="1"/>
  <c r="N3" i="2"/>
  <c r="M3" i="2"/>
  <c r="L3" i="2"/>
  <c r="K3" i="2"/>
  <c r="J3" i="2"/>
  <c r="I4" i="4" l="1"/>
  <c r="J4" i="4"/>
  <c r="K5" i="4"/>
  <c r="D5" i="3" s="1"/>
  <c r="F5" i="3" s="1"/>
  <c r="F16" i="5"/>
  <c r="K4" i="4"/>
  <c r="D4" i="3" s="1"/>
  <c r="F4" i="3" s="1"/>
  <c r="F15" i="5"/>
  <c r="H2" i="4"/>
  <c r="J3" i="4"/>
  <c r="J2" i="4"/>
  <c r="H3" i="4"/>
  <c r="K3" i="4" s="1"/>
  <c r="C13" i="5"/>
  <c r="C12" i="5"/>
  <c r="D12" i="5"/>
  <c r="D3" i="5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J13" i="1"/>
  <c r="J17" i="1" s="1"/>
  <c r="F2" i="4"/>
  <c r="I12" i="1"/>
  <c r="K2" i="4" l="1"/>
  <c r="D2" i="3" s="1"/>
  <c r="F2" i="3" s="1"/>
  <c r="G13" i="5"/>
  <c r="D3" i="3"/>
  <c r="L17" i="1"/>
  <c r="K2" i="2"/>
  <c r="L2" i="2"/>
  <c r="M2" i="2"/>
  <c r="J2" i="2"/>
  <c r="F3" i="3" l="1"/>
  <c r="N2" i="2"/>
  <c r="N17" i="1"/>
  <c r="I3" i="1"/>
  <c r="I4" i="1"/>
  <c r="I5" i="1"/>
  <c r="I6" i="1"/>
  <c r="I7" i="1"/>
  <c r="I8" i="1"/>
  <c r="I9" i="1"/>
  <c r="I10" i="1"/>
  <c r="I11" i="1"/>
  <c r="I2" i="1"/>
  <c r="J4" i="1" l="1"/>
  <c r="M4" i="1" s="1"/>
  <c r="J5" i="1"/>
  <c r="M5" i="1" s="1"/>
  <c r="J6" i="1"/>
  <c r="M6" i="1" s="1"/>
  <c r="J7" i="1"/>
  <c r="M7" i="1" s="1"/>
  <c r="J8" i="1"/>
  <c r="M8" i="1" s="1"/>
  <c r="J9" i="1"/>
  <c r="M9" i="1" s="1"/>
  <c r="J10" i="1"/>
  <c r="M10" i="1" s="1"/>
  <c r="J11" i="1"/>
  <c r="M11" i="1" s="1"/>
  <c r="M12" i="1"/>
  <c r="J2" i="1"/>
  <c r="J3" i="1"/>
  <c r="M3" i="1" s="1"/>
  <c r="E11" i="5"/>
  <c r="E2" i="5" l="1"/>
  <c r="E10" i="5"/>
  <c r="E7" i="5"/>
  <c r="E4" i="5"/>
  <c r="E13" i="5"/>
  <c r="F13" i="5" s="1"/>
  <c r="E12" i="5"/>
  <c r="E3" i="5"/>
  <c r="E9" i="5"/>
  <c r="E6" i="5"/>
  <c r="E8" i="5"/>
  <c r="E5" i="5"/>
  <c r="K12" i="1"/>
  <c r="L12" i="1" s="1"/>
  <c r="M2" i="1"/>
  <c r="M13" i="1" s="1"/>
  <c r="K2" i="1"/>
  <c r="L2" i="1" s="1"/>
  <c r="K7" i="1"/>
  <c r="L7" i="1" s="1"/>
  <c r="K4" i="1"/>
  <c r="L4" i="1" s="1"/>
  <c r="K3" i="1"/>
  <c r="L3" i="1" s="1"/>
  <c r="K5" i="1"/>
  <c r="L5" i="1" s="1"/>
  <c r="K8" i="1"/>
  <c r="L8" i="1" s="1"/>
  <c r="K11" i="1"/>
  <c r="L11" i="1" s="1"/>
  <c r="K6" i="1"/>
  <c r="L6" i="1" s="1"/>
  <c r="K9" i="1"/>
  <c r="L9" i="1" s="1"/>
  <c r="K10" i="1"/>
  <c r="L10" i="1" s="1"/>
  <c r="K22" i="1" l="1"/>
  <c r="L22" i="1" l="1"/>
  <c r="G2" i="5" l="1"/>
  <c r="G7" i="5"/>
  <c r="F11" i="5"/>
  <c r="F5" i="5"/>
  <c r="G9" i="5"/>
  <c r="G11" i="5"/>
  <c r="F12" i="5"/>
  <c r="F4" i="5"/>
  <c r="G6" i="5"/>
  <c r="G5" i="5"/>
  <c r="G12" i="5"/>
  <c r="G4" i="5"/>
  <c r="G8" i="5"/>
  <c r="G10" i="5"/>
  <c r="G3" i="5"/>
  <c r="F6" i="5" s="1"/>
  <c r="F2" i="5"/>
  <c r="F9" i="5" l="1"/>
  <c r="F10" i="5"/>
  <c r="F8" i="5"/>
  <c r="F7" i="5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 Estefania Pérez Mesa</author>
  </authors>
  <commentList>
    <comment ref="M16" authorId="0" shapeId="0" xr:uid="{78DF3E74-FF2B-4FD1-82D5-FD5B574C62A1}">
      <text>
        <r>
          <rPr>
            <b/>
            <sz val="9"/>
            <color indexed="81"/>
            <rFont val="Tahoma"/>
            <family val="2"/>
          </rPr>
          <t>Daniela Estefania Pérez Mesa:</t>
        </r>
        <r>
          <rPr>
            <sz val="9"/>
            <color indexed="81"/>
            <rFont val="Tahoma"/>
            <family val="2"/>
          </rPr>
          <t xml:space="preserve">
AC: ATRIBUCIONES COMITÉ.
Spread comercial cartelera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 Estefania Pérez Mesa</author>
  </authors>
  <commentList>
    <comment ref="E1" authorId="0" shapeId="0" xr:uid="{2C680749-4B2E-4BCB-A50F-D177B5A5EC04}">
      <text>
        <r>
          <rPr>
            <b/>
            <sz val="9"/>
            <color indexed="81"/>
            <rFont val="Tahoma"/>
            <family val="2"/>
          </rPr>
          <t>Daniela Estefania Pérez Mesa:</t>
        </r>
        <r>
          <rPr>
            <sz val="9"/>
            <color indexed="81"/>
            <rFont val="Tahoma"/>
            <family val="2"/>
          </rPr>
          <t xml:space="preserve">
AC: ATRIBUCIONES COMITÉ.
Spread comercial cartelera</t>
        </r>
      </text>
    </comment>
  </commentList>
</comments>
</file>

<file path=xl/sharedStrings.xml><?xml version="1.0" encoding="utf-8"?>
<sst xmlns="http://schemas.openxmlformats.org/spreadsheetml/2006/main" count="398" uniqueCount="55">
  <si>
    <t xml:space="preserve"> Inflación anual % </t>
  </si>
  <si>
    <t>Fecha</t>
  </si>
  <si>
    <t>Año</t>
  </si>
  <si>
    <t>Tasa Repo</t>
  </si>
  <si>
    <t>Ciclos</t>
  </si>
  <si>
    <t>Ciclo 1</t>
  </si>
  <si>
    <t>Ciclo 2</t>
  </si>
  <si>
    <t>Ciclo 3</t>
  </si>
  <si>
    <t>Ciclo 4</t>
  </si>
  <si>
    <t>Ciclo 5</t>
  </si>
  <si>
    <t>Ciclo 6</t>
  </si>
  <si>
    <t>Ciclo 7</t>
  </si>
  <si>
    <t>Ciclo 8</t>
  </si>
  <si>
    <t>Ciclo 9</t>
  </si>
  <si>
    <t>Ciclo 10</t>
  </si>
  <si>
    <t>Ciclo 11</t>
  </si>
  <si>
    <t>Diferencia</t>
  </si>
  <si>
    <t xml:space="preserve">Tasa vivienda </t>
  </si>
  <si>
    <t xml:space="preserve"> Inflación anual</t>
  </si>
  <si>
    <t>Meses</t>
  </si>
  <si>
    <t>Prom IPC ultimo ciclo</t>
  </si>
  <si>
    <t xml:space="preserve">Tasa minima de colocación </t>
  </si>
  <si>
    <t>Tasa IPC+200PB</t>
  </si>
  <si>
    <t>Metodología 1</t>
  </si>
  <si>
    <t>Metodología 2</t>
  </si>
  <si>
    <t>Total tasa minímia en vivienda</t>
  </si>
  <si>
    <t>Prom IPC ciclos</t>
  </si>
  <si>
    <t>Anillo de seguridad</t>
  </si>
  <si>
    <t>Prima de fondeo PRESENTE</t>
  </si>
  <si>
    <t xml:space="preserve">Spread comercial AC </t>
  </si>
  <si>
    <t xml:space="preserve">Prom diferencial historico </t>
  </si>
  <si>
    <t>fecha</t>
  </si>
  <si>
    <t>CDAT</t>
  </si>
  <si>
    <t>Programados</t>
  </si>
  <si>
    <t xml:space="preserve">Permanente </t>
  </si>
  <si>
    <t>disponibles</t>
  </si>
  <si>
    <t>Tasa CDAT</t>
  </si>
  <si>
    <t>Tasa Programados</t>
  </si>
  <si>
    <t>Tasa disponibles</t>
  </si>
  <si>
    <t xml:space="preserve">TasaPermanente </t>
  </si>
  <si>
    <t>TPP</t>
  </si>
  <si>
    <t>deuda externos cta 23*</t>
  </si>
  <si>
    <t>Captación cta 21*</t>
  </si>
  <si>
    <t>% CDAT</t>
  </si>
  <si>
    <t>% Programados</t>
  </si>
  <si>
    <t>% disponibles</t>
  </si>
  <si>
    <t xml:space="preserve">% Permanente </t>
  </si>
  <si>
    <t>Costo deuda</t>
  </si>
  <si>
    <t>Costo captación</t>
  </si>
  <si>
    <t>WACC</t>
  </si>
  <si>
    <t>% deuda externa</t>
  </si>
  <si>
    <t>% captación</t>
  </si>
  <si>
    <t>% patrimonio</t>
  </si>
  <si>
    <t>TPP Recurso</t>
  </si>
  <si>
    <t>Recursos propios (Todo el patrimonio) cta 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</si>
</sst>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\ #,##0;[Red]\-&quot;$&quot;\ #,##0"/>
    <numFmt numFmtId="41" formatCode="_-* #,##0_-;\-* #,##0_-;_-* &quot;-&quot;_-;_-@_-"/>
    <numFmt numFmtId="43" formatCode="_-* #,##0.00_-;\-* #,##0.00_-;_-* &quot;-&quot;??_-;_-@_-"/>
    <numFmt numFmtId="164" formatCode="0#"/>
    <numFmt numFmtId="165" formatCode="0.0"/>
    <numFmt numFmtId="166" formatCode="_-* #,##0_-;\-* #,##0_-;_-* &quot;-&quot;??_-;_-@_-"/>
    <numFmt numFmtId="167" formatCode="0.000%"/>
    <numFmt numFmtId="168" formatCode="0.000"/>
    <numFmt numFmtId="169" formatCode="0.0000%"/>
    <numFmt numFmtId="170" formatCode="0.00000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 tint="0.34998626667073579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43" fontId="0" fillId="0" borderId="0" xfId="1" applyFont="1"/>
    <xf numFmtId="0" fontId="4" fillId="0" borderId="0" xfId="0" applyFont="1"/>
    <xf numFmtId="166" fontId="0" fillId="0" borderId="0" xfId="1" applyNumberFormat="1" applyFont="1"/>
    <xf numFmtId="166" fontId="0" fillId="0" borderId="0" xfId="0" applyNumberFormat="1"/>
    <xf numFmtId="43" fontId="4" fillId="2" borderId="0" xfId="0" applyNumberFormat="1" applyFont="1" applyFill="1"/>
    <xf numFmtId="9" fontId="0" fillId="0" borderId="0" xfId="2" applyFont="1"/>
    <xf numFmtId="10" fontId="0" fillId="0" borderId="0" xfId="0" applyNumberFormat="1"/>
    <xf numFmtId="10" fontId="4" fillId="3" borderId="0" xfId="0" applyNumberFormat="1" applyFont="1" applyFill="1"/>
    <xf numFmtId="0" fontId="4" fillId="0" borderId="7" xfId="0" applyFont="1" applyBorder="1"/>
    <xf numFmtId="43" fontId="0" fillId="0" borderId="7" xfId="0" applyNumberFormat="1" applyBorder="1"/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7" xfId="0" applyNumberFormat="1" applyBorder="1" applyAlignment="1">
      <alignment horizontal="center"/>
    </xf>
    <xf numFmtId="43" fontId="2" fillId="0" borderId="7" xfId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10" fontId="4" fillId="3" borderId="6" xfId="2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10" fontId="0" fillId="0" borderId="0" xfId="2" applyNumberFormat="1" applyFont="1"/>
    <xf numFmtId="0" fontId="0" fillId="0" borderId="0" xfId="0" applyAlignment="1">
      <alignment wrapText="1"/>
    </xf>
    <xf numFmtId="166" fontId="0" fillId="0" borderId="0" xfId="1" applyNumberFormat="1" applyFont="1" applyAlignment="1">
      <alignment vertical="center"/>
    </xf>
    <xf numFmtId="10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66" fontId="7" fillId="0" borderId="0" xfId="1" applyNumberFormat="1" applyFont="1"/>
    <xf numFmtId="10" fontId="1" fillId="0" borderId="0" xfId="2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168" fontId="0" fillId="0" borderId="0" xfId="0" applyNumberFormat="1"/>
    <xf numFmtId="6" fontId="0" fillId="0" borderId="0" xfId="0" applyNumberFormat="1"/>
    <xf numFmtId="166" fontId="0" fillId="0" borderId="0" xfId="7" applyNumberFormat="1" applyFont="1"/>
    <xf numFmtId="166" fontId="0" fillId="0" borderId="0" xfId="11" applyNumberFormat="1" applyFont="1"/>
    <xf numFmtId="170" fontId="4" fillId="0" borderId="0" xfId="2" applyNumberFormat="1" applyFont="1"/>
    <xf numFmtId="167" fontId="0" fillId="0" borderId="0" xfId="2" applyNumberFormat="1" applyFont="1"/>
    <xf numFmtId="169" fontId="0" fillId="0" borderId="0" xfId="2" applyNumberFormat="1" applyFont="1"/>
    <xf numFmtId="10" fontId="4" fillId="2" borderId="0" xfId="2" applyNumberFormat="1" applyFont="1" applyFill="1" applyBorder="1" applyAlignment="1">
      <alignment horizontal="center"/>
    </xf>
    <xf numFmtId="166" fontId="9" fillId="0" borderId="0" xfId="1" applyNumberFormat="1" applyFont="1"/>
    <xf numFmtId="0" fontId="0" fillId="0" borderId="0" xfId="0" applyAlignment="1">
      <alignment horizontal="center" vertical="center" wrapText="1"/>
    </xf>
  </cellXfs>
  <cellStyles count="14">
    <cellStyle name="Millares" xfId="1" builtinId="3"/>
    <cellStyle name="Millares [0] 2" xfId="5" xr:uid="{A1D0C61D-86A7-4500-B8D2-DF7491E074CA}"/>
    <cellStyle name="Millares [0] 2 2" xfId="9" xr:uid="{CE278536-CE78-42D2-BC9A-C81437FA137D}"/>
    <cellStyle name="Millares [0] 3" xfId="6" xr:uid="{93C75D16-C84B-4524-9B3D-B5D7D5DEF912}"/>
    <cellStyle name="Millares [0] 3 2" xfId="10" xr:uid="{BB69E5F6-B90C-4110-974E-D2AD75E20F1D}"/>
    <cellStyle name="Millares [0] 4" xfId="12" xr:uid="{8E67AC46-AB52-456A-BAD0-65BD6CC4BBB9}"/>
    <cellStyle name="Millares [0] 5" xfId="13" xr:uid="{C09DB64D-8417-4395-B14C-7757AFFDA999}"/>
    <cellStyle name="Millares 2" xfId="3" xr:uid="{FDCA1243-620C-4D26-AD38-8161077A6182}"/>
    <cellStyle name="Millares 3" xfId="7" xr:uid="{87BA6E98-853C-4239-B77B-93526013D784}"/>
    <cellStyle name="Millares 4" xfId="8" xr:uid="{903C1FE4-780D-4C32-92BC-159446471516}"/>
    <cellStyle name="Millares 5" xfId="11" xr:uid="{5E130381-C8E6-4E6E-96EF-747BA66BA622}"/>
    <cellStyle name="Normal" xfId="0" builtinId="0"/>
    <cellStyle name="Normal 17" xfId="4" xr:uid="{7CDC1319-6614-4D58-837F-6B57C2C6A78D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2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IPC mes vs</a:t>
            </a:r>
            <a:r>
              <a:rPr lang="es-CO" b="1" baseline="0"/>
              <a:t> Tasa Repo mes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 Inflación anual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Hoja1!$C$2:$C$304</c:f>
              <c:numCache>
                <c:formatCode>m/d/yyyy</c:formatCode>
                <c:ptCount val="303"/>
                <c:pt idx="0">
                  <c:v>36678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  <c:pt idx="172">
                  <c:v>41913</c:v>
                </c:pt>
                <c:pt idx="173">
                  <c:v>41944</c:v>
                </c:pt>
                <c:pt idx="174">
                  <c:v>41974</c:v>
                </c:pt>
                <c:pt idx="175">
                  <c:v>42005</c:v>
                </c:pt>
                <c:pt idx="176">
                  <c:v>42036</c:v>
                </c:pt>
                <c:pt idx="177">
                  <c:v>42064</c:v>
                </c:pt>
                <c:pt idx="178">
                  <c:v>42095</c:v>
                </c:pt>
                <c:pt idx="179">
                  <c:v>42125</c:v>
                </c:pt>
                <c:pt idx="180">
                  <c:v>42156</c:v>
                </c:pt>
                <c:pt idx="181">
                  <c:v>42186</c:v>
                </c:pt>
                <c:pt idx="182">
                  <c:v>42217</c:v>
                </c:pt>
                <c:pt idx="183">
                  <c:v>42248</c:v>
                </c:pt>
                <c:pt idx="184">
                  <c:v>42278</c:v>
                </c:pt>
                <c:pt idx="185">
                  <c:v>42309</c:v>
                </c:pt>
                <c:pt idx="186">
                  <c:v>42339</c:v>
                </c:pt>
                <c:pt idx="187">
                  <c:v>42370</c:v>
                </c:pt>
                <c:pt idx="188">
                  <c:v>42401</c:v>
                </c:pt>
                <c:pt idx="189">
                  <c:v>42430</c:v>
                </c:pt>
                <c:pt idx="190">
                  <c:v>42461</c:v>
                </c:pt>
                <c:pt idx="191">
                  <c:v>42491</c:v>
                </c:pt>
                <c:pt idx="192">
                  <c:v>42522</c:v>
                </c:pt>
                <c:pt idx="193">
                  <c:v>42552</c:v>
                </c:pt>
                <c:pt idx="194">
                  <c:v>42583</c:v>
                </c:pt>
                <c:pt idx="195">
                  <c:v>42614</c:v>
                </c:pt>
                <c:pt idx="196">
                  <c:v>42644</c:v>
                </c:pt>
                <c:pt idx="197">
                  <c:v>42675</c:v>
                </c:pt>
                <c:pt idx="198">
                  <c:v>42705</c:v>
                </c:pt>
                <c:pt idx="199">
                  <c:v>42736</c:v>
                </c:pt>
                <c:pt idx="200">
                  <c:v>42767</c:v>
                </c:pt>
                <c:pt idx="201">
                  <c:v>42795</c:v>
                </c:pt>
                <c:pt idx="202">
                  <c:v>42826</c:v>
                </c:pt>
                <c:pt idx="203">
                  <c:v>42856</c:v>
                </c:pt>
                <c:pt idx="204">
                  <c:v>42887</c:v>
                </c:pt>
                <c:pt idx="205">
                  <c:v>42917</c:v>
                </c:pt>
                <c:pt idx="206">
                  <c:v>42948</c:v>
                </c:pt>
                <c:pt idx="207">
                  <c:v>42979</c:v>
                </c:pt>
                <c:pt idx="208">
                  <c:v>43009</c:v>
                </c:pt>
                <c:pt idx="209">
                  <c:v>43040</c:v>
                </c:pt>
                <c:pt idx="210">
                  <c:v>43070</c:v>
                </c:pt>
                <c:pt idx="211">
                  <c:v>43101</c:v>
                </c:pt>
                <c:pt idx="212">
                  <c:v>43132</c:v>
                </c:pt>
                <c:pt idx="213">
                  <c:v>43160</c:v>
                </c:pt>
                <c:pt idx="214">
                  <c:v>43191</c:v>
                </c:pt>
                <c:pt idx="215">
                  <c:v>43221</c:v>
                </c:pt>
                <c:pt idx="216">
                  <c:v>43252</c:v>
                </c:pt>
                <c:pt idx="217">
                  <c:v>43282</c:v>
                </c:pt>
                <c:pt idx="218">
                  <c:v>43313</c:v>
                </c:pt>
                <c:pt idx="219">
                  <c:v>43344</c:v>
                </c:pt>
                <c:pt idx="220">
                  <c:v>43374</c:v>
                </c:pt>
                <c:pt idx="221">
                  <c:v>43405</c:v>
                </c:pt>
                <c:pt idx="222">
                  <c:v>43435</c:v>
                </c:pt>
                <c:pt idx="223">
                  <c:v>43466</c:v>
                </c:pt>
                <c:pt idx="224">
                  <c:v>43497</c:v>
                </c:pt>
                <c:pt idx="225">
                  <c:v>43525</c:v>
                </c:pt>
                <c:pt idx="226">
                  <c:v>43556</c:v>
                </c:pt>
                <c:pt idx="227">
                  <c:v>43586</c:v>
                </c:pt>
                <c:pt idx="228">
                  <c:v>43617</c:v>
                </c:pt>
                <c:pt idx="229">
                  <c:v>43647</c:v>
                </c:pt>
                <c:pt idx="230">
                  <c:v>43678</c:v>
                </c:pt>
                <c:pt idx="231">
                  <c:v>43709</c:v>
                </c:pt>
                <c:pt idx="232">
                  <c:v>43739</c:v>
                </c:pt>
                <c:pt idx="233">
                  <c:v>43770</c:v>
                </c:pt>
                <c:pt idx="234">
                  <c:v>43800</c:v>
                </c:pt>
                <c:pt idx="235">
                  <c:v>43831</c:v>
                </c:pt>
                <c:pt idx="236">
                  <c:v>43862</c:v>
                </c:pt>
                <c:pt idx="237">
                  <c:v>43891</c:v>
                </c:pt>
                <c:pt idx="238">
                  <c:v>43922</c:v>
                </c:pt>
                <c:pt idx="239">
                  <c:v>43952</c:v>
                </c:pt>
                <c:pt idx="240">
                  <c:v>43983</c:v>
                </c:pt>
                <c:pt idx="241">
                  <c:v>44013</c:v>
                </c:pt>
                <c:pt idx="242">
                  <c:v>44044</c:v>
                </c:pt>
                <c:pt idx="243">
                  <c:v>44075</c:v>
                </c:pt>
                <c:pt idx="244">
                  <c:v>44105</c:v>
                </c:pt>
                <c:pt idx="245">
                  <c:v>44136</c:v>
                </c:pt>
                <c:pt idx="246">
                  <c:v>44166</c:v>
                </c:pt>
                <c:pt idx="247">
                  <c:v>44197</c:v>
                </c:pt>
                <c:pt idx="248">
                  <c:v>44228</c:v>
                </c:pt>
                <c:pt idx="249">
                  <c:v>44256</c:v>
                </c:pt>
                <c:pt idx="250">
                  <c:v>44287</c:v>
                </c:pt>
                <c:pt idx="251">
                  <c:v>44317</c:v>
                </c:pt>
                <c:pt idx="252">
                  <c:v>44348</c:v>
                </c:pt>
                <c:pt idx="253">
                  <c:v>44378</c:v>
                </c:pt>
                <c:pt idx="254">
                  <c:v>44409</c:v>
                </c:pt>
                <c:pt idx="255">
                  <c:v>44440</c:v>
                </c:pt>
                <c:pt idx="256">
                  <c:v>44470</c:v>
                </c:pt>
                <c:pt idx="257">
                  <c:v>44501</c:v>
                </c:pt>
                <c:pt idx="258">
                  <c:v>44531</c:v>
                </c:pt>
                <c:pt idx="259">
                  <c:v>44562</c:v>
                </c:pt>
                <c:pt idx="260">
                  <c:v>44593</c:v>
                </c:pt>
                <c:pt idx="261">
                  <c:v>44621</c:v>
                </c:pt>
                <c:pt idx="262">
                  <c:v>44652</c:v>
                </c:pt>
                <c:pt idx="263">
                  <c:v>44682</c:v>
                </c:pt>
                <c:pt idx="264">
                  <c:v>44713</c:v>
                </c:pt>
                <c:pt idx="265">
                  <c:v>44743</c:v>
                </c:pt>
                <c:pt idx="266">
                  <c:v>44774</c:v>
                </c:pt>
                <c:pt idx="267">
                  <c:v>44805</c:v>
                </c:pt>
                <c:pt idx="268">
                  <c:v>44835</c:v>
                </c:pt>
                <c:pt idx="269">
                  <c:v>44866</c:v>
                </c:pt>
                <c:pt idx="270">
                  <c:v>44896</c:v>
                </c:pt>
                <c:pt idx="271">
                  <c:v>44927</c:v>
                </c:pt>
                <c:pt idx="272">
                  <c:v>44958</c:v>
                </c:pt>
                <c:pt idx="273">
                  <c:v>44986</c:v>
                </c:pt>
                <c:pt idx="274">
                  <c:v>45017</c:v>
                </c:pt>
                <c:pt idx="275">
                  <c:v>45047</c:v>
                </c:pt>
                <c:pt idx="276">
                  <c:v>45078</c:v>
                </c:pt>
                <c:pt idx="277">
                  <c:v>45108</c:v>
                </c:pt>
                <c:pt idx="278">
                  <c:v>45139</c:v>
                </c:pt>
                <c:pt idx="279">
                  <c:v>45170</c:v>
                </c:pt>
                <c:pt idx="280">
                  <c:v>45200</c:v>
                </c:pt>
                <c:pt idx="281">
                  <c:v>45231</c:v>
                </c:pt>
                <c:pt idx="282">
                  <c:v>45261</c:v>
                </c:pt>
                <c:pt idx="283">
                  <c:v>45292</c:v>
                </c:pt>
                <c:pt idx="284">
                  <c:v>45323</c:v>
                </c:pt>
                <c:pt idx="285">
                  <c:v>45352</c:v>
                </c:pt>
                <c:pt idx="286">
                  <c:v>45383</c:v>
                </c:pt>
                <c:pt idx="287">
                  <c:v>45413</c:v>
                </c:pt>
                <c:pt idx="288">
                  <c:v>45444</c:v>
                </c:pt>
                <c:pt idx="289">
                  <c:v>45474</c:v>
                </c:pt>
                <c:pt idx="290">
                  <c:v>45505</c:v>
                </c:pt>
                <c:pt idx="291">
                  <c:v>45536</c:v>
                </c:pt>
                <c:pt idx="292">
                  <c:v>45566</c:v>
                </c:pt>
                <c:pt idx="293">
                  <c:v>45597</c:v>
                </c:pt>
                <c:pt idx="294">
                  <c:v>45627</c:v>
                </c:pt>
                <c:pt idx="295">
                  <c:v>45658</c:v>
                </c:pt>
                <c:pt idx="296">
                  <c:v>45689</c:v>
                </c:pt>
                <c:pt idx="297">
                  <c:v>45717</c:v>
                </c:pt>
                <c:pt idx="298">
                  <c:v>45748</c:v>
                </c:pt>
                <c:pt idx="299">
                  <c:v>45778</c:v>
                </c:pt>
                <c:pt idx="300">
                  <c:v>45809</c:v>
                </c:pt>
                <c:pt idx="301">
                  <c:v>45839</c:v>
                </c:pt>
                <c:pt idx="302">
                  <c:v>45870</c:v>
                </c:pt>
              </c:numCache>
            </c:numRef>
          </c:cat>
          <c:val>
            <c:numRef>
              <c:f>Hoja1!$D$2:$D$304</c:f>
              <c:numCache>
                <c:formatCode>0.00</c:formatCode>
                <c:ptCount val="303"/>
                <c:pt idx="0">
                  <c:v>9.68</c:v>
                </c:pt>
                <c:pt idx="1">
                  <c:v>9.2899999999999991</c:v>
                </c:pt>
                <c:pt idx="2">
                  <c:v>9.1</c:v>
                </c:pt>
                <c:pt idx="3">
                  <c:v>9.1999999999999993</c:v>
                </c:pt>
                <c:pt idx="4">
                  <c:v>8.99</c:v>
                </c:pt>
                <c:pt idx="5">
                  <c:v>8.82</c:v>
                </c:pt>
                <c:pt idx="6">
                  <c:v>8.75</c:v>
                </c:pt>
                <c:pt idx="7">
                  <c:v>8.49</c:v>
                </c:pt>
                <c:pt idx="8">
                  <c:v>8.06</c:v>
                </c:pt>
                <c:pt idx="9">
                  <c:v>7.81</c:v>
                </c:pt>
                <c:pt idx="10">
                  <c:v>7.98</c:v>
                </c:pt>
                <c:pt idx="11">
                  <c:v>7.87</c:v>
                </c:pt>
                <c:pt idx="12">
                  <c:v>7.93</c:v>
                </c:pt>
                <c:pt idx="13">
                  <c:v>8.09</c:v>
                </c:pt>
                <c:pt idx="14">
                  <c:v>8.0299999999999994</c:v>
                </c:pt>
                <c:pt idx="15">
                  <c:v>7.97</c:v>
                </c:pt>
                <c:pt idx="16">
                  <c:v>8.01</c:v>
                </c:pt>
                <c:pt idx="17">
                  <c:v>7.78</c:v>
                </c:pt>
                <c:pt idx="18">
                  <c:v>7.65</c:v>
                </c:pt>
                <c:pt idx="19">
                  <c:v>7.37</c:v>
                </c:pt>
                <c:pt idx="20">
                  <c:v>6.7</c:v>
                </c:pt>
                <c:pt idx="21">
                  <c:v>5.89</c:v>
                </c:pt>
                <c:pt idx="22">
                  <c:v>5.65</c:v>
                </c:pt>
                <c:pt idx="23">
                  <c:v>5.84</c:v>
                </c:pt>
                <c:pt idx="24">
                  <c:v>6.25</c:v>
                </c:pt>
                <c:pt idx="25">
                  <c:v>6.16</c:v>
                </c:pt>
                <c:pt idx="26">
                  <c:v>5.98</c:v>
                </c:pt>
                <c:pt idx="27">
                  <c:v>5.97</c:v>
                </c:pt>
                <c:pt idx="28">
                  <c:v>6.37</c:v>
                </c:pt>
                <c:pt idx="29">
                  <c:v>7.07</c:v>
                </c:pt>
                <c:pt idx="30">
                  <c:v>6.99</c:v>
                </c:pt>
                <c:pt idx="31">
                  <c:v>7.39</c:v>
                </c:pt>
                <c:pt idx="32">
                  <c:v>7.24</c:v>
                </c:pt>
                <c:pt idx="33">
                  <c:v>7.6</c:v>
                </c:pt>
                <c:pt idx="34">
                  <c:v>7.85</c:v>
                </c:pt>
                <c:pt idx="35">
                  <c:v>7.73</c:v>
                </c:pt>
                <c:pt idx="36">
                  <c:v>7.21</c:v>
                </c:pt>
                <c:pt idx="37">
                  <c:v>7.04</c:v>
                </c:pt>
                <c:pt idx="38">
                  <c:v>7.26</c:v>
                </c:pt>
                <c:pt idx="39">
                  <c:v>7.11</c:v>
                </c:pt>
                <c:pt idx="40">
                  <c:v>6.58</c:v>
                </c:pt>
                <c:pt idx="41">
                  <c:v>6.13</c:v>
                </c:pt>
                <c:pt idx="42">
                  <c:v>6.49</c:v>
                </c:pt>
                <c:pt idx="43">
                  <c:v>6.19</c:v>
                </c:pt>
                <c:pt idx="44">
                  <c:v>6.28</c:v>
                </c:pt>
                <c:pt idx="45">
                  <c:v>6.21</c:v>
                </c:pt>
                <c:pt idx="46">
                  <c:v>5.49</c:v>
                </c:pt>
                <c:pt idx="47">
                  <c:v>5.37</c:v>
                </c:pt>
                <c:pt idx="48">
                  <c:v>6.07</c:v>
                </c:pt>
                <c:pt idx="49">
                  <c:v>6.19</c:v>
                </c:pt>
                <c:pt idx="50">
                  <c:v>5.89</c:v>
                </c:pt>
                <c:pt idx="51">
                  <c:v>5.97</c:v>
                </c:pt>
                <c:pt idx="52">
                  <c:v>5.9</c:v>
                </c:pt>
                <c:pt idx="53">
                  <c:v>5.82</c:v>
                </c:pt>
                <c:pt idx="54">
                  <c:v>5.5</c:v>
                </c:pt>
                <c:pt idx="55">
                  <c:v>5.43</c:v>
                </c:pt>
                <c:pt idx="56">
                  <c:v>5.25</c:v>
                </c:pt>
                <c:pt idx="57">
                  <c:v>5.03</c:v>
                </c:pt>
                <c:pt idx="58">
                  <c:v>5.01</c:v>
                </c:pt>
                <c:pt idx="59">
                  <c:v>5.04</c:v>
                </c:pt>
                <c:pt idx="60">
                  <c:v>4.83</c:v>
                </c:pt>
                <c:pt idx="61">
                  <c:v>4.91</c:v>
                </c:pt>
                <c:pt idx="62">
                  <c:v>4.88</c:v>
                </c:pt>
                <c:pt idx="63">
                  <c:v>5.0199999999999996</c:v>
                </c:pt>
                <c:pt idx="64">
                  <c:v>5.27</c:v>
                </c:pt>
                <c:pt idx="65">
                  <c:v>5.0999999999999996</c:v>
                </c:pt>
                <c:pt idx="66">
                  <c:v>4.8499999999999996</c:v>
                </c:pt>
                <c:pt idx="67">
                  <c:v>4.5599999999999996</c:v>
                </c:pt>
                <c:pt idx="68">
                  <c:v>4.1900000000000004</c:v>
                </c:pt>
                <c:pt idx="69">
                  <c:v>4.1100000000000003</c:v>
                </c:pt>
                <c:pt idx="70">
                  <c:v>4.12</c:v>
                </c:pt>
                <c:pt idx="71">
                  <c:v>4.04</c:v>
                </c:pt>
                <c:pt idx="72">
                  <c:v>3.94</c:v>
                </c:pt>
                <c:pt idx="73">
                  <c:v>4.32</c:v>
                </c:pt>
                <c:pt idx="74">
                  <c:v>4.72</c:v>
                </c:pt>
                <c:pt idx="75">
                  <c:v>4.58</c:v>
                </c:pt>
                <c:pt idx="76">
                  <c:v>4.1900000000000004</c:v>
                </c:pt>
                <c:pt idx="77">
                  <c:v>4.3099999999999996</c:v>
                </c:pt>
                <c:pt idx="78">
                  <c:v>4.4800000000000004</c:v>
                </c:pt>
                <c:pt idx="79">
                  <c:v>4.71</c:v>
                </c:pt>
                <c:pt idx="80">
                  <c:v>5.25</c:v>
                </c:pt>
                <c:pt idx="81">
                  <c:v>5.78</c:v>
                </c:pt>
                <c:pt idx="82">
                  <c:v>6.26</c:v>
                </c:pt>
                <c:pt idx="83">
                  <c:v>6.23</c:v>
                </c:pt>
                <c:pt idx="84">
                  <c:v>6.03</c:v>
                </c:pt>
                <c:pt idx="85">
                  <c:v>5.77</c:v>
                </c:pt>
                <c:pt idx="86">
                  <c:v>5.22</c:v>
                </c:pt>
                <c:pt idx="87">
                  <c:v>5.01</c:v>
                </c:pt>
                <c:pt idx="88">
                  <c:v>5.16</c:v>
                </c:pt>
                <c:pt idx="89">
                  <c:v>5.41</c:v>
                </c:pt>
                <c:pt idx="90">
                  <c:v>5.69</c:v>
                </c:pt>
                <c:pt idx="91">
                  <c:v>6</c:v>
                </c:pt>
                <c:pt idx="92">
                  <c:v>6.35</c:v>
                </c:pt>
                <c:pt idx="93">
                  <c:v>5.93</c:v>
                </c:pt>
                <c:pt idx="94">
                  <c:v>5.73</c:v>
                </c:pt>
                <c:pt idx="95">
                  <c:v>6.39</c:v>
                </c:pt>
                <c:pt idx="96">
                  <c:v>7.18</c:v>
                </c:pt>
                <c:pt idx="97">
                  <c:v>7.52</c:v>
                </c:pt>
                <c:pt idx="98">
                  <c:v>7.87</c:v>
                </c:pt>
                <c:pt idx="99">
                  <c:v>7.57</c:v>
                </c:pt>
                <c:pt idx="100">
                  <c:v>7.94</c:v>
                </c:pt>
                <c:pt idx="101">
                  <c:v>7.73</c:v>
                </c:pt>
                <c:pt idx="102">
                  <c:v>7.67</c:v>
                </c:pt>
                <c:pt idx="103">
                  <c:v>7.18</c:v>
                </c:pt>
                <c:pt idx="104">
                  <c:v>6.47</c:v>
                </c:pt>
                <c:pt idx="105">
                  <c:v>6.14</c:v>
                </c:pt>
                <c:pt idx="106">
                  <c:v>5.73</c:v>
                </c:pt>
                <c:pt idx="107">
                  <c:v>4.7699999999999996</c:v>
                </c:pt>
                <c:pt idx="108">
                  <c:v>3.81</c:v>
                </c:pt>
                <c:pt idx="109">
                  <c:v>3.28</c:v>
                </c:pt>
                <c:pt idx="110">
                  <c:v>3.13</c:v>
                </c:pt>
                <c:pt idx="111">
                  <c:v>3.21</c:v>
                </c:pt>
                <c:pt idx="112">
                  <c:v>2.72</c:v>
                </c:pt>
                <c:pt idx="113">
                  <c:v>2.37</c:v>
                </c:pt>
                <c:pt idx="114">
                  <c:v>2</c:v>
                </c:pt>
                <c:pt idx="115">
                  <c:v>2.1</c:v>
                </c:pt>
                <c:pt idx="116">
                  <c:v>2.09</c:v>
                </c:pt>
                <c:pt idx="117">
                  <c:v>1.84</c:v>
                </c:pt>
                <c:pt idx="118">
                  <c:v>1.98</c:v>
                </c:pt>
                <c:pt idx="119">
                  <c:v>2.0699999999999998</c:v>
                </c:pt>
                <c:pt idx="120">
                  <c:v>2.25</c:v>
                </c:pt>
                <c:pt idx="121">
                  <c:v>2.2400000000000002</c:v>
                </c:pt>
                <c:pt idx="122">
                  <c:v>2.31</c:v>
                </c:pt>
                <c:pt idx="123">
                  <c:v>2.2799999999999998</c:v>
                </c:pt>
                <c:pt idx="124">
                  <c:v>2.33</c:v>
                </c:pt>
                <c:pt idx="125">
                  <c:v>2.59</c:v>
                </c:pt>
                <c:pt idx="126">
                  <c:v>3.17</c:v>
                </c:pt>
                <c:pt idx="127">
                  <c:v>3.4</c:v>
                </c:pt>
                <c:pt idx="128">
                  <c:v>3.17</c:v>
                </c:pt>
                <c:pt idx="129">
                  <c:v>3.19</c:v>
                </c:pt>
                <c:pt idx="130">
                  <c:v>2.84</c:v>
                </c:pt>
                <c:pt idx="131">
                  <c:v>3.02</c:v>
                </c:pt>
                <c:pt idx="132">
                  <c:v>3.23</c:v>
                </c:pt>
                <c:pt idx="133">
                  <c:v>3.42</c:v>
                </c:pt>
                <c:pt idx="134">
                  <c:v>3.27</c:v>
                </c:pt>
                <c:pt idx="135">
                  <c:v>3.73</c:v>
                </c:pt>
                <c:pt idx="136">
                  <c:v>4.0199999999999996</c:v>
                </c:pt>
                <c:pt idx="137">
                  <c:v>3.96</c:v>
                </c:pt>
                <c:pt idx="138">
                  <c:v>3.73</c:v>
                </c:pt>
                <c:pt idx="139">
                  <c:v>3.54</c:v>
                </c:pt>
                <c:pt idx="140">
                  <c:v>3.55</c:v>
                </c:pt>
                <c:pt idx="141">
                  <c:v>3.4</c:v>
                </c:pt>
                <c:pt idx="142">
                  <c:v>3.43</c:v>
                </c:pt>
                <c:pt idx="143">
                  <c:v>3.44</c:v>
                </c:pt>
                <c:pt idx="144">
                  <c:v>3.2</c:v>
                </c:pt>
                <c:pt idx="145">
                  <c:v>3.03</c:v>
                </c:pt>
                <c:pt idx="146">
                  <c:v>3.11</c:v>
                </c:pt>
                <c:pt idx="147">
                  <c:v>3.08</c:v>
                </c:pt>
                <c:pt idx="148">
                  <c:v>3.06</c:v>
                </c:pt>
                <c:pt idx="149">
                  <c:v>2.77</c:v>
                </c:pt>
                <c:pt idx="150">
                  <c:v>2.44</c:v>
                </c:pt>
                <c:pt idx="151">
                  <c:v>2</c:v>
                </c:pt>
                <c:pt idx="152">
                  <c:v>1.83</c:v>
                </c:pt>
                <c:pt idx="153">
                  <c:v>1.91</c:v>
                </c:pt>
                <c:pt idx="154">
                  <c:v>2.02</c:v>
                </c:pt>
                <c:pt idx="155">
                  <c:v>2</c:v>
                </c:pt>
                <c:pt idx="156">
                  <c:v>2.16</c:v>
                </c:pt>
                <c:pt idx="157">
                  <c:v>2.2200000000000002</c:v>
                </c:pt>
                <c:pt idx="158">
                  <c:v>2.27</c:v>
                </c:pt>
                <c:pt idx="159">
                  <c:v>2.27</c:v>
                </c:pt>
                <c:pt idx="160">
                  <c:v>1.84</c:v>
                </c:pt>
                <c:pt idx="161">
                  <c:v>1.76</c:v>
                </c:pt>
                <c:pt idx="162">
                  <c:v>1.94</c:v>
                </c:pt>
                <c:pt idx="163">
                  <c:v>2.13</c:v>
                </c:pt>
                <c:pt idx="164">
                  <c:v>2.3199999999999998</c:v>
                </c:pt>
                <c:pt idx="165">
                  <c:v>2.5099999999999998</c:v>
                </c:pt>
                <c:pt idx="166">
                  <c:v>2.72</c:v>
                </c:pt>
                <c:pt idx="167">
                  <c:v>2.93</c:v>
                </c:pt>
                <c:pt idx="168">
                  <c:v>2.79</c:v>
                </c:pt>
                <c:pt idx="169">
                  <c:v>2.89</c:v>
                </c:pt>
                <c:pt idx="170">
                  <c:v>3.02</c:v>
                </c:pt>
                <c:pt idx="171">
                  <c:v>2.86</c:v>
                </c:pt>
                <c:pt idx="172">
                  <c:v>3.29</c:v>
                </c:pt>
                <c:pt idx="173">
                  <c:v>3.65</c:v>
                </c:pt>
                <c:pt idx="174">
                  <c:v>3.66</c:v>
                </c:pt>
                <c:pt idx="175">
                  <c:v>3.82</c:v>
                </c:pt>
                <c:pt idx="176">
                  <c:v>4.3600000000000003</c:v>
                </c:pt>
                <c:pt idx="177">
                  <c:v>4.5599999999999996</c:v>
                </c:pt>
                <c:pt idx="178">
                  <c:v>4.6399999999999997</c:v>
                </c:pt>
                <c:pt idx="179">
                  <c:v>4.41</c:v>
                </c:pt>
                <c:pt idx="180">
                  <c:v>4.42</c:v>
                </c:pt>
                <c:pt idx="181">
                  <c:v>4.46</c:v>
                </c:pt>
                <c:pt idx="182">
                  <c:v>4.74</c:v>
                </c:pt>
                <c:pt idx="183">
                  <c:v>5.35</c:v>
                </c:pt>
                <c:pt idx="184">
                  <c:v>5.89</c:v>
                </c:pt>
                <c:pt idx="185">
                  <c:v>6.39</c:v>
                </c:pt>
                <c:pt idx="186">
                  <c:v>6.77</c:v>
                </c:pt>
                <c:pt idx="187">
                  <c:v>7.45</c:v>
                </c:pt>
                <c:pt idx="188">
                  <c:v>7.59</c:v>
                </c:pt>
                <c:pt idx="189">
                  <c:v>7.98</c:v>
                </c:pt>
                <c:pt idx="190">
                  <c:v>7.93</c:v>
                </c:pt>
                <c:pt idx="191">
                  <c:v>8.1999999999999993</c:v>
                </c:pt>
                <c:pt idx="192">
                  <c:v>8.6</c:v>
                </c:pt>
                <c:pt idx="193">
                  <c:v>8.9700000000000006</c:v>
                </c:pt>
                <c:pt idx="194">
                  <c:v>8.1</c:v>
                </c:pt>
                <c:pt idx="195">
                  <c:v>7.27</c:v>
                </c:pt>
                <c:pt idx="196">
                  <c:v>6.48</c:v>
                </c:pt>
                <c:pt idx="197">
                  <c:v>5.96</c:v>
                </c:pt>
                <c:pt idx="198">
                  <c:v>5.75</c:v>
                </c:pt>
                <c:pt idx="199">
                  <c:v>5.47</c:v>
                </c:pt>
                <c:pt idx="200">
                  <c:v>5.18</c:v>
                </c:pt>
                <c:pt idx="201">
                  <c:v>4.6900000000000004</c:v>
                </c:pt>
                <c:pt idx="202">
                  <c:v>4.66</c:v>
                </c:pt>
                <c:pt idx="203">
                  <c:v>4.37</c:v>
                </c:pt>
                <c:pt idx="204">
                  <c:v>3.99</c:v>
                </c:pt>
                <c:pt idx="205">
                  <c:v>3.4</c:v>
                </c:pt>
                <c:pt idx="206">
                  <c:v>3.87</c:v>
                </c:pt>
                <c:pt idx="207">
                  <c:v>3.97</c:v>
                </c:pt>
                <c:pt idx="208">
                  <c:v>4.05</c:v>
                </c:pt>
                <c:pt idx="209">
                  <c:v>4.12</c:v>
                </c:pt>
                <c:pt idx="210">
                  <c:v>4.09</c:v>
                </c:pt>
                <c:pt idx="211">
                  <c:v>3.68</c:v>
                </c:pt>
                <c:pt idx="212">
                  <c:v>3.37</c:v>
                </c:pt>
                <c:pt idx="213">
                  <c:v>3.14</c:v>
                </c:pt>
                <c:pt idx="214">
                  <c:v>3.13</c:v>
                </c:pt>
                <c:pt idx="215">
                  <c:v>3.16</c:v>
                </c:pt>
                <c:pt idx="216">
                  <c:v>3.2</c:v>
                </c:pt>
                <c:pt idx="217">
                  <c:v>3.12</c:v>
                </c:pt>
                <c:pt idx="218">
                  <c:v>3.1</c:v>
                </c:pt>
                <c:pt idx="219">
                  <c:v>3.23</c:v>
                </c:pt>
                <c:pt idx="220">
                  <c:v>3.33</c:v>
                </c:pt>
                <c:pt idx="221">
                  <c:v>3.27</c:v>
                </c:pt>
                <c:pt idx="222">
                  <c:v>3.18</c:v>
                </c:pt>
                <c:pt idx="223">
                  <c:v>3.15</c:v>
                </c:pt>
                <c:pt idx="224">
                  <c:v>3.01</c:v>
                </c:pt>
                <c:pt idx="225">
                  <c:v>3.21</c:v>
                </c:pt>
                <c:pt idx="226">
                  <c:v>3.25</c:v>
                </c:pt>
                <c:pt idx="227">
                  <c:v>3.31</c:v>
                </c:pt>
                <c:pt idx="228">
                  <c:v>3.43</c:v>
                </c:pt>
                <c:pt idx="229">
                  <c:v>3.79</c:v>
                </c:pt>
                <c:pt idx="230">
                  <c:v>3.75</c:v>
                </c:pt>
                <c:pt idx="231">
                  <c:v>3.82</c:v>
                </c:pt>
                <c:pt idx="232">
                  <c:v>3.86</c:v>
                </c:pt>
                <c:pt idx="233">
                  <c:v>3.84</c:v>
                </c:pt>
                <c:pt idx="234">
                  <c:v>3.8</c:v>
                </c:pt>
                <c:pt idx="235">
                  <c:v>3.62</c:v>
                </c:pt>
                <c:pt idx="236">
                  <c:v>3.72</c:v>
                </c:pt>
                <c:pt idx="237">
                  <c:v>3.86</c:v>
                </c:pt>
                <c:pt idx="238">
                  <c:v>3.51</c:v>
                </c:pt>
                <c:pt idx="239">
                  <c:v>2.85</c:v>
                </c:pt>
                <c:pt idx="240">
                  <c:v>2.19</c:v>
                </c:pt>
                <c:pt idx="241">
                  <c:v>1.97</c:v>
                </c:pt>
                <c:pt idx="242">
                  <c:v>1.88</c:v>
                </c:pt>
                <c:pt idx="243">
                  <c:v>1.97</c:v>
                </c:pt>
                <c:pt idx="244">
                  <c:v>1.75</c:v>
                </c:pt>
                <c:pt idx="245">
                  <c:v>1.49</c:v>
                </c:pt>
                <c:pt idx="246">
                  <c:v>1.61</c:v>
                </c:pt>
                <c:pt idx="247">
                  <c:v>1.6</c:v>
                </c:pt>
                <c:pt idx="248">
                  <c:v>1.56</c:v>
                </c:pt>
                <c:pt idx="249">
                  <c:v>1.51</c:v>
                </c:pt>
                <c:pt idx="250">
                  <c:v>1.95</c:v>
                </c:pt>
                <c:pt idx="251">
                  <c:v>3.3</c:v>
                </c:pt>
                <c:pt idx="252">
                  <c:v>3.63</c:v>
                </c:pt>
                <c:pt idx="253">
                  <c:v>3.97</c:v>
                </c:pt>
                <c:pt idx="254">
                  <c:v>4.4400000000000004</c:v>
                </c:pt>
                <c:pt idx="255">
                  <c:v>4.51</c:v>
                </c:pt>
                <c:pt idx="256">
                  <c:v>4.58</c:v>
                </c:pt>
                <c:pt idx="257">
                  <c:v>5.26</c:v>
                </c:pt>
                <c:pt idx="258">
                  <c:v>5.62</c:v>
                </c:pt>
                <c:pt idx="259">
                  <c:v>6.94</c:v>
                </c:pt>
                <c:pt idx="260">
                  <c:v>8.01</c:v>
                </c:pt>
                <c:pt idx="261">
                  <c:v>8.5299999999999994</c:v>
                </c:pt>
                <c:pt idx="262">
                  <c:v>9.23</c:v>
                </c:pt>
                <c:pt idx="263">
                  <c:v>9.07</c:v>
                </c:pt>
                <c:pt idx="264">
                  <c:v>9.67</c:v>
                </c:pt>
                <c:pt idx="265">
                  <c:v>10.210000000000001</c:v>
                </c:pt>
                <c:pt idx="266">
                  <c:v>10.84</c:v>
                </c:pt>
                <c:pt idx="267">
                  <c:v>11.44</c:v>
                </c:pt>
                <c:pt idx="268">
                  <c:v>12.22</c:v>
                </c:pt>
                <c:pt idx="269">
                  <c:v>12.53</c:v>
                </c:pt>
                <c:pt idx="270">
                  <c:v>13.12</c:v>
                </c:pt>
                <c:pt idx="271">
                  <c:v>13.25</c:v>
                </c:pt>
                <c:pt idx="272">
                  <c:v>13.28</c:v>
                </c:pt>
                <c:pt idx="273">
                  <c:v>13.34</c:v>
                </c:pt>
                <c:pt idx="274">
                  <c:v>12.82</c:v>
                </c:pt>
                <c:pt idx="275">
                  <c:v>12.36</c:v>
                </c:pt>
                <c:pt idx="276">
                  <c:v>12.13</c:v>
                </c:pt>
                <c:pt idx="277">
                  <c:v>11.78</c:v>
                </c:pt>
                <c:pt idx="278">
                  <c:v>11.43</c:v>
                </c:pt>
                <c:pt idx="279">
                  <c:v>10.99</c:v>
                </c:pt>
                <c:pt idx="280">
                  <c:v>10.48</c:v>
                </c:pt>
                <c:pt idx="281">
                  <c:v>10.15</c:v>
                </c:pt>
                <c:pt idx="282">
                  <c:v>9.2799999999999994</c:v>
                </c:pt>
                <c:pt idx="283">
                  <c:v>8.35</c:v>
                </c:pt>
                <c:pt idx="284">
                  <c:v>7.74</c:v>
                </c:pt>
                <c:pt idx="285">
                  <c:v>7.36</c:v>
                </c:pt>
                <c:pt idx="286">
                  <c:v>7.16</c:v>
                </c:pt>
                <c:pt idx="287">
                  <c:v>7.16</c:v>
                </c:pt>
                <c:pt idx="288">
                  <c:v>7.18</c:v>
                </c:pt>
                <c:pt idx="289">
                  <c:v>6.86</c:v>
                </c:pt>
                <c:pt idx="290">
                  <c:v>6.12</c:v>
                </c:pt>
                <c:pt idx="291">
                  <c:v>5.81</c:v>
                </c:pt>
                <c:pt idx="292">
                  <c:v>5.41</c:v>
                </c:pt>
                <c:pt idx="293">
                  <c:v>5.2</c:v>
                </c:pt>
                <c:pt idx="294">
                  <c:v>5.2</c:v>
                </c:pt>
                <c:pt idx="295">
                  <c:v>5.22</c:v>
                </c:pt>
                <c:pt idx="296">
                  <c:v>5.28</c:v>
                </c:pt>
                <c:pt idx="297">
                  <c:v>5.09</c:v>
                </c:pt>
                <c:pt idx="298">
                  <c:v>5.16</c:v>
                </c:pt>
                <c:pt idx="299">
                  <c:v>5.05</c:v>
                </c:pt>
                <c:pt idx="300">
                  <c:v>4.82</c:v>
                </c:pt>
                <c:pt idx="301">
                  <c:v>4.9000000000000004</c:v>
                </c:pt>
                <c:pt idx="302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A-47EA-A25F-9B3AC5E2090C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Tasa Repo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Hoja1!$C$2:$C$304</c:f>
              <c:numCache>
                <c:formatCode>m/d/yyyy</c:formatCode>
                <c:ptCount val="303"/>
                <c:pt idx="0">
                  <c:v>36678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  <c:pt idx="172">
                  <c:v>41913</c:v>
                </c:pt>
                <c:pt idx="173">
                  <c:v>41944</c:v>
                </c:pt>
                <c:pt idx="174">
                  <c:v>41974</c:v>
                </c:pt>
                <c:pt idx="175">
                  <c:v>42005</c:v>
                </c:pt>
                <c:pt idx="176">
                  <c:v>42036</c:v>
                </c:pt>
                <c:pt idx="177">
                  <c:v>42064</c:v>
                </c:pt>
                <c:pt idx="178">
                  <c:v>42095</c:v>
                </c:pt>
                <c:pt idx="179">
                  <c:v>42125</c:v>
                </c:pt>
                <c:pt idx="180">
                  <c:v>42156</c:v>
                </c:pt>
                <c:pt idx="181">
                  <c:v>42186</c:v>
                </c:pt>
                <c:pt idx="182">
                  <c:v>42217</c:v>
                </c:pt>
                <c:pt idx="183">
                  <c:v>42248</c:v>
                </c:pt>
                <c:pt idx="184">
                  <c:v>42278</c:v>
                </c:pt>
                <c:pt idx="185">
                  <c:v>42309</c:v>
                </c:pt>
                <c:pt idx="186">
                  <c:v>42339</c:v>
                </c:pt>
                <c:pt idx="187">
                  <c:v>42370</c:v>
                </c:pt>
                <c:pt idx="188">
                  <c:v>42401</c:v>
                </c:pt>
                <c:pt idx="189">
                  <c:v>42430</c:v>
                </c:pt>
                <c:pt idx="190">
                  <c:v>42461</c:v>
                </c:pt>
                <c:pt idx="191">
                  <c:v>42491</c:v>
                </c:pt>
                <c:pt idx="192">
                  <c:v>42522</c:v>
                </c:pt>
                <c:pt idx="193">
                  <c:v>42552</c:v>
                </c:pt>
                <c:pt idx="194">
                  <c:v>42583</c:v>
                </c:pt>
                <c:pt idx="195">
                  <c:v>42614</c:v>
                </c:pt>
                <c:pt idx="196">
                  <c:v>42644</c:v>
                </c:pt>
                <c:pt idx="197">
                  <c:v>42675</c:v>
                </c:pt>
                <c:pt idx="198">
                  <c:v>42705</c:v>
                </c:pt>
                <c:pt idx="199">
                  <c:v>42736</c:v>
                </c:pt>
                <c:pt idx="200">
                  <c:v>42767</c:v>
                </c:pt>
                <c:pt idx="201">
                  <c:v>42795</c:v>
                </c:pt>
                <c:pt idx="202">
                  <c:v>42826</c:v>
                </c:pt>
                <c:pt idx="203">
                  <c:v>42856</c:v>
                </c:pt>
                <c:pt idx="204">
                  <c:v>42887</c:v>
                </c:pt>
                <c:pt idx="205">
                  <c:v>42917</c:v>
                </c:pt>
                <c:pt idx="206">
                  <c:v>42948</c:v>
                </c:pt>
                <c:pt idx="207">
                  <c:v>42979</c:v>
                </c:pt>
                <c:pt idx="208">
                  <c:v>43009</c:v>
                </c:pt>
                <c:pt idx="209">
                  <c:v>43040</c:v>
                </c:pt>
                <c:pt idx="210">
                  <c:v>43070</c:v>
                </c:pt>
                <c:pt idx="211">
                  <c:v>43101</c:v>
                </c:pt>
                <c:pt idx="212">
                  <c:v>43132</c:v>
                </c:pt>
                <c:pt idx="213">
                  <c:v>43160</c:v>
                </c:pt>
                <c:pt idx="214">
                  <c:v>43191</c:v>
                </c:pt>
                <c:pt idx="215">
                  <c:v>43221</c:v>
                </c:pt>
                <c:pt idx="216">
                  <c:v>43252</c:v>
                </c:pt>
                <c:pt idx="217">
                  <c:v>43282</c:v>
                </c:pt>
                <c:pt idx="218">
                  <c:v>43313</c:v>
                </c:pt>
                <c:pt idx="219">
                  <c:v>43344</c:v>
                </c:pt>
                <c:pt idx="220">
                  <c:v>43374</c:v>
                </c:pt>
                <c:pt idx="221">
                  <c:v>43405</c:v>
                </c:pt>
                <c:pt idx="222">
                  <c:v>43435</c:v>
                </c:pt>
                <c:pt idx="223">
                  <c:v>43466</c:v>
                </c:pt>
                <c:pt idx="224">
                  <c:v>43497</c:v>
                </c:pt>
                <c:pt idx="225">
                  <c:v>43525</c:v>
                </c:pt>
                <c:pt idx="226">
                  <c:v>43556</c:v>
                </c:pt>
                <c:pt idx="227">
                  <c:v>43586</c:v>
                </c:pt>
                <c:pt idx="228">
                  <c:v>43617</c:v>
                </c:pt>
                <c:pt idx="229">
                  <c:v>43647</c:v>
                </c:pt>
                <c:pt idx="230">
                  <c:v>43678</c:v>
                </c:pt>
                <c:pt idx="231">
                  <c:v>43709</c:v>
                </c:pt>
                <c:pt idx="232">
                  <c:v>43739</c:v>
                </c:pt>
                <c:pt idx="233">
                  <c:v>43770</c:v>
                </c:pt>
                <c:pt idx="234">
                  <c:v>43800</c:v>
                </c:pt>
                <c:pt idx="235">
                  <c:v>43831</c:v>
                </c:pt>
                <c:pt idx="236">
                  <c:v>43862</c:v>
                </c:pt>
                <c:pt idx="237">
                  <c:v>43891</c:v>
                </c:pt>
                <c:pt idx="238">
                  <c:v>43922</c:v>
                </c:pt>
                <c:pt idx="239">
                  <c:v>43952</c:v>
                </c:pt>
                <c:pt idx="240">
                  <c:v>43983</c:v>
                </c:pt>
                <c:pt idx="241">
                  <c:v>44013</c:v>
                </c:pt>
                <c:pt idx="242">
                  <c:v>44044</c:v>
                </c:pt>
                <c:pt idx="243">
                  <c:v>44075</c:v>
                </c:pt>
                <c:pt idx="244">
                  <c:v>44105</c:v>
                </c:pt>
                <c:pt idx="245">
                  <c:v>44136</c:v>
                </c:pt>
                <c:pt idx="246">
                  <c:v>44166</c:v>
                </c:pt>
                <c:pt idx="247">
                  <c:v>44197</c:v>
                </c:pt>
                <c:pt idx="248">
                  <c:v>44228</c:v>
                </c:pt>
                <c:pt idx="249">
                  <c:v>44256</c:v>
                </c:pt>
                <c:pt idx="250">
                  <c:v>44287</c:v>
                </c:pt>
                <c:pt idx="251">
                  <c:v>44317</c:v>
                </c:pt>
                <c:pt idx="252">
                  <c:v>44348</c:v>
                </c:pt>
                <c:pt idx="253">
                  <c:v>44378</c:v>
                </c:pt>
                <c:pt idx="254">
                  <c:v>44409</c:v>
                </c:pt>
                <c:pt idx="255">
                  <c:v>44440</c:v>
                </c:pt>
                <c:pt idx="256">
                  <c:v>44470</c:v>
                </c:pt>
                <c:pt idx="257">
                  <c:v>44501</c:v>
                </c:pt>
                <c:pt idx="258">
                  <c:v>44531</c:v>
                </c:pt>
                <c:pt idx="259">
                  <c:v>44562</c:v>
                </c:pt>
                <c:pt idx="260">
                  <c:v>44593</c:v>
                </c:pt>
                <c:pt idx="261">
                  <c:v>44621</c:v>
                </c:pt>
                <c:pt idx="262">
                  <c:v>44652</c:v>
                </c:pt>
                <c:pt idx="263">
                  <c:v>44682</c:v>
                </c:pt>
                <c:pt idx="264">
                  <c:v>44713</c:v>
                </c:pt>
                <c:pt idx="265">
                  <c:v>44743</c:v>
                </c:pt>
                <c:pt idx="266">
                  <c:v>44774</c:v>
                </c:pt>
                <c:pt idx="267">
                  <c:v>44805</c:v>
                </c:pt>
                <c:pt idx="268">
                  <c:v>44835</c:v>
                </c:pt>
                <c:pt idx="269">
                  <c:v>44866</c:v>
                </c:pt>
                <c:pt idx="270">
                  <c:v>44896</c:v>
                </c:pt>
                <c:pt idx="271">
                  <c:v>44927</c:v>
                </c:pt>
                <c:pt idx="272">
                  <c:v>44958</c:v>
                </c:pt>
                <c:pt idx="273">
                  <c:v>44986</c:v>
                </c:pt>
                <c:pt idx="274">
                  <c:v>45017</c:v>
                </c:pt>
                <c:pt idx="275">
                  <c:v>45047</c:v>
                </c:pt>
                <c:pt idx="276">
                  <c:v>45078</c:v>
                </c:pt>
                <c:pt idx="277">
                  <c:v>45108</c:v>
                </c:pt>
                <c:pt idx="278">
                  <c:v>45139</c:v>
                </c:pt>
                <c:pt idx="279">
                  <c:v>45170</c:v>
                </c:pt>
                <c:pt idx="280">
                  <c:v>45200</c:v>
                </c:pt>
                <c:pt idx="281">
                  <c:v>45231</c:v>
                </c:pt>
                <c:pt idx="282">
                  <c:v>45261</c:v>
                </c:pt>
                <c:pt idx="283">
                  <c:v>45292</c:v>
                </c:pt>
                <c:pt idx="284">
                  <c:v>45323</c:v>
                </c:pt>
                <c:pt idx="285">
                  <c:v>45352</c:v>
                </c:pt>
                <c:pt idx="286">
                  <c:v>45383</c:v>
                </c:pt>
                <c:pt idx="287">
                  <c:v>45413</c:v>
                </c:pt>
                <c:pt idx="288">
                  <c:v>45444</c:v>
                </c:pt>
                <c:pt idx="289">
                  <c:v>45474</c:v>
                </c:pt>
                <c:pt idx="290">
                  <c:v>45505</c:v>
                </c:pt>
                <c:pt idx="291">
                  <c:v>45536</c:v>
                </c:pt>
                <c:pt idx="292">
                  <c:v>45566</c:v>
                </c:pt>
                <c:pt idx="293">
                  <c:v>45597</c:v>
                </c:pt>
                <c:pt idx="294">
                  <c:v>45627</c:v>
                </c:pt>
                <c:pt idx="295">
                  <c:v>45658</c:v>
                </c:pt>
                <c:pt idx="296">
                  <c:v>45689</c:v>
                </c:pt>
                <c:pt idx="297">
                  <c:v>45717</c:v>
                </c:pt>
                <c:pt idx="298">
                  <c:v>45748</c:v>
                </c:pt>
                <c:pt idx="299">
                  <c:v>45778</c:v>
                </c:pt>
                <c:pt idx="300">
                  <c:v>45809</c:v>
                </c:pt>
                <c:pt idx="301">
                  <c:v>45839</c:v>
                </c:pt>
                <c:pt idx="302">
                  <c:v>45870</c:v>
                </c:pt>
              </c:numCache>
            </c:numRef>
          </c:cat>
          <c:val>
            <c:numRef>
              <c:f>Hoja1!$E$2:$E$304</c:f>
              <c:numCache>
                <c:formatCode>0.0</c:formatCode>
                <c:ptCount val="30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11.5</c:v>
                </c:pt>
                <c:pt idx="11">
                  <c:v>11.5</c:v>
                </c:pt>
                <c:pt idx="12">
                  <c:v>11.5</c:v>
                </c:pt>
                <c:pt idx="13">
                  <c:v>11.5</c:v>
                </c:pt>
                <c:pt idx="14">
                  <c:v>11</c:v>
                </c:pt>
                <c:pt idx="15">
                  <c:v>10</c:v>
                </c:pt>
                <c:pt idx="16">
                  <c:v>9.5</c:v>
                </c:pt>
                <c:pt idx="17">
                  <c:v>9.25</c:v>
                </c:pt>
                <c:pt idx="18">
                  <c:v>8.75</c:v>
                </c:pt>
                <c:pt idx="19">
                  <c:v>8.5</c:v>
                </c:pt>
                <c:pt idx="20">
                  <c:v>8</c:v>
                </c:pt>
                <c:pt idx="21">
                  <c:v>8</c:v>
                </c:pt>
                <c:pt idx="22">
                  <c:v>7.25</c:v>
                </c:pt>
                <c:pt idx="23">
                  <c:v>6.25</c:v>
                </c:pt>
                <c:pt idx="24">
                  <c:v>5.75</c:v>
                </c:pt>
                <c:pt idx="25">
                  <c:v>5.25</c:v>
                </c:pt>
                <c:pt idx="26">
                  <c:v>5.25</c:v>
                </c:pt>
                <c:pt idx="27">
                  <c:v>5.25</c:v>
                </c:pt>
                <c:pt idx="28">
                  <c:v>5.25</c:v>
                </c:pt>
                <c:pt idx="29">
                  <c:v>5.25</c:v>
                </c:pt>
                <c:pt idx="30">
                  <c:v>5.25</c:v>
                </c:pt>
                <c:pt idx="31">
                  <c:v>5.25</c:v>
                </c:pt>
                <c:pt idx="32">
                  <c:v>6.25</c:v>
                </c:pt>
                <c:pt idx="33">
                  <c:v>6.25</c:v>
                </c:pt>
                <c:pt idx="34">
                  <c:v>6.25</c:v>
                </c:pt>
                <c:pt idx="35">
                  <c:v>7.25</c:v>
                </c:pt>
                <c:pt idx="36">
                  <c:v>7.25</c:v>
                </c:pt>
                <c:pt idx="37">
                  <c:v>7.25</c:v>
                </c:pt>
                <c:pt idx="38">
                  <c:v>7.25</c:v>
                </c:pt>
                <c:pt idx="39">
                  <c:v>7.25</c:v>
                </c:pt>
                <c:pt idx="40">
                  <c:v>7.25</c:v>
                </c:pt>
                <c:pt idx="41">
                  <c:v>7.25</c:v>
                </c:pt>
                <c:pt idx="42">
                  <c:v>7.25</c:v>
                </c:pt>
                <c:pt idx="43">
                  <c:v>7.25</c:v>
                </c:pt>
                <c:pt idx="44">
                  <c:v>7.25</c:v>
                </c:pt>
                <c:pt idx="45">
                  <c:v>7</c:v>
                </c:pt>
                <c:pt idx="46">
                  <c:v>6.75</c:v>
                </c:pt>
                <c:pt idx="47">
                  <c:v>6.75</c:v>
                </c:pt>
                <c:pt idx="48">
                  <c:v>6.75</c:v>
                </c:pt>
                <c:pt idx="49">
                  <c:v>6.75</c:v>
                </c:pt>
                <c:pt idx="50">
                  <c:v>6.75</c:v>
                </c:pt>
                <c:pt idx="51">
                  <c:v>6.75</c:v>
                </c:pt>
                <c:pt idx="52">
                  <c:v>6.75</c:v>
                </c:pt>
                <c:pt idx="53">
                  <c:v>6.75</c:v>
                </c:pt>
                <c:pt idx="54">
                  <c:v>6.75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6.25</c:v>
                </c:pt>
                <c:pt idx="73">
                  <c:v>6.5</c:v>
                </c:pt>
                <c:pt idx="74">
                  <c:v>6.5</c:v>
                </c:pt>
                <c:pt idx="75">
                  <c:v>6.75</c:v>
                </c:pt>
                <c:pt idx="76">
                  <c:v>6.75</c:v>
                </c:pt>
                <c:pt idx="77">
                  <c:v>7.25</c:v>
                </c:pt>
                <c:pt idx="78">
                  <c:v>7.25</c:v>
                </c:pt>
                <c:pt idx="79">
                  <c:v>7.5</c:v>
                </c:pt>
                <c:pt idx="80">
                  <c:v>7.75</c:v>
                </c:pt>
                <c:pt idx="81">
                  <c:v>8</c:v>
                </c:pt>
                <c:pt idx="82">
                  <c:v>8.25</c:v>
                </c:pt>
                <c:pt idx="83">
                  <c:v>8.25</c:v>
                </c:pt>
                <c:pt idx="84">
                  <c:v>8.75</c:v>
                </c:pt>
                <c:pt idx="85">
                  <c:v>9</c:v>
                </c:pt>
                <c:pt idx="86">
                  <c:v>9.25</c:v>
                </c:pt>
                <c:pt idx="87">
                  <c:v>9.25</c:v>
                </c:pt>
                <c:pt idx="88">
                  <c:v>9.25</c:v>
                </c:pt>
                <c:pt idx="89">
                  <c:v>9.25</c:v>
                </c:pt>
                <c:pt idx="90">
                  <c:v>9.5</c:v>
                </c:pt>
                <c:pt idx="91">
                  <c:v>9.5</c:v>
                </c:pt>
                <c:pt idx="92">
                  <c:v>9.5</c:v>
                </c:pt>
                <c:pt idx="93">
                  <c:v>9.75</c:v>
                </c:pt>
                <c:pt idx="94">
                  <c:v>9.75</c:v>
                </c:pt>
                <c:pt idx="95">
                  <c:v>9.75</c:v>
                </c:pt>
                <c:pt idx="96">
                  <c:v>9.75</c:v>
                </c:pt>
                <c:pt idx="97">
                  <c:v>9.75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9.5</c:v>
                </c:pt>
                <c:pt idx="104">
                  <c:v>9.5</c:v>
                </c:pt>
                <c:pt idx="105">
                  <c:v>9</c:v>
                </c:pt>
                <c:pt idx="106">
                  <c:v>7</c:v>
                </c:pt>
                <c:pt idx="107">
                  <c:v>7</c:v>
                </c:pt>
                <c:pt idx="108">
                  <c:v>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</c:v>
                </c:pt>
                <c:pt idx="113">
                  <c:v>4</c:v>
                </c:pt>
                <c:pt idx="114">
                  <c:v>3.5</c:v>
                </c:pt>
                <c:pt idx="115">
                  <c:v>3.5</c:v>
                </c:pt>
                <c:pt idx="116">
                  <c:v>3.5</c:v>
                </c:pt>
                <c:pt idx="117">
                  <c:v>3.5</c:v>
                </c:pt>
                <c:pt idx="118">
                  <c:v>3.5</c:v>
                </c:pt>
                <c:pt idx="119">
                  <c:v>3.5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3.25</c:v>
                </c:pt>
                <c:pt idx="130">
                  <c:v>3.5</c:v>
                </c:pt>
                <c:pt idx="131">
                  <c:v>3.5</c:v>
                </c:pt>
                <c:pt idx="132">
                  <c:v>4</c:v>
                </c:pt>
                <c:pt idx="133">
                  <c:v>4.25</c:v>
                </c:pt>
                <c:pt idx="134">
                  <c:v>4.5</c:v>
                </c:pt>
                <c:pt idx="135">
                  <c:v>4.5</c:v>
                </c:pt>
                <c:pt idx="136">
                  <c:v>4.5</c:v>
                </c:pt>
                <c:pt idx="137">
                  <c:v>4.5</c:v>
                </c:pt>
                <c:pt idx="138">
                  <c:v>4.75</c:v>
                </c:pt>
                <c:pt idx="139">
                  <c:v>4.75</c:v>
                </c:pt>
                <c:pt idx="140">
                  <c:v>5</c:v>
                </c:pt>
                <c:pt idx="141">
                  <c:v>5.25</c:v>
                </c:pt>
                <c:pt idx="142">
                  <c:v>5.25</c:v>
                </c:pt>
                <c:pt idx="143">
                  <c:v>5.25</c:v>
                </c:pt>
                <c:pt idx="144">
                  <c:v>5.25</c:v>
                </c:pt>
                <c:pt idx="145">
                  <c:v>5.25</c:v>
                </c:pt>
                <c:pt idx="146">
                  <c:v>5</c:v>
                </c:pt>
                <c:pt idx="147">
                  <c:v>4.75</c:v>
                </c:pt>
                <c:pt idx="148">
                  <c:v>4.75</c:v>
                </c:pt>
                <c:pt idx="149">
                  <c:v>4.75</c:v>
                </c:pt>
                <c:pt idx="150">
                  <c:v>4.5</c:v>
                </c:pt>
                <c:pt idx="151">
                  <c:v>4.25</c:v>
                </c:pt>
                <c:pt idx="152">
                  <c:v>4</c:v>
                </c:pt>
                <c:pt idx="153">
                  <c:v>3.75</c:v>
                </c:pt>
                <c:pt idx="154">
                  <c:v>3.25</c:v>
                </c:pt>
                <c:pt idx="155">
                  <c:v>3.25</c:v>
                </c:pt>
                <c:pt idx="156">
                  <c:v>3.25</c:v>
                </c:pt>
                <c:pt idx="157">
                  <c:v>3.25</c:v>
                </c:pt>
                <c:pt idx="158">
                  <c:v>3.25</c:v>
                </c:pt>
                <c:pt idx="159">
                  <c:v>3.25</c:v>
                </c:pt>
                <c:pt idx="160">
                  <c:v>3.25</c:v>
                </c:pt>
                <c:pt idx="161">
                  <c:v>3.25</c:v>
                </c:pt>
                <c:pt idx="162">
                  <c:v>3.25</c:v>
                </c:pt>
                <c:pt idx="163">
                  <c:v>3.25</c:v>
                </c:pt>
                <c:pt idx="164">
                  <c:v>3.25</c:v>
                </c:pt>
                <c:pt idx="165">
                  <c:v>3.25</c:v>
                </c:pt>
                <c:pt idx="166">
                  <c:v>3.25</c:v>
                </c:pt>
                <c:pt idx="167">
                  <c:v>3.5</c:v>
                </c:pt>
                <c:pt idx="168">
                  <c:v>3.5</c:v>
                </c:pt>
                <c:pt idx="169">
                  <c:v>4</c:v>
                </c:pt>
                <c:pt idx="170">
                  <c:v>4.25</c:v>
                </c:pt>
                <c:pt idx="171">
                  <c:v>4.5</c:v>
                </c:pt>
                <c:pt idx="172">
                  <c:v>4.5</c:v>
                </c:pt>
                <c:pt idx="173">
                  <c:v>4.5</c:v>
                </c:pt>
                <c:pt idx="174">
                  <c:v>4.5</c:v>
                </c:pt>
                <c:pt idx="175">
                  <c:v>4.5</c:v>
                </c:pt>
                <c:pt idx="176">
                  <c:v>4.5</c:v>
                </c:pt>
                <c:pt idx="177">
                  <c:v>4.5</c:v>
                </c:pt>
                <c:pt idx="178">
                  <c:v>4.5</c:v>
                </c:pt>
                <c:pt idx="179">
                  <c:v>4.5</c:v>
                </c:pt>
                <c:pt idx="180">
                  <c:v>4.5</c:v>
                </c:pt>
                <c:pt idx="181">
                  <c:v>4.5</c:v>
                </c:pt>
                <c:pt idx="182">
                  <c:v>4.5</c:v>
                </c:pt>
                <c:pt idx="183">
                  <c:v>4.5</c:v>
                </c:pt>
                <c:pt idx="184">
                  <c:v>4.75</c:v>
                </c:pt>
                <c:pt idx="185">
                  <c:v>4.75</c:v>
                </c:pt>
                <c:pt idx="186">
                  <c:v>5.5</c:v>
                </c:pt>
                <c:pt idx="187">
                  <c:v>5.75</c:v>
                </c:pt>
                <c:pt idx="188">
                  <c:v>6</c:v>
                </c:pt>
                <c:pt idx="189">
                  <c:v>6.25</c:v>
                </c:pt>
                <c:pt idx="190">
                  <c:v>6.5</c:v>
                </c:pt>
                <c:pt idx="191">
                  <c:v>6.5</c:v>
                </c:pt>
                <c:pt idx="192">
                  <c:v>7.25</c:v>
                </c:pt>
                <c:pt idx="193">
                  <c:v>7.5</c:v>
                </c:pt>
                <c:pt idx="194">
                  <c:v>7.75</c:v>
                </c:pt>
                <c:pt idx="195">
                  <c:v>7.75</c:v>
                </c:pt>
                <c:pt idx="196">
                  <c:v>7.75</c:v>
                </c:pt>
                <c:pt idx="197">
                  <c:v>7.75</c:v>
                </c:pt>
                <c:pt idx="198">
                  <c:v>7.75</c:v>
                </c:pt>
                <c:pt idx="199">
                  <c:v>7.5</c:v>
                </c:pt>
                <c:pt idx="200">
                  <c:v>7.5</c:v>
                </c:pt>
                <c:pt idx="201">
                  <c:v>7.25</c:v>
                </c:pt>
                <c:pt idx="202">
                  <c:v>7</c:v>
                </c:pt>
                <c:pt idx="203">
                  <c:v>7</c:v>
                </c:pt>
                <c:pt idx="204">
                  <c:v>6.25</c:v>
                </c:pt>
                <c:pt idx="205">
                  <c:v>6.25</c:v>
                </c:pt>
                <c:pt idx="206">
                  <c:v>5.5</c:v>
                </c:pt>
                <c:pt idx="207">
                  <c:v>5.25</c:v>
                </c:pt>
                <c:pt idx="208">
                  <c:v>5.25</c:v>
                </c:pt>
                <c:pt idx="209">
                  <c:v>5</c:v>
                </c:pt>
                <c:pt idx="210">
                  <c:v>4.75</c:v>
                </c:pt>
                <c:pt idx="211">
                  <c:v>4.75</c:v>
                </c:pt>
                <c:pt idx="212">
                  <c:v>4.5</c:v>
                </c:pt>
                <c:pt idx="213">
                  <c:v>4.5</c:v>
                </c:pt>
                <c:pt idx="214">
                  <c:v>4.5</c:v>
                </c:pt>
                <c:pt idx="215">
                  <c:v>4.25</c:v>
                </c:pt>
                <c:pt idx="216">
                  <c:v>4.25</c:v>
                </c:pt>
                <c:pt idx="217">
                  <c:v>4.25</c:v>
                </c:pt>
                <c:pt idx="218">
                  <c:v>4.25</c:v>
                </c:pt>
                <c:pt idx="219">
                  <c:v>4.25</c:v>
                </c:pt>
                <c:pt idx="220">
                  <c:v>4.25</c:v>
                </c:pt>
                <c:pt idx="221">
                  <c:v>4.25</c:v>
                </c:pt>
                <c:pt idx="222">
                  <c:v>4.25</c:v>
                </c:pt>
                <c:pt idx="223">
                  <c:v>4.25</c:v>
                </c:pt>
                <c:pt idx="224">
                  <c:v>4.25</c:v>
                </c:pt>
                <c:pt idx="225">
                  <c:v>4.25</c:v>
                </c:pt>
                <c:pt idx="226">
                  <c:v>4.25</c:v>
                </c:pt>
                <c:pt idx="227">
                  <c:v>4.25</c:v>
                </c:pt>
                <c:pt idx="228">
                  <c:v>4.25</c:v>
                </c:pt>
                <c:pt idx="229">
                  <c:v>4.25</c:v>
                </c:pt>
                <c:pt idx="230">
                  <c:v>4.25</c:v>
                </c:pt>
                <c:pt idx="231">
                  <c:v>4.25</c:v>
                </c:pt>
                <c:pt idx="232">
                  <c:v>4.25</c:v>
                </c:pt>
                <c:pt idx="233">
                  <c:v>4.25</c:v>
                </c:pt>
                <c:pt idx="234">
                  <c:v>4.25</c:v>
                </c:pt>
                <c:pt idx="235">
                  <c:v>4.25</c:v>
                </c:pt>
                <c:pt idx="236">
                  <c:v>4.25</c:v>
                </c:pt>
                <c:pt idx="237">
                  <c:v>4.25</c:v>
                </c:pt>
                <c:pt idx="238">
                  <c:v>3.75</c:v>
                </c:pt>
                <c:pt idx="239">
                  <c:v>3.75</c:v>
                </c:pt>
                <c:pt idx="240">
                  <c:v>2.75</c:v>
                </c:pt>
                <c:pt idx="241">
                  <c:v>2.5</c:v>
                </c:pt>
                <c:pt idx="242">
                  <c:v>2.5</c:v>
                </c:pt>
                <c:pt idx="243">
                  <c:v>2</c:v>
                </c:pt>
                <c:pt idx="244">
                  <c:v>1.75</c:v>
                </c:pt>
                <c:pt idx="245">
                  <c:v>1.75</c:v>
                </c:pt>
                <c:pt idx="246">
                  <c:v>1.75</c:v>
                </c:pt>
                <c:pt idx="247">
                  <c:v>1.75</c:v>
                </c:pt>
                <c:pt idx="248">
                  <c:v>1.75</c:v>
                </c:pt>
                <c:pt idx="249">
                  <c:v>1.75</c:v>
                </c:pt>
                <c:pt idx="250">
                  <c:v>1.75</c:v>
                </c:pt>
                <c:pt idx="251">
                  <c:v>1.75</c:v>
                </c:pt>
                <c:pt idx="252">
                  <c:v>1.75</c:v>
                </c:pt>
                <c:pt idx="253">
                  <c:v>1.75</c:v>
                </c:pt>
                <c:pt idx="254">
                  <c:v>1.75</c:v>
                </c:pt>
                <c:pt idx="255">
                  <c:v>1.75</c:v>
                </c:pt>
                <c:pt idx="256">
                  <c:v>2</c:v>
                </c:pt>
                <c:pt idx="257">
                  <c:v>2</c:v>
                </c:pt>
                <c:pt idx="258">
                  <c:v>2.5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7.5</c:v>
                </c:pt>
                <c:pt idx="266">
                  <c:v>9</c:v>
                </c:pt>
                <c:pt idx="267">
                  <c:v>9</c:v>
                </c:pt>
                <c:pt idx="268">
                  <c:v>10</c:v>
                </c:pt>
                <c:pt idx="269">
                  <c:v>11</c:v>
                </c:pt>
                <c:pt idx="270">
                  <c:v>11</c:v>
                </c:pt>
                <c:pt idx="271">
                  <c:v>12</c:v>
                </c:pt>
                <c:pt idx="272">
                  <c:v>12.75</c:v>
                </c:pt>
                <c:pt idx="273">
                  <c:v>12.75</c:v>
                </c:pt>
                <c:pt idx="274">
                  <c:v>13</c:v>
                </c:pt>
                <c:pt idx="275">
                  <c:v>13</c:v>
                </c:pt>
                <c:pt idx="276">
                  <c:v>13.25</c:v>
                </c:pt>
                <c:pt idx="277">
                  <c:v>13.25</c:v>
                </c:pt>
                <c:pt idx="278">
                  <c:v>13.25</c:v>
                </c:pt>
                <c:pt idx="279">
                  <c:v>13.25</c:v>
                </c:pt>
                <c:pt idx="280">
                  <c:v>13.25</c:v>
                </c:pt>
                <c:pt idx="281">
                  <c:v>13.25</c:v>
                </c:pt>
                <c:pt idx="282">
                  <c:v>13.25</c:v>
                </c:pt>
                <c:pt idx="283" formatCode="0.00">
                  <c:v>13</c:v>
                </c:pt>
                <c:pt idx="284" formatCode="0.000">
                  <c:v>12.75</c:v>
                </c:pt>
                <c:pt idx="285" formatCode="0.000">
                  <c:v>12.75</c:v>
                </c:pt>
                <c:pt idx="286" formatCode="0.000">
                  <c:v>12.25</c:v>
                </c:pt>
                <c:pt idx="287" formatCode="0.00">
                  <c:v>12.25</c:v>
                </c:pt>
                <c:pt idx="288" formatCode="0.00">
                  <c:v>11.75</c:v>
                </c:pt>
                <c:pt idx="289" formatCode="0.00">
                  <c:v>11.25</c:v>
                </c:pt>
                <c:pt idx="290" formatCode="0.00">
                  <c:v>10.75</c:v>
                </c:pt>
                <c:pt idx="291" formatCode="0.00">
                  <c:v>10.25</c:v>
                </c:pt>
                <c:pt idx="292" formatCode="0.00">
                  <c:v>9.75</c:v>
                </c:pt>
                <c:pt idx="293" formatCode="0.00">
                  <c:v>9.75</c:v>
                </c:pt>
                <c:pt idx="294" formatCode="0.00">
                  <c:v>9.5</c:v>
                </c:pt>
                <c:pt idx="295" formatCode="0.00">
                  <c:v>9.5</c:v>
                </c:pt>
                <c:pt idx="296" formatCode="0.00">
                  <c:v>9.5</c:v>
                </c:pt>
                <c:pt idx="297" formatCode="0.00">
                  <c:v>9.5</c:v>
                </c:pt>
                <c:pt idx="298" formatCode="0.00">
                  <c:v>9.5</c:v>
                </c:pt>
                <c:pt idx="299" formatCode="0.00">
                  <c:v>9.25</c:v>
                </c:pt>
                <c:pt idx="300" formatCode="0.00">
                  <c:v>9.25</c:v>
                </c:pt>
                <c:pt idx="301" formatCode="0.00">
                  <c:v>9.25</c:v>
                </c:pt>
                <c:pt idx="302" formatCode="0.00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A-47EA-A25F-9B3AC5E2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702575"/>
        <c:axId val="1120703535"/>
      </c:lineChart>
      <c:dateAx>
        <c:axId val="11207025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0703535"/>
        <c:crosses val="autoZero"/>
        <c:auto val="1"/>
        <c:lblOffset val="100"/>
        <c:baseTimeUnit val="months"/>
      </c:dateAx>
      <c:valAx>
        <c:axId val="11207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070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Inflación</a:t>
            </a:r>
            <a:r>
              <a:rPr lang="es-CO" baseline="0"/>
              <a:t> y Tasa de intervención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 Inflación anual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Hoja1!$C$2:$C$308</c:f>
              <c:numCache>
                <c:formatCode>m/d/yyyy</c:formatCode>
                <c:ptCount val="307"/>
                <c:pt idx="0">
                  <c:v>36678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  <c:pt idx="172">
                  <c:v>41913</c:v>
                </c:pt>
                <c:pt idx="173">
                  <c:v>41944</c:v>
                </c:pt>
                <c:pt idx="174">
                  <c:v>41974</c:v>
                </c:pt>
                <c:pt idx="175">
                  <c:v>42005</c:v>
                </c:pt>
                <c:pt idx="176">
                  <c:v>42036</c:v>
                </c:pt>
                <c:pt idx="177">
                  <c:v>42064</c:v>
                </c:pt>
                <c:pt idx="178">
                  <c:v>42095</c:v>
                </c:pt>
                <c:pt idx="179">
                  <c:v>42125</c:v>
                </c:pt>
                <c:pt idx="180">
                  <c:v>42156</c:v>
                </c:pt>
                <c:pt idx="181">
                  <c:v>42186</c:v>
                </c:pt>
                <c:pt idx="182">
                  <c:v>42217</c:v>
                </c:pt>
                <c:pt idx="183">
                  <c:v>42248</c:v>
                </c:pt>
                <c:pt idx="184">
                  <c:v>42278</c:v>
                </c:pt>
                <c:pt idx="185">
                  <c:v>42309</c:v>
                </c:pt>
                <c:pt idx="186">
                  <c:v>42339</c:v>
                </c:pt>
                <c:pt idx="187">
                  <c:v>42370</c:v>
                </c:pt>
                <c:pt idx="188">
                  <c:v>42401</c:v>
                </c:pt>
                <c:pt idx="189">
                  <c:v>42430</c:v>
                </c:pt>
                <c:pt idx="190">
                  <c:v>42461</c:v>
                </c:pt>
                <c:pt idx="191">
                  <c:v>42491</c:v>
                </c:pt>
                <c:pt idx="192">
                  <c:v>42522</c:v>
                </c:pt>
                <c:pt idx="193">
                  <c:v>42552</c:v>
                </c:pt>
                <c:pt idx="194">
                  <c:v>42583</c:v>
                </c:pt>
                <c:pt idx="195">
                  <c:v>42614</c:v>
                </c:pt>
                <c:pt idx="196">
                  <c:v>42644</c:v>
                </c:pt>
                <c:pt idx="197">
                  <c:v>42675</c:v>
                </c:pt>
                <c:pt idx="198">
                  <c:v>42705</c:v>
                </c:pt>
                <c:pt idx="199">
                  <c:v>42736</c:v>
                </c:pt>
                <c:pt idx="200">
                  <c:v>42767</c:v>
                </c:pt>
                <c:pt idx="201">
                  <c:v>42795</c:v>
                </c:pt>
                <c:pt idx="202">
                  <c:v>42826</c:v>
                </c:pt>
                <c:pt idx="203">
                  <c:v>42856</c:v>
                </c:pt>
                <c:pt idx="204">
                  <c:v>42887</c:v>
                </c:pt>
                <c:pt idx="205">
                  <c:v>42917</c:v>
                </c:pt>
                <c:pt idx="206">
                  <c:v>42948</c:v>
                </c:pt>
                <c:pt idx="207">
                  <c:v>42979</c:v>
                </c:pt>
                <c:pt idx="208">
                  <c:v>43009</c:v>
                </c:pt>
                <c:pt idx="209">
                  <c:v>43040</c:v>
                </c:pt>
                <c:pt idx="210">
                  <c:v>43070</c:v>
                </c:pt>
                <c:pt idx="211">
                  <c:v>43101</c:v>
                </c:pt>
                <c:pt idx="212">
                  <c:v>43132</c:v>
                </c:pt>
                <c:pt idx="213">
                  <c:v>43160</c:v>
                </c:pt>
                <c:pt idx="214">
                  <c:v>43191</c:v>
                </c:pt>
                <c:pt idx="215">
                  <c:v>43221</c:v>
                </c:pt>
                <c:pt idx="216">
                  <c:v>43252</c:v>
                </c:pt>
                <c:pt idx="217">
                  <c:v>43282</c:v>
                </c:pt>
                <c:pt idx="218">
                  <c:v>43313</c:v>
                </c:pt>
                <c:pt idx="219">
                  <c:v>43344</c:v>
                </c:pt>
                <c:pt idx="220">
                  <c:v>43374</c:v>
                </c:pt>
                <c:pt idx="221">
                  <c:v>43405</c:v>
                </c:pt>
                <c:pt idx="222">
                  <c:v>43435</c:v>
                </c:pt>
                <c:pt idx="223">
                  <c:v>43466</c:v>
                </c:pt>
                <c:pt idx="224">
                  <c:v>43497</c:v>
                </c:pt>
                <c:pt idx="225">
                  <c:v>43525</c:v>
                </c:pt>
                <c:pt idx="226">
                  <c:v>43556</c:v>
                </c:pt>
                <c:pt idx="227">
                  <c:v>43586</c:v>
                </c:pt>
                <c:pt idx="228">
                  <c:v>43617</c:v>
                </c:pt>
                <c:pt idx="229">
                  <c:v>43647</c:v>
                </c:pt>
                <c:pt idx="230">
                  <c:v>43678</c:v>
                </c:pt>
                <c:pt idx="231">
                  <c:v>43709</c:v>
                </c:pt>
                <c:pt idx="232">
                  <c:v>43739</c:v>
                </c:pt>
                <c:pt idx="233">
                  <c:v>43770</c:v>
                </c:pt>
                <c:pt idx="234">
                  <c:v>43800</c:v>
                </c:pt>
                <c:pt idx="235">
                  <c:v>43831</c:v>
                </c:pt>
                <c:pt idx="236">
                  <c:v>43862</c:v>
                </c:pt>
                <c:pt idx="237">
                  <c:v>43891</c:v>
                </c:pt>
                <c:pt idx="238">
                  <c:v>43922</c:v>
                </c:pt>
                <c:pt idx="239">
                  <c:v>43952</c:v>
                </c:pt>
                <c:pt idx="240">
                  <c:v>43983</c:v>
                </c:pt>
                <c:pt idx="241">
                  <c:v>44013</c:v>
                </c:pt>
                <c:pt idx="242">
                  <c:v>44044</c:v>
                </c:pt>
                <c:pt idx="243">
                  <c:v>44075</c:v>
                </c:pt>
                <c:pt idx="244">
                  <c:v>44105</c:v>
                </c:pt>
                <c:pt idx="245">
                  <c:v>44136</c:v>
                </c:pt>
                <c:pt idx="246">
                  <c:v>44166</c:v>
                </c:pt>
                <c:pt idx="247">
                  <c:v>44197</c:v>
                </c:pt>
                <c:pt idx="248">
                  <c:v>44228</c:v>
                </c:pt>
                <c:pt idx="249">
                  <c:v>44256</c:v>
                </c:pt>
                <c:pt idx="250">
                  <c:v>44287</c:v>
                </c:pt>
                <c:pt idx="251">
                  <c:v>44317</c:v>
                </c:pt>
                <c:pt idx="252">
                  <c:v>44348</c:v>
                </c:pt>
                <c:pt idx="253">
                  <c:v>44378</c:v>
                </c:pt>
                <c:pt idx="254">
                  <c:v>44409</c:v>
                </c:pt>
                <c:pt idx="255">
                  <c:v>44440</c:v>
                </c:pt>
                <c:pt idx="256">
                  <c:v>44470</c:v>
                </c:pt>
                <c:pt idx="257">
                  <c:v>44501</c:v>
                </c:pt>
                <c:pt idx="258">
                  <c:v>44531</c:v>
                </c:pt>
                <c:pt idx="259">
                  <c:v>44562</c:v>
                </c:pt>
                <c:pt idx="260">
                  <c:v>44593</c:v>
                </c:pt>
                <c:pt idx="261">
                  <c:v>44621</c:v>
                </c:pt>
                <c:pt idx="262">
                  <c:v>44652</c:v>
                </c:pt>
                <c:pt idx="263">
                  <c:v>44682</c:v>
                </c:pt>
                <c:pt idx="264">
                  <c:v>44713</c:v>
                </c:pt>
                <c:pt idx="265">
                  <c:v>44743</c:v>
                </c:pt>
                <c:pt idx="266">
                  <c:v>44774</c:v>
                </c:pt>
                <c:pt idx="267">
                  <c:v>44805</c:v>
                </c:pt>
                <c:pt idx="268">
                  <c:v>44835</c:v>
                </c:pt>
                <c:pt idx="269">
                  <c:v>44866</c:v>
                </c:pt>
                <c:pt idx="270">
                  <c:v>44896</c:v>
                </c:pt>
                <c:pt idx="271">
                  <c:v>44927</c:v>
                </c:pt>
                <c:pt idx="272">
                  <c:v>44958</c:v>
                </c:pt>
                <c:pt idx="273">
                  <c:v>44986</c:v>
                </c:pt>
                <c:pt idx="274">
                  <c:v>45017</c:v>
                </c:pt>
                <c:pt idx="275">
                  <c:v>45047</c:v>
                </c:pt>
                <c:pt idx="276">
                  <c:v>45078</c:v>
                </c:pt>
                <c:pt idx="277">
                  <c:v>45108</c:v>
                </c:pt>
                <c:pt idx="278">
                  <c:v>45139</c:v>
                </c:pt>
                <c:pt idx="279">
                  <c:v>45170</c:v>
                </c:pt>
                <c:pt idx="280">
                  <c:v>45200</c:v>
                </c:pt>
                <c:pt idx="281">
                  <c:v>45231</c:v>
                </c:pt>
                <c:pt idx="282">
                  <c:v>45261</c:v>
                </c:pt>
                <c:pt idx="283">
                  <c:v>45292</c:v>
                </c:pt>
                <c:pt idx="284">
                  <c:v>45323</c:v>
                </c:pt>
                <c:pt idx="285">
                  <c:v>45352</c:v>
                </c:pt>
                <c:pt idx="286">
                  <c:v>45383</c:v>
                </c:pt>
                <c:pt idx="287">
                  <c:v>45413</c:v>
                </c:pt>
                <c:pt idx="288">
                  <c:v>45444</c:v>
                </c:pt>
                <c:pt idx="289">
                  <c:v>45474</c:v>
                </c:pt>
                <c:pt idx="290">
                  <c:v>45505</c:v>
                </c:pt>
                <c:pt idx="291">
                  <c:v>45536</c:v>
                </c:pt>
                <c:pt idx="292">
                  <c:v>45566</c:v>
                </c:pt>
                <c:pt idx="293">
                  <c:v>45597</c:v>
                </c:pt>
                <c:pt idx="294">
                  <c:v>45627</c:v>
                </c:pt>
                <c:pt idx="295">
                  <c:v>45658</c:v>
                </c:pt>
                <c:pt idx="296">
                  <c:v>45689</c:v>
                </c:pt>
                <c:pt idx="297">
                  <c:v>45717</c:v>
                </c:pt>
                <c:pt idx="298">
                  <c:v>45748</c:v>
                </c:pt>
                <c:pt idx="299">
                  <c:v>45778</c:v>
                </c:pt>
                <c:pt idx="300">
                  <c:v>45809</c:v>
                </c:pt>
                <c:pt idx="301">
                  <c:v>45839</c:v>
                </c:pt>
                <c:pt idx="302">
                  <c:v>45870</c:v>
                </c:pt>
                <c:pt idx="303">
                  <c:v>45901</c:v>
                </c:pt>
                <c:pt idx="304">
                  <c:v>45931</c:v>
                </c:pt>
                <c:pt idx="305">
                  <c:v>45962</c:v>
                </c:pt>
                <c:pt idx="306">
                  <c:v>45992</c:v>
                </c:pt>
              </c:numCache>
            </c:numRef>
          </c:cat>
          <c:val>
            <c:numRef>
              <c:f>Hoja1!$D$2:$D$308</c:f>
              <c:numCache>
                <c:formatCode>0.00</c:formatCode>
                <c:ptCount val="307"/>
                <c:pt idx="0">
                  <c:v>9.68</c:v>
                </c:pt>
                <c:pt idx="1">
                  <c:v>9.2899999999999991</c:v>
                </c:pt>
                <c:pt idx="2">
                  <c:v>9.1</c:v>
                </c:pt>
                <c:pt idx="3">
                  <c:v>9.1999999999999993</c:v>
                </c:pt>
                <c:pt idx="4">
                  <c:v>8.99</c:v>
                </c:pt>
                <c:pt idx="5">
                  <c:v>8.82</c:v>
                </c:pt>
                <c:pt idx="6">
                  <c:v>8.75</c:v>
                </c:pt>
                <c:pt idx="7">
                  <c:v>8.49</c:v>
                </c:pt>
                <c:pt idx="8">
                  <c:v>8.06</c:v>
                </c:pt>
                <c:pt idx="9">
                  <c:v>7.81</c:v>
                </c:pt>
                <c:pt idx="10">
                  <c:v>7.98</c:v>
                </c:pt>
                <c:pt idx="11">
                  <c:v>7.87</c:v>
                </c:pt>
                <c:pt idx="12">
                  <c:v>7.93</c:v>
                </c:pt>
                <c:pt idx="13">
                  <c:v>8.09</c:v>
                </c:pt>
                <c:pt idx="14">
                  <c:v>8.0299999999999994</c:v>
                </c:pt>
                <c:pt idx="15">
                  <c:v>7.97</c:v>
                </c:pt>
                <c:pt idx="16">
                  <c:v>8.01</c:v>
                </c:pt>
                <c:pt idx="17">
                  <c:v>7.78</c:v>
                </c:pt>
                <c:pt idx="18">
                  <c:v>7.65</c:v>
                </c:pt>
                <c:pt idx="19">
                  <c:v>7.37</c:v>
                </c:pt>
                <c:pt idx="20">
                  <c:v>6.7</c:v>
                </c:pt>
                <c:pt idx="21">
                  <c:v>5.89</c:v>
                </c:pt>
                <c:pt idx="22">
                  <c:v>5.65</c:v>
                </c:pt>
                <c:pt idx="23">
                  <c:v>5.84</c:v>
                </c:pt>
                <c:pt idx="24">
                  <c:v>6.25</c:v>
                </c:pt>
                <c:pt idx="25">
                  <c:v>6.16</c:v>
                </c:pt>
                <c:pt idx="26">
                  <c:v>5.98</c:v>
                </c:pt>
                <c:pt idx="27">
                  <c:v>5.97</c:v>
                </c:pt>
                <c:pt idx="28">
                  <c:v>6.37</c:v>
                </c:pt>
                <c:pt idx="29">
                  <c:v>7.07</c:v>
                </c:pt>
                <c:pt idx="30">
                  <c:v>6.99</c:v>
                </c:pt>
                <c:pt idx="31">
                  <c:v>7.39</c:v>
                </c:pt>
                <c:pt idx="32">
                  <c:v>7.24</c:v>
                </c:pt>
                <c:pt idx="33">
                  <c:v>7.6</c:v>
                </c:pt>
                <c:pt idx="34">
                  <c:v>7.85</c:v>
                </c:pt>
                <c:pt idx="35">
                  <c:v>7.73</c:v>
                </c:pt>
                <c:pt idx="36">
                  <c:v>7.21</c:v>
                </c:pt>
                <c:pt idx="37">
                  <c:v>7.04</c:v>
                </c:pt>
                <c:pt idx="38">
                  <c:v>7.26</c:v>
                </c:pt>
                <c:pt idx="39">
                  <c:v>7.11</c:v>
                </c:pt>
                <c:pt idx="40">
                  <c:v>6.58</c:v>
                </c:pt>
                <c:pt idx="41">
                  <c:v>6.13</c:v>
                </c:pt>
                <c:pt idx="42">
                  <c:v>6.49</c:v>
                </c:pt>
                <c:pt idx="43">
                  <c:v>6.19</c:v>
                </c:pt>
                <c:pt idx="44">
                  <c:v>6.28</c:v>
                </c:pt>
                <c:pt idx="45">
                  <c:v>6.21</c:v>
                </c:pt>
                <c:pt idx="46">
                  <c:v>5.49</c:v>
                </c:pt>
                <c:pt idx="47">
                  <c:v>5.37</c:v>
                </c:pt>
                <c:pt idx="48">
                  <c:v>6.07</c:v>
                </c:pt>
                <c:pt idx="49">
                  <c:v>6.19</c:v>
                </c:pt>
                <c:pt idx="50">
                  <c:v>5.89</c:v>
                </c:pt>
                <c:pt idx="51">
                  <c:v>5.97</c:v>
                </c:pt>
                <c:pt idx="52">
                  <c:v>5.9</c:v>
                </c:pt>
                <c:pt idx="53">
                  <c:v>5.82</c:v>
                </c:pt>
                <c:pt idx="54">
                  <c:v>5.5</c:v>
                </c:pt>
                <c:pt idx="55">
                  <c:v>5.43</c:v>
                </c:pt>
                <c:pt idx="56">
                  <c:v>5.25</c:v>
                </c:pt>
                <c:pt idx="57">
                  <c:v>5.03</c:v>
                </c:pt>
                <c:pt idx="58">
                  <c:v>5.01</c:v>
                </c:pt>
                <c:pt idx="59">
                  <c:v>5.04</c:v>
                </c:pt>
                <c:pt idx="60">
                  <c:v>4.83</c:v>
                </c:pt>
                <c:pt idx="61">
                  <c:v>4.91</c:v>
                </c:pt>
                <c:pt idx="62">
                  <c:v>4.88</c:v>
                </c:pt>
                <c:pt idx="63">
                  <c:v>5.0199999999999996</c:v>
                </c:pt>
                <c:pt idx="64">
                  <c:v>5.27</c:v>
                </c:pt>
                <c:pt idx="65">
                  <c:v>5.0999999999999996</c:v>
                </c:pt>
                <c:pt idx="66">
                  <c:v>4.8499999999999996</c:v>
                </c:pt>
                <c:pt idx="67">
                  <c:v>4.5599999999999996</c:v>
                </c:pt>
                <c:pt idx="68">
                  <c:v>4.1900000000000004</c:v>
                </c:pt>
                <c:pt idx="69">
                  <c:v>4.1100000000000003</c:v>
                </c:pt>
                <c:pt idx="70">
                  <c:v>4.12</c:v>
                </c:pt>
                <c:pt idx="71">
                  <c:v>4.04</c:v>
                </c:pt>
                <c:pt idx="72">
                  <c:v>3.94</c:v>
                </c:pt>
                <c:pt idx="73">
                  <c:v>4.32</c:v>
                </c:pt>
                <c:pt idx="74">
                  <c:v>4.72</c:v>
                </c:pt>
                <c:pt idx="75">
                  <c:v>4.58</c:v>
                </c:pt>
                <c:pt idx="76">
                  <c:v>4.1900000000000004</c:v>
                </c:pt>
                <c:pt idx="77">
                  <c:v>4.3099999999999996</c:v>
                </c:pt>
                <c:pt idx="78">
                  <c:v>4.4800000000000004</c:v>
                </c:pt>
                <c:pt idx="79">
                  <c:v>4.71</c:v>
                </c:pt>
                <c:pt idx="80">
                  <c:v>5.25</c:v>
                </c:pt>
                <c:pt idx="81">
                  <c:v>5.78</c:v>
                </c:pt>
                <c:pt idx="82">
                  <c:v>6.26</c:v>
                </c:pt>
                <c:pt idx="83">
                  <c:v>6.23</c:v>
                </c:pt>
                <c:pt idx="84">
                  <c:v>6.03</c:v>
                </c:pt>
                <c:pt idx="85">
                  <c:v>5.77</c:v>
                </c:pt>
                <c:pt idx="86">
                  <c:v>5.22</c:v>
                </c:pt>
                <c:pt idx="87">
                  <c:v>5.01</c:v>
                </c:pt>
                <c:pt idx="88">
                  <c:v>5.16</c:v>
                </c:pt>
                <c:pt idx="89">
                  <c:v>5.41</c:v>
                </c:pt>
                <c:pt idx="90">
                  <c:v>5.69</c:v>
                </c:pt>
                <c:pt idx="91">
                  <c:v>6</c:v>
                </c:pt>
                <c:pt idx="92">
                  <c:v>6.35</c:v>
                </c:pt>
                <c:pt idx="93">
                  <c:v>5.93</c:v>
                </c:pt>
                <c:pt idx="94">
                  <c:v>5.73</c:v>
                </c:pt>
                <c:pt idx="95">
                  <c:v>6.39</c:v>
                </c:pt>
                <c:pt idx="96">
                  <c:v>7.18</c:v>
                </c:pt>
                <c:pt idx="97">
                  <c:v>7.52</c:v>
                </c:pt>
                <c:pt idx="98">
                  <c:v>7.87</c:v>
                </c:pt>
                <c:pt idx="99">
                  <c:v>7.57</c:v>
                </c:pt>
                <c:pt idx="100">
                  <c:v>7.94</c:v>
                </c:pt>
                <c:pt idx="101">
                  <c:v>7.73</c:v>
                </c:pt>
                <c:pt idx="102">
                  <c:v>7.67</c:v>
                </c:pt>
                <c:pt idx="103">
                  <c:v>7.18</c:v>
                </c:pt>
                <c:pt idx="104">
                  <c:v>6.47</c:v>
                </c:pt>
                <c:pt idx="105">
                  <c:v>6.14</c:v>
                </c:pt>
                <c:pt idx="106">
                  <c:v>5.73</c:v>
                </c:pt>
                <c:pt idx="107">
                  <c:v>4.7699999999999996</c:v>
                </c:pt>
                <c:pt idx="108">
                  <c:v>3.81</c:v>
                </c:pt>
                <c:pt idx="109">
                  <c:v>3.28</c:v>
                </c:pt>
                <c:pt idx="110">
                  <c:v>3.13</c:v>
                </c:pt>
                <c:pt idx="111">
                  <c:v>3.21</c:v>
                </c:pt>
                <c:pt idx="112">
                  <c:v>2.72</c:v>
                </c:pt>
                <c:pt idx="113">
                  <c:v>2.37</c:v>
                </c:pt>
                <c:pt idx="114">
                  <c:v>2</c:v>
                </c:pt>
                <c:pt idx="115">
                  <c:v>2.1</c:v>
                </c:pt>
                <c:pt idx="116">
                  <c:v>2.09</c:v>
                </c:pt>
                <c:pt idx="117">
                  <c:v>1.84</c:v>
                </c:pt>
                <c:pt idx="118">
                  <c:v>1.98</c:v>
                </c:pt>
                <c:pt idx="119">
                  <c:v>2.0699999999999998</c:v>
                </c:pt>
                <c:pt idx="120">
                  <c:v>2.25</c:v>
                </c:pt>
                <c:pt idx="121">
                  <c:v>2.2400000000000002</c:v>
                </c:pt>
                <c:pt idx="122">
                  <c:v>2.31</c:v>
                </c:pt>
                <c:pt idx="123">
                  <c:v>2.2799999999999998</c:v>
                </c:pt>
                <c:pt idx="124">
                  <c:v>2.33</c:v>
                </c:pt>
                <c:pt idx="125">
                  <c:v>2.59</c:v>
                </c:pt>
                <c:pt idx="126">
                  <c:v>3.17</c:v>
                </c:pt>
                <c:pt idx="127">
                  <c:v>3.4</c:v>
                </c:pt>
                <c:pt idx="128">
                  <c:v>3.17</c:v>
                </c:pt>
                <c:pt idx="129">
                  <c:v>3.19</c:v>
                </c:pt>
                <c:pt idx="130">
                  <c:v>2.84</c:v>
                </c:pt>
                <c:pt idx="131">
                  <c:v>3.02</c:v>
                </c:pt>
                <c:pt idx="132">
                  <c:v>3.23</c:v>
                </c:pt>
                <c:pt idx="133">
                  <c:v>3.42</c:v>
                </c:pt>
                <c:pt idx="134">
                  <c:v>3.27</c:v>
                </c:pt>
                <c:pt idx="135">
                  <c:v>3.73</c:v>
                </c:pt>
                <c:pt idx="136">
                  <c:v>4.0199999999999996</c:v>
                </c:pt>
                <c:pt idx="137">
                  <c:v>3.96</c:v>
                </c:pt>
                <c:pt idx="138">
                  <c:v>3.73</c:v>
                </c:pt>
                <c:pt idx="139">
                  <c:v>3.54</c:v>
                </c:pt>
                <c:pt idx="140">
                  <c:v>3.55</c:v>
                </c:pt>
                <c:pt idx="141">
                  <c:v>3.4</c:v>
                </c:pt>
                <c:pt idx="142">
                  <c:v>3.43</c:v>
                </c:pt>
                <c:pt idx="143">
                  <c:v>3.44</c:v>
                </c:pt>
                <c:pt idx="144">
                  <c:v>3.2</c:v>
                </c:pt>
                <c:pt idx="145">
                  <c:v>3.03</c:v>
                </c:pt>
                <c:pt idx="146">
                  <c:v>3.11</c:v>
                </c:pt>
                <c:pt idx="147">
                  <c:v>3.08</c:v>
                </c:pt>
                <c:pt idx="148">
                  <c:v>3.06</c:v>
                </c:pt>
                <c:pt idx="149">
                  <c:v>2.77</c:v>
                </c:pt>
                <c:pt idx="150">
                  <c:v>2.44</c:v>
                </c:pt>
                <c:pt idx="151">
                  <c:v>2</c:v>
                </c:pt>
                <c:pt idx="152">
                  <c:v>1.83</c:v>
                </c:pt>
                <c:pt idx="153">
                  <c:v>1.91</c:v>
                </c:pt>
                <c:pt idx="154">
                  <c:v>2.02</c:v>
                </c:pt>
                <c:pt idx="155">
                  <c:v>2</c:v>
                </c:pt>
                <c:pt idx="156">
                  <c:v>2.16</c:v>
                </c:pt>
                <c:pt idx="157">
                  <c:v>2.2200000000000002</c:v>
                </c:pt>
                <c:pt idx="158">
                  <c:v>2.27</c:v>
                </c:pt>
                <c:pt idx="159">
                  <c:v>2.27</c:v>
                </c:pt>
                <c:pt idx="160">
                  <c:v>1.84</c:v>
                </c:pt>
                <c:pt idx="161">
                  <c:v>1.76</c:v>
                </c:pt>
                <c:pt idx="162">
                  <c:v>1.94</c:v>
                </c:pt>
                <c:pt idx="163">
                  <c:v>2.13</c:v>
                </c:pt>
                <c:pt idx="164">
                  <c:v>2.3199999999999998</c:v>
                </c:pt>
                <c:pt idx="165">
                  <c:v>2.5099999999999998</c:v>
                </c:pt>
                <c:pt idx="166">
                  <c:v>2.72</c:v>
                </c:pt>
                <c:pt idx="167">
                  <c:v>2.93</c:v>
                </c:pt>
                <c:pt idx="168">
                  <c:v>2.79</c:v>
                </c:pt>
                <c:pt idx="169">
                  <c:v>2.89</c:v>
                </c:pt>
                <c:pt idx="170">
                  <c:v>3.02</c:v>
                </c:pt>
                <c:pt idx="171">
                  <c:v>2.86</c:v>
                </c:pt>
                <c:pt idx="172">
                  <c:v>3.29</c:v>
                </c:pt>
                <c:pt idx="173">
                  <c:v>3.65</c:v>
                </c:pt>
                <c:pt idx="174">
                  <c:v>3.66</c:v>
                </c:pt>
                <c:pt idx="175">
                  <c:v>3.82</c:v>
                </c:pt>
                <c:pt idx="176">
                  <c:v>4.3600000000000003</c:v>
                </c:pt>
                <c:pt idx="177">
                  <c:v>4.5599999999999996</c:v>
                </c:pt>
                <c:pt idx="178">
                  <c:v>4.6399999999999997</c:v>
                </c:pt>
                <c:pt idx="179">
                  <c:v>4.41</c:v>
                </c:pt>
                <c:pt idx="180">
                  <c:v>4.42</c:v>
                </c:pt>
                <c:pt idx="181">
                  <c:v>4.46</c:v>
                </c:pt>
                <c:pt idx="182">
                  <c:v>4.74</c:v>
                </c:pt>
                <c:pt idx="183">
                  <c:v>5.35</c:v>
                </c:pt>
                <c:pt idx="184">
                  <c:v>5.89</c:v>
                </c:pt>
                <c:pt idx="185">
                  <c:v>6.39</c:v>
                </c:pt>
                <c:pt idx="186">
                  <c:v>6.77</c:v>
                </c:pt>
                <c:pt idx="187">
                  <c:v>7.45</c:v>
                </c:pt>
                <c:pt idx="188">
                  <c:v>7.59</c:v>
                </c:pt>
                <c:pt idx="189">
                  <c:v>7.98</c:v>
                </c:pt>
                <c:pt idx="190">
                  <c:v>7.93</c:v>
                </c:pt>
                <c:pt idx="191">
                  <c:v>8.1999999999999993</c:v>
                </c:pt>
                <c:pt idx="192">
                  <c:v>8.6</c:v>
                </c:pt>
                <c:pt idx="193">
                  <c:v>8.9700000000000006</c:v>
                </c:pt>
                <c:pt idx="194">
                  <c:v>8.1</c:v>
                </c:pt>
                <c:pt idx="195">
                  <c:v>7.27</c:v>
                </c:pt>
                <c:pt idx="196">
                  <c:v>6.48</c:v>
                </c:pt>
                <c:pt idx="197">
                  <c:v>5.96</c:v>
                </c:pt>
                <c:pt idx="198">
                  <c:v>5.75</c:v>
                </c:pt>
                <c:pt idx="199">
                  <c:v>5.47</c:v>
                </c:pt>
                <c:pt idx="200">
                  <c:v>5.18</c:v>
                </c:pt>
                <c:pt idx="201">
                  <c:v>4.6900000000000004</c:v>
                </c:pt>
                <c:pt idx="202">
                  <c:v>4.66</c:v>
                </c:pt>
                <c:pt idx="203">
                  <c:v>4.37</c:v>
                </c:pt>
                <c:pt idx="204">
                  <c:v>3.99</c:v>
                </c:pt>
                <c:pt idx="205">
                  <c:v>3.4</c:v>
                </c:pt>
                <c:pt idx="206">
                  <c:v>3.87</c:v>
                </c:pt>
                <c:pt idx="207">
                  <c:v>3.97</c:v>
                </c:pt>
                <c:pt idx="208">
                  <c:v>4.05</c:v>
                </c:pt>
                <c:pt idx="209">
                  <c:v>4.12</c:v>
                </c:pt>
                <c:pt idx="210">
                  <c:v>4.09</c:v>
                </c:pt>
                <c:pt idx="211">
                  <c:v>3.68</c:v>
                </c:pt>
                <c:pt idx="212">
                  <c:v>3.37</c:v>
                </c:pt>
                <c:pt idx="213">
                  <c:v>3.14</c:v>
                </c:pt>
                <c:pt idx="214">
                  <c:v>3.13</c:v>
                </c:pt>
                <c:pt idx="215">
                  <c:v>3.16</c:v>
                </c:pt>
                <c:pt idx="216">
                  <c:v>3.2</c:v>
                </c:pt>
                <c:pt idx="217">
                  <c:v>3.12</c:v>
                </c:pt>
                <c:pt idx="218">
                  <c:v>3.1</c:v>
                </c:pt>
                <c:pt idx="219">
                  <c:v>3.23</c:v>
                </c:pt>
                <c:pt idx="220">
                  <c:v>3.33</c:v>
                </c:pt>
                <c:pt idx="221">
                  <c:v>3.27</c:v>
                </c:pt>
                <c:pt idx="222">
                  <c:v>3.18</c:v>
                </c:pt>
                <c:pt idx="223">
                  <c:v>3.15</c:v>
                </c:pt>
                <c:pt idx="224">
                  <c:v>3.01</c:v>
                </c:pt>
                <c:pt idx="225">
                  <c:v>3.21</c:v>
                </c:pt>
                <c:pt idx="226">
                  <c:v>3.25</c:v>
                </c:pt>
                <c:pt idx="227">
                  <c:v>3.31</c:v>
                </c:pt>
                <c:pt idx="228">
                  <c:v>3.43</c:v>
                </c:pt>
                <c:pt idx="229">
                  <c:v>3.79</c:v>
                </c:pt>
                <c:pt idx="230">
                  <c:v>3.75</c:v>
                </c:pt>
                <c:pt idx="231">
                  <c:v>3.82</c:v>
                </c:pt>
                <c:pt idx="232">
                  <c:v>3.86</c:v>
                </c:pt>
                <c:pt idx="233">
                  <c:v>3.84</c:v>
                </c:pt>
                <c:pt idx="234">
                  <c:v>3.8</c:v>
                </c:pt>
                <c:pt idx="235">
                  <c:v>3.62</c:v>
                </c:pt>
                <c:pt idx="236">
                  <c:v>3.72</c:v>
                </c:pt>
                <c:pt idx="237">
                  <c:v>3.86</c:v>
                </c:pt>
                <c:pt idx="238">
                  <c:v>3.51</c:v>
                </c:pt>
                <c:pt idx="239">
                  <c:v>2.85</c:v>
                </c:pt>
                <c:pt idx="240">
                  <c:v>2.19</c:v>
                </c:pt>
                <c:pt idx="241">
                  <c:v>1.97</c:v>
                </c:pt>
                <c:pt idx="242">
                  <c:v>1.88</c:v>
                </c:pt>
                <c:pt idx="243">
                  <c:v>1.97</c:v>
                </c:pt>
                <c:pt idx="244">
                  <c:v>1.75</c:v>
                </c:pt>
                <c:pt idx="245">
                  <c:v>1.49</c:v>
                </c:pt>
                <c:pt idx="246">
                  <c:v>1.61</c:v>
                </c:pt>
                <c:pt idx="247">
                  <c:v>1.6</c:v>
                </c:pt>
                <c:pt idx="248">
                  <c:v>1.56</c:v>
                </c:pt>
                <c:pt idx="249">
                  <c:v>1.51</c:v>
                </c:pt>
                <c:pt idx="250">
                  <c:v>1.95</c:v>
                </c:pt>
                <c:pt idx="251">
                  <c:v>3.3</c:v>
                </c:pt>
                <c:pt idx="252">
                  <c:v>3.63</c:v>
                </c:pt>
                <c:pt idx="253">
                  <c:v>3.97</c:v>
                </c:pt>
                <c:pt idx="254">
                  <c:v>4.4400000000000004</c:v>
                </c:pt>
                <c:pt idx="255">
                  <c:v>4.51</c:v>
                </c:pt>
                <c:pt idx="256">
                  <c:v>4.58</c:v>
                </c:pt>
                <c:pt idx="257">
                  <c:v>5.26</c:v>
                </c:pt>
                <c:pt idx="258">
                  <c:v>5.62</c:v>
                </c:pt>
                <c:pt idx="259">
                  <c:v>6.94</c:v>
                </c:pt>
                <c:pt idx="260">
                  <c:v>8.01</c:v>
                </c:pt>
                <c:pt idx="261">
                  <c:v>8.5299999999999994</c:v>
                </c:pt>
                <c:pt idx="262">
                  <c:v>9.23</c:v>
                </c:pt>
                <c:pt idx="263">
                  <c:v>9.07</c:v>
                </c:pt>
                <c:pt idx="264">
                  <c:v>9.67</c:v>
                </c:pt>
                <c:pt idx="265">
                  <c:v>10.210000000000001</c:v>
                </c:pt>
                <c:pt idx="266">
                  <c:v>10.84</c:v>
                </c:pt>
                <c:pt idx="267">
                  <c:v>11.44</c:v>
                </c:pt>
                <c:pt idx="268">
                  <c:v>12.22</c:v>
                </c:pt>
                <c:pt idx="269">
                  <c:v>12.53</c:v>
                </c:pt>
                <c:pt idx="270">
                  <c:v>13.12</c:v>
                </c:pt>
                <c:pt idx="271">
                  <c:v>13.25</c:v>
                </c:pt>
                <c:pt idx="272">
                  <c:v>13.28</c:v>
                </c:pt>
                <c:pt idx="273">
                  <c:v>13.34</c:v>
                </c:pt>
                <c:pt idx="274">
                  <c:v>12.82</c:v>
                </c:pt>
                <c:pt idx="275">
                  <c:v>12.36</c:v>
                </c:pt>
                <c:pt idx="276">
                  <c:v>12.13</c:v>
                </c:pt>
                <c:pt idx="277">
                  <c:v>11.78</c:v>
                </c:pt>
                <c:pt idx="278">
                  <c:v>11.43</c:v>
                </c:pt>
                <c:pt idx="279">
                  <c:v>10.99</c:v>
                </c:pt>
                <c:pt idx="280">
                  <c:v>10.48</c:v>
                </c:pt>
                <c:pt idx="281">
                  <c:v>10.15</c:v>
                </c:pt>
                <c:pt idx="282">
                  <c:v>9.2799999999999994</c:v>
                </c:pt>
                <c:pt idx="283">
                  <c:v>8.35</c:v>
                </c:pt>
                <c:pt idx="284">
                  <c:v>7.74</c:v>
                </c:pt>
                <c:pt idx="285">
                  <c:v>7.36</c:v>
                </c:pt>
                <c:pt idx="286">
                  <c:v>7.16</c:v>
                </c:pt>
                <c:pt idx="287">
                  <c:v>7.16</c:v>
                </c:pt>
                <c:pt idx="288">
                  <c:v>7.18</c:v>
                </c:pt>
                <c:pt idx="289">
                  <c:v>6.86</c:v>
                </c:pt>
                <c:pt idx="290">
                  <c:v>6.12</c:v>
                </c:pt>
                <c:pt idx="291">
                  <c:v>5.81</c:v>
                </c:pt>
                <c:pt idx="292">
                  <c:v>5.41</c:v>
                </c:pt>
                <c:pt idx="293">
                  <c:v>5.2</c:v>
                </c:pt>
                <c:pt idx="294">
                  <c:v>5.2</c:v>
                </c:pt>
                <c:pt idx="295">
                  <c:v>5.22</c:v>
                </c:pt>
                <c:pt idx="296">
                  <c:v>5.28</c:v>
                </c:pt>
                <c:pt idx="297">
                  <c:v>5.09</c:v>
                </c:pt>
                <c:pt idx="298">
                  <c:v>5.16</c:v>
                </c:pt>
                <c:pt idx="299">
                  <c:v>5.05</c:v>
                </c:pt>
                <c:pt idx="300">
                  <c:v>4.82</c:v>
                </c:pt>
                <c:pt idx="301">
                  <c:v>4.9000000000000004</c:v>
                </c:pt>
                <c:pt idx="302">
                  <c:v>5.0999999999999996</c:v>
                </c:pt>
                <c:pt idx="303">
                  <c:v>5.18</c:v>
                </c:pt>
                <c:pt idx="304">
                  <c:v>5.51</c:v>
                </c:pt>
                <c:pt idx="305">
                  <c:v>5.3</c:v>
                </c:pt>
                <c:pt idx="306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7-4A0E-A63F-03F706FF02ED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Tasa Repo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Hoja1!$C$2:$C$308</c:f>
              <c:numCache>
                <c:formatCode>m/d/yyyy</c:formatCode>
                <c:ptCount val="307"/>
                <c:pt idx="0">
                  <c:v>36678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  <c:pt idx="172">
                  <c:v>41913</c:v>
                </c:pt>
                <c:pt idx="173">
                  <c:v>41944</c:v>
                </c:pt>
                <c:pt idx="174">
                  <c:v>41974</c:v>
                </c:pt>
                <c:pt idx="175">
                  <c:v>42005</c:v>
                </c:pt>
                <c:pt idx="176">
                  <c:v>42036</c:v>
                </c:pt>
                <c:pt idx="177">
                  <c:v>42064</c:v>
                </c:pt>
                <c:pt idx="178">
                  <c:v>42095</c:v>
                </c:pt>
                <c:pt idx="179">
                  <c:v>42125</c:v>
                </c:pt>
                <c:pt idx="180">
                  <c:v>42156</c:v>
                </c:pt>
                <c:pt idx="181">
                  <c:v>42186</c:v>
                </c:pt>
                <c:pt idx="182">
                  <c:v>42217</c:v>
                </c:pt>
                <c:pt idx="183">
                  <c:v>42248</c:v>
                </c:pt>
                <c:pt idx="184">
                  <c:v>42278</c:v>
                </c:pt>
                <c:pt idx="185">
                  <c:v>42309</c:v>
                </c:pt>
                <c:pt idx="186">
                  <c:v>42339</c:v>
                </c:pt>
                <c:pt idx="187">
                  <c:v>42370</c:v>
                </c:pt>
                <c:pt idx="188">
                  <c:v>42401</c:v>
                </c:pt>
                <c:pt idx="189">
                  <c:v>42430</c:v>
                </c:pt>
                <c:pt idx="190">
                  <c:v>42461</c:v>
                </c:pt>
                <c:pt idx="191">
                  <c:v>42491</c:v>
                </c:pt>
                <c:pt idx="192">
                  <c:v>42522</c:v>
                </c:pt>
                <c:pt idx="193">
                  <c:v>42552</c:v>
                </c:pt>
                <c:pt idx="194">
                  <c:v>42583</c:v>
                </c:pt>
                <c:pt idx="195">
                  <c:v>42614</c:v>
                </c:pt>
                <c:pt idx="196">
                  <c:v>42644</c:v>
                </c:pt>
                <c:pt idx="197">
                  <c:v>42675</c:v>
                </c:pt>
                <c:pt idx="198">
                  <c:v>42705</c:v>
                </c:pt>
                <c:pt idx="199">
                  <c:v>42736</c:v>
                </c:pt>
                <c:pt idx="200">
                  <c:v>42767</c:v>
                </c:pt>
                <c:pt idx="201">
                  <c:v>42795</c:v>
                </c:pt>
                <c:pt idx="202">
                  <c:v>42826</c:v>
                </c:pt>
                <c:pt idx="203">
                  <c:v>42856</c:v>
                </c:pt>
                <c:pt idx="204">
                  <c:v>42887</c:v>
                </c:pt>
                <c:pt idx="205">
                  <c:v>42917</c:v>
                </c:pt>
                <c:pt idx="206">
                  <c:v>42948</c:v>
                </c:pt>
                <c:pt idx="207">
                  <c:v>42979</c:v>
                </c:pt>
                <c:pt idx="208">
                  <c:v>43009</c:v>
                </c:pt>
                <c:pt idx="209">
                  <c:v>43040</c:v>
                </c:pt>
                <c:pt idx="210">
                  <c:v>43070</c:v>
                </c:pt>
                <c:pt idx="211">
                  <c:v>43101</c:v>
                </c:pt>
                <c:pt idx="212">
                  <c:v>43132</c:v>
                </c:pt>
                <c:pt idx="213">
                  <c:v>43160</c:v>
                </c:pt>
                <c:pt idx="214">
                  <c:v>43191</c:v>
                </c:pt>
                <c:pt idx="215">
                  <c:v>43221</c:v>
                </c:pt>
                <c:pt idx="216">
                  <c:v>43252</c:v>
                </c:pt>
                <c:pt idx="217">
                  <c:v>43282</c:v>
                </c:pt>
                <c:pt idx="218">
                  <c:v>43313</c:v>
                </c:pt>
                <c:pt idx="219">
                  <c:v>43344</c:v>
                </c:pt>
                <c:pt idx="220">
                  <c:v>43374</c:v>
                </c:pt>
                <c:pt idx="221">
                  <c:v>43405</c:v>
                </c:pt>
                <c:pt idx="222">
                  <c:v>43435</c:v>
                </c:pt>
                <c:pt idx="223">
                  <c:v>43466</c:v>
                </c:pt>
                <c:pt idx="224">
                  <c:v>43497</c:v>
                </c:pt>
                <c:pt idx="225">
                  <c:v>43525</c:v>
                </c:pt>
                <c:pt idx="226">
                  <c:v>43556</c:v>
                </c:pt>
                <c:pt idx="227">
                  <c:v>43586</c:v>
                </c:pt>
                <c:pt idx="228">
                  <c:v>43617</c:v>
                </c:pt>
                <c:pt idx="229">
                  <c:v>43647</c:v>
                </c:pt>
                <c:pt idx="230">
                  <c:v>43678</c:v>
                </c:pt>
                <c:pt idx="231">
                  <c:v>43709</c:v>
                </c:pt>
                <c:pt idx="232">
                  <c:v>43739</c:v>
                </c:pt>
                <c:pt idx="233">
                  <c:v>43770</c:v>
                </c:pt>
                <c:pt idx="234">
                  <c:v>43800</c:v>
                </c:pt>
                <c:pt idx="235">
                  <c:v>43831</c:v>
                </c:pt>
                <c:pt idx="236">
                  <c:v>43862</c:v>
                </c:pt>
                <c:pt idx="237">
                  <c:v>43891</c:v>
                </c:pt>
                <c:pt idx="238">
                  <c:v>43922</c:v>
                </c:pt>
                <c:pt idx="239">
                  <c:v>43952</c:v>
                </c:pt>
                <c:pt idx="240">
                  <c:v>43983</c:v>
                </c:pt>
                <c:pt idx="241">
                  <c:v>44013</c:v>
                </c:pt>
                <c:pt idx="242">
                  <c:v>44044</c:v>
                </c:pt>
                <c:pt idx="243">
                  <c:v>44075</c:v>
                </c:pt>
                <c:pt idx="244">
                  <c:v>44105</c:v>
                </c:pt>
                <c:pt idx="245">
                  <c:v>44136</c:v>
                </c:pt>
                <c:pt idx="246">
                  <c:v>44166</c:v>
                </c:pt>
                <c:pt idx="247">
                  <c:v>44197</c:v>
                </c:pt>
                <c:pt idx="248">
                  <c:v>44228</c:v>
                </c:pt>
                <c:pt idx="249">
                  <c:v>44256</c:v>
                </c:pt>
                <c:pt idx="250">
                  <c:v>44287</c:v>
                </c:pt>
                <c:pt idx="251">
                  <c:v>44317</c:v>
                </c:pt>
                <c:pt idx="252">
                  <c:v>44348</c:v>
                </c:pt>
                <c:pt idx="253">
                  <c:v>44378</c:v>
                </c:pt>
                <c:pt idx="254">
                  <c:v>44409</c:v>
                </c:pt>
                <c:pt idx="255">
                  <c:v>44440</c:v>
                </c:pt>
                <c:pt idx="256">
                  <c:v>44470</c:v>
                </c:pt>
                <c:pt idx="257">
                  <c:v>44501</c:v>
                </c:pt>
                <c:pt idx="258">
                  <c:v>44531</c:v>
                </c:pt>
                <c:pt idx="259">
                  <c:v>44562</c:v>
                </c:pt>
                <c:pt idx="260">
                  <c:v>44593</c:v>
                </c:pt>
                <c:pt idx="261">
                  <c:v>44621</c:v>
                </c:pt>
                <c:pt idx="262">
                  <c:v>44652</c:v>
                </c:pt>
                <c:pt idx="263">
                  <c:v>44682</c:v>
                </c:pt>
                <c:pt idx="264">
                  <c:v>44713</c:v>
                </c:pt>
                <c:pt idx="265">
                  <c:v>44743</c:v>
                </c:pt>
                <c:pt idx="266">
                  <c:v>44774</c:v>
                </c:pt>
                <c:pt idx="267">
                  <c:v>44805</c:v>
                </c:pt>
                <c:pt idx="268">
                  <c:v>44835</c:v>
                </c:pt>
                <c:pt idx="269">
                  <c:v>44866</c:v>
                </c:pt>
                <c:pt idx="270">
                  <c:v>44896</c:v>
                </c:pt>
                <c:pt idx="271">
                  <c:v>44927</c:v>
                </c:pt>
                <c:pt idx="272">
                  <c:v>44958</c:v>
                </c:pt>
                <c:pt idx="273">
                  <c:v>44986</c:v>
                </c:pt>
                <c:pt idx="274">
                  <c:v>45017</c:v>
                </c:pt>
                <c:pt idx="275">
                  <c:v>45047</c:v>
                </c:pt>
                <c:pt idx="276">
                  <c:v>45078</c:v>
                </c:pt>
                <c:pt idx="277">
                  <c:v>45108</c:v>
                </c:pt>
                <c:pt idx="278">
                  <c:v>45139</c:v>
                </c:pt>
                <c:pt idx="279">
                  <c:v>45170</c:v>
                </c:pt>
                <c:pt idx="280">
                  <c:v>45200</c:v>
                </c:pt>
                <c:pt idx="281">
                  <c:v>45231</c:v>
                </c:pt>
                <c:pt idx="282">
                  <c:v>45261</c:v>
                </c:pt>
                <c:pt idx="283">
                  <c:v>45292</c:v>
                </c:pt>
                <c:pt idx="284">
                  <c:v>45323</c:v>
                </c:pt>
                <c:pt idx="285">
                  <c:v>45352</c:v>
                </c:pt>
                <c:pt idx="286">
                  <c:v>45383</c:v>
                </c:pt>
                <c:pt idx="287">
                  <c:v>45413</c:v>
                </c:pt>
                <c:pt idx="288">
                  <c:v>45444</c:v>
                </c:pt>
                <c:pt idx="289">
                  <c:v>45474</c:v>
                </c:pt>
                <c:pt idx="290">
                  <c:v>45505</c:v>
                </c:pt>
                <c:pt idx="291">
                  <c:v>45536</c:v>
                </c:pt>
                <c:pt idx="292">
                  <c:v>45566</c:v>
                </c:pt>
                <c:pt idx="293">
                  <c:v>45597</c:v>
                </c:pt>
                <c:pt idx="294">
                  <c:v>45627</c:v>
                </c:pt>
                <c:pt idx="295">
                  <c:v>45658</c:v>
                </c:pt>
                <c:pt idx="296">
                  <c:v>45689</c:v>
                </c:pt>
                <c:pt idx="297">
                  <c:v>45717</c:v>
                </c:pt>
                <c:pt idx="298">
                  <c:v>45748</c:v>
                </c:pt>
                <c:pt idx="299">
                  <c:v>45778</c:v>
                </c:pt>
                <c:pt idx="300">
                  <c:v>45809</c:v>
                </c:pt>
                <c:pt idx="301">
                  <c:v>45839</c:v>
                </c:pt>
                <c:pt idx="302">
                  <c:v>45870</c:v>
                </c:pt>
                <c:pt idx="303">
                  <c:v>45901</c:v>
                </c:pt>
                <c:pt idx="304">
                  <c:v>45931</c:v>
                </c:pt>
                <c:pt idx="305">
                  <c:v>45962</c:v>
                </c:pt>
                <c:pt idx="306">
                  <c:v>45992</c:v>
                </c:pt>
              </c:numCache>
            </c:numRef>
          </c:cat>
          <c:val>
            <c:numRef>
              <c:f>Hoja1!$E$2:$E$308</c:f>
              <c:numCache>
                <c:formatCode>0.0</c:formatCode>
                <c:ptCount val="30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11.5</c:v>
                </c:pt>
                <c:pt idx="11">
                  <c:v>11.5</c:v>
                </c:pt>
                <c:pt idx="12">
                  <c:v>11.5</c:v>
                </c:pt>
                <c:pt idx="13">
                  <c:v>11.5</c:v>
                </c:pt>
                <c:pt idx="14">
                  <c:v>11</c:v>
                </c:pt>
                <c:pt idx="15">
                  <c:v>10</c:v>
                </c:pt>
                <c:pt idx="16">
                  <c:v>9.5</c:v>
                </c:pt>
                <c:pt idx="17">
                  <c:v>9.25</c:v>
                </c:pt>
                <c:pt idx="18">
                  <c:v>8.75</c:v>
                </c:pt>
                <c:pt idx="19">
                  <c:v>8.5</c:v>
                </c:pt>
                <c:pt idx="20">
                  <c:v>8</c:v>
                </c:pt>
                <c:pt idx="21">
                  <c:v>8</c:v>
                </c:pt>
                <c:pt idx="22">
                  <c:v>7.25</c:v>
                </c:pt>
                <c:pt idx="23">
                  <c:v>6.25</c:v>
                </c:pt>
                <c:pt idx="24">
                  <c:v>5.75</c:v>
                </c:pt>
                <c:pt idx="25">
                  <c:v>5.25</c:v>
                </c:pt>
                <c:pt idx="26">
                  <c:v>5.25</c:v>
                </c:pt>
                <c:pt idx="27">
                  <c:v>5.25</c:v>
                </c:pt>
                <c:pt idx="28">
                  <c:v>5.25</c:v>
                </c:pt>
                <c:pt idx="29">
                  <c:v>5.25</c:v>
                </c:pt>
                <c:pt idx="30">
                  <c:v>5.25</c:v>
                </c:pt>
                <c:pt idx="31">
                  <c:v>5.25</c:v>
                </c:pt>
                <c:pt idx="32">
                  <c:v>6.25</c:v>
                </c:pt>
                <c:pt idx="33">
                  <c:v>6.25</c:v>
                </c:pt>
                <c:pt idx="34">
                  <c:v>6.25</c:v>
                </c:pt>
                <c:pt idx="35">
                  <c:v>7.25</c:v>
                </c:pt>
                <c:pt idx="36">
                  <c:v>7.25</c:v>
                </c:pt>
                <c:pt idx="37">
                  <c:v>7.25</c:v>
                </c:pt>
                <c:pt idx="38">
                  <c:v>7.25</c:v>
                </c:pt>
                <c:pt idx="39">
                  <c:v>7.25</c:v>
                </c:pt>
                <c:pt idx="40">
                  <c:v>7.25</c:v>
                </c:pt>
                <c:pt idx="41">
                  <c:v>7.25</c:v>
                </c:pt>
                <c:pt idx="42">
                  <c:v>7.25</c:v>
                </c:pt>
                <c:pt idx="43">
                  <c:v>7.25</c:v>
                </c:pt>
                <c:pt idx="44">
                  <c:v>7.25</c:v>
                </c:pt>
                <c:pt idx="45">
                  <c:v>7</c:v>
                </c:pt>
                <c:pt idx="46">
                  <c:v>6.75</c:v>
                </c:pt>
                <c:pt idx="47">
                  <c:v>6.75</c:v>
                </c:pt>
                <c:pt idx="48">
                  <c:v>6.75</c:v>
                </c:pt>
                <c:pt idx="49">
                  <c:v>6.75</c:v>
                </c:pt>
                <c:pt idx="50">
                  <c:v>6.75</c:v>
                </c:pt>
                <c:pt idx="51">
                  <c:v>6.75</c:v>
                </c:pt>
                <c:pt idx="52">
                  <c:v>6.75</c:v>
                </c:pt>
                <c:pt idx="53">
                  <c:v>6.75</c:v>
                </c:pt>
                <c:pt idx="54">
                  <c:v>6.75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6.25</c:v>
                </c:pt>
                <c:pt idx="73">
                  <c:v>6.5</c:v>
                </c:pt>
                <c:pt idx="74">
                  <c:v>6.5</c:v>
                </c:pt>
                <c:pt idx="75">
                  <c:v>6.75</c:v>
                </c:pt>
                <c:pt idx="76">
                  <c:v>6.75</c:v>
                </c:pt>
                <c:pt idx="77">
                  <c:v>7.25</c:v>
                </c:pt>
                <c:pt idx="78">
                  <c:v>7.25</c:v>
                </c:pt>
                <c:pt idx="79">
                  <c:v>7.5</c:v>
                </c:pt>
                <c:pt idx="80">
                  <c:v>7.75</c:v>
                </c:pt>
                <c:pt idx="81">
                  <c:v>8</c:v>
                </c:pt>
                <c:pt idx="82">
                  <c:v>8.25</c:v>
                </c:pt>
                <c:pt idx="83">
                  <c:v>8.25</c:v>
                </c:pt>
                <c:pt idx="84">
                  <c:v>8.75</c:v>
                </c:pt>
                <c:pt idx="85">
                  <c:v>9</c:v>
                </c:pt>
                <c:pt idx="86">
                  <c:v>9.25</c:v>
                </c:pt>
                <c:pt idx="87">
                  <c:v>9.25</c:v>
                </c:pt>
                <c:pt idx="88">
                  <c:v>9.25</c:v>
                </c:pt>
                <c:pt idx="89">
                  <c:v>9.25</c:v>
                </c:pt>
                <c:pt idx="90">
                  <c:v>9.5</c:v>
                </c:pt>
                <c:pt idx="91">
                  <c:v>9.5</c:v>
                </c:pt>
                <c:pt idx="92">
                  <c:v>9.5</c:v>
                </c:pt>
                <c:pt idx="93">
                  <c:v>9.75</c:v>
                </c:pt>
                <c:pt idx="94">
                  <c:v>9.75</c:v>
                </c:pt>
                <c:pt idx="95">
                  <c:v>9.75</c:v>
                </c:pt>
                <c:pt idx="96">
                  <c:v>9.75</c:v>
                </c:pt>
                <c:pt idx="97">
                  <c:v>9.75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9.5</c:v>
                </c:pt>
                <c:pt idx="104">
                  <c:v>9.5</c:v>
                </c:pt>
                <c:pt idx="105">
                  <c:v>9</c:v>
                </c:pt>
                <c:pt idx="106">
                  <c:v>7</c:v>
                </c:pt>
                <c:pt idx="107">
                  <c:v>7</c:v>
                </c:pt>
                <c:pt idx="108">
                  <c:v>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</c:v>
                </c:pt>
                <c:pt idx="113">
                  <c:v>4</c:v>
                </c:pt>
                <c:pt idx="114">
                  <c:v>3.5</c:v>
                </c:pt>
                <c:pt idx="115">
                  <c:v>3.5</c:v>
                </c:pt>
                <c:pt idx="116">
                  <c:v>3.5</c:v>
                </c:pt>
                <c:pt idx="117">
                  <c:v>3.5</c:v>
                </c:pt>
                <c:pt idx="118">
                  <c:v>3.5</c:v>
                </c:pt>
                <c:pt idx="119">
                  <c:v>3.5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3.25</c:v>
                </c:pt>
                <c:pt idx="130">
                  <c:v>3.5</c:v>
                </c:pt>
                <c:pt idx="131">
                  <c:v>3.5</c:v>
                </c:pt>
                <c:pt idx="132">
                  <c:v>4</c:v>
                </c:pt>
                <c:pt idx="133">
                  <c:v>4.25</c:v>
                </c:pt>
                <c:pt idx="134">
                  <c:v>4.5</c:v>
                </c:pt>
                <c:pt idx="135">
                  <c:v>4.5</c:v>
                </c:pt>
                <c:pt idx="136">
                  <c:v>4.5</c:v>
                </c:pt>
                <c:pt idx="137">
                  <c:v>4.5</c:v>
                </c:pt>
                <c:pt idx="138">
                  <c:v>4.75</c:v>
                </c:pt>
                <c:pt idx="139">
                  <c:v>4.75</c:v>
                </c:pt>
                <c:pt idx="140">
                  <c:v>5</c:v>
                </c:pt>
                <c:pt idx="141">
                  <c:v>5.25</c:v>
                </c:pt>
                <c:pt idx="142">
                  <c:v>5.25</c:v>
                </c:pt>
                <c:pt idx="143">
                  <c:v>5.25</c:v>
                </c:pt>
                <c:pt idx="144">
                  <c:v>5.25</c:v>
                </c:pt>
                <c:pt idx="145">
                  <c:v>5.25</c:v>
                </c:pt>
                <c:pt idx="146">
                  <c:v>5</c:v>
                </c:pt>
                <c:pt idx="147">
                  <c:v>4.75</c:v>
                </c:pt>
                <c:pt idx="148">
                  <c:v>4.75</c:v>
                </c:pt>
                <c:pt idx="149">
                  <c:v>4.75</c:v>
                </c:pt>
                <c:pt idx="150">
                  <c:v>4.5</c:v>
                </c:pt>
                <c:pt idx="151">
                  <c:v>4.25</c:v>
                </c:pt>
                <c:pt idx="152">
                  <c:v>4</c:v>
                </c:pt>
                <c:pt idx="153">
                  <c:v>3.75</c:v>
                </c:pt>
                <c:pt idx="154">
                  <c:v>3.25</c:v>
                </c:pt>
                <c:pt idx="155">
                  <c:v>3.25</c:v>
                </c:pt>
                <c:pt idx="156">
                  <c:v>3.25</c:v>
                </c:pt>
                <c:pt idx="157">
                  <c:v>3.25</c:v>
                </c:pt>
                <c:pt idx="158">
                  <c:v>3.25</c:v>
                </c:pt>
                <c:pt idx="159">
                  <c:v>3.25</c:v>
                </c:pt>
                <c:pt idx="160">
                  <c:v>3.25</c:v>
                </c:pt>
                <c:pt idx="161">
                  <c:v>3.25</c:v>
                </c:pt>
                <c:pt idx="162">
                  <c:v>3.25</c:v>
                </c:pt>
                <c:pt idx="163">
                  <c:v>3.25</c:v>
                </c:pt>
                <c:pt idx="164">
                  <c:v>3.25</c:v>
                </c:pt>
                <c:pt idx="165">
                  <c:v>3.25</c:v>
                </c:pt>
                <c:pt idx="166">
                  <c:v>3.25</c:v>
                </c:pt>
                <c:pt idx="167">
                  <c:v>3.5</c:v>
                </c:pt>
                <c:pt idx="168">
                  <c:v>3.5</c:v>
                </c:pt>
                <c:pt idx="169">
                  <c:v>4</c:v>
                </c:pt>
                <c:pt idx="170">
                  <c:v>4.25</c:v>
                </c:pt>
                <c:pt idx="171">
                  <c:v>4.5</c:v>
                </c:pt>
                <c:pt idx="172">
                  <c:v>4.5</c:v>
                </c:pt>
                <c:pt idx="173">
                  <c:v>4.5</c:v>
                </c:pt>
                <c:pt idx="174">
                  <c:v>4.5</c:v>
                </c:pt>
                <c:pt idx="175">
                  <c:v>4.5</c:v>
                </c:pt>
                <c:pt idx="176">
                  <c:v>4.5</c:v>
                </c:pt>
                <c:pt idx="177">
                  <c:v>4.5</c:v>
                </c:pt>
                <c:pt idx="178">
                  <c:v>4.5</c:v>
                </c:pt>
                <c:pt idx="179">
                  <c:v>4.5</c:v>
                </c:pt>
                <c:pt idx="180">
                  <c:v>4.5</c:v>
                </c:pt>
                <c:pt idx="181">
                  <c:v>4.5</c:v>
                </c:pt>
                <c:pt idx="182">
                  <c:v>4.5</c:v>
                </c:pt>
                <c:pt idx="183">
                  <c:v>4.5</c:v>
                </c:pt>
                <c:pt idx="184">
                  <c:v>4.75</c:v>
                </c:pt>
                <c:pt idx="185">
                  <c:v>4.75</c:v>
                </c:pt>
                <c:pt idx="186">
                  <c:v>5.5</c:v>
                </c:pt>
                <c:pt idx="187">
                  <c:v>5.75</c:v>
                </c:pt>
                <c:pt idx="188">
                  <c:v>6</c:v>
                </c:pt>
                <c:pt idx="189">
                  <c:v>6.25</c:v>
                </c:pt>
                <c:pt idx="190">
                  <c:v>6.5</c:v>
                </c:pt>
                <c:pt idx="191">
                  <c:v>6.5</c:v>
                </c:pt>
                <c:pt idx="192">
                  <c:v>7.25</c:v>
                </c:pt>
                <c:pt idx="193">
                  <c:v>7.5</c:v>
                </c:pt>
                <c:pt idx="194">
                  <c:v>7.75</c:v>
                </c:pt>
                <c:pt idx="195">
                  <c:v>7.75</c:v>
                </c:pt>
                <c:pt idx="196">
                  <c:v>7.75</c:v>
                </c:pt>
                <c:pt idx="197">
                  <c:v>7.75</c:v>
                </c:pt>
                <c:pt idx="198">
                  <c:v>7.75</c:v>
                </c:pt>
                <c:pt idx="199">
                  <c:v>7.5</c:v>
                </c:pt>
                <c:pt idx="200">
                  <c:v>7.5</c:v>
                </c:pt>
                <c:pt idx="201">
                  <c:v>7.25</c:v>
                </c:pt>
                <c:pt idx="202">
                  <c:v>7</c:v>
                </c:pt>
                <c:pt idx="203">
                  <c:v>7</c:v>
                </c:pt>
                <c:pt idx="204">
                  <c:v>6.25</c:v>
                </c:pt>
                <c:pt idx="205">
                  <c:v>6.25</c:v>
                </c:pt>
                <c:pt idx="206">
                  <c:v>5.5</c:v>
                </c:pt>
                <c:pt idx="207">
                  <c:v>5.25</c:v>
                </c:pt>
                <c:pt idx="208">
                  <c:v>5.25</c:v>
                </c:pt>
                <c:pt idx="209">
                  <c:v>5</c:v>
                </c:pt>
                <c:pt idx="210">
                  <c:v>4.75</c:v>
                </c:pt>
                <c:pt idx="211">
                  <c:v>4.75</c:v>
                </c:pt>
                <c:pt idx="212">
                  <c:v>4.5</c:v>
                </c:pt>
                <c:pt idx="213">
                  <c:v>4.5</c:v>
                </c:pt>
                <c:pt idx="214">
                  <c:v>4.5</c:v>
                </c:pt>
                <c:pt idx="215">
                  <c:v>4.25</c:v>
                </c:pt>
                <c:pt idx="216">
                  <c:v>4.25</c:v>
                </c:pt>
                <c:pt idx="217">
                  <c:v>4.25</c:v>
                </c:pt>
                <c:pt idx="218">
                  <c:v>4.25</c:v>
                </c:pt>
                <c:pt idx="219">
                  <c:v>4.25</c:v>
                </c:pt>
                <c:pt idx="220">
                  <c:v>4.25</c:v>
                </c:pt>
                <c:pt idx="221">
                  <c:v>4.25</c:v>
                </c:pt>
                <c:pt idx="222">
                  <c:v>4.25</c:v>
                </c:pt>
                <c:pt idx="223">
                  <c:v>4.25</c:v>
                </c:pt>
                <c:pt idx="224">
                  <c:v>4.25</c:v>
                </c:pt>
                <c:pt idx="225">
                  <c:v>4.25</c:v>
                </c:pt>
                <c:pt idx="226">
                  <c:v>4.25</c:v>
                </c:pt>
                <c:pt idx="227">
                  <c:v>4.25</c:v>
                </c:pt>
                <c:pt idx="228">
                  <c:v>4.25</c:v>
                </c:pt>
                <c:pt idx="229">
                  <c:v>4.25</c:v>
                </c:pt>
                <c:pt idx="230">
                  <c:v>4.25</c:v>
                </c:pt>
                <c:pt idx="231">
                  <c:v>4.25</c:v>
                </c:pt>
                <c:pt idx="232">
                  <c:v>4.25</c:v>
                </c:pt>
                <c:pt idx="233">
                  <c:v>4.25</c:v>
                </c:pt>
                <c:pt idx="234">
                  <c:v>4.25</c:v>
                </c:pt>
                <c:pt idx="235">
                  <c:v>4.25</c:v>
                </c:pt>
                <c:pt idx="236">
                  <c:v>4.25</c:v>
                </c:pt>
                <c:pt idx="237">
                  <c:v>4.25</c:v>
                </c:pt>
                <c:pt idx="238">
                  <c:v>3.75</c:v>
                </c:pt>
                <c:pt idx="239">
                  <c:v>3.75</c:v>
                </c:pt>
                <c:pt idx="240">
                  <c:v>2.75</c:v>
                </c:pt>
                <c:pt idx="241">
                  <c:v>2.5</c:v>
                </c:pt>
                <c:pt idx="242">
                  <c:v>2.5</c:v>
                </c:pt>
                <c:pt idx="243">
                  <c:v>2</c:v>
                </c:pt>
                <c:pt idx="244">
                  <c:v>1.75</c:v>
                </c:pt>
                <c:pt idx="245">
                  <c:v>1.75</c:v>
                </c:pt>
                <c:pt idx="246">
                  <c:v>1.75</c:v>
                </c:pt>
                <c:pt idx="247">
                  <c:v>1.75</c:v>
                </c:pt>
                <c:pt idx="248">
                  <c:v>1.75</c:v>
                </c:pt>
                <c:pt idx="249">
                  <c:v>1.75</c:v>
                </c:pt>
                <c:pt idx="250">
                  <c:v>1.75</c:v>
                </c:pt>
                <c:pt idx="251">
                  <c:v>1.75</c:v>
                </c:pt>
                <c:pt idx="252">
                  <c:v>1.75</c:v>
                </c:pt>
                <c:pt idx="253">
                  <c:v>1.75</c:v>
                </c:pt>
                <c:pt idx="254">
                  <c:v>1.75</c:v>
                </c:pt>
                <c:pt idx="255">
                  <c:v>1.75</c:v>
                </c:pt>
                <c:pt idx="256">
                  <c:v>2</c:v>
                </c:pt>
                <c:pt idx="257">
                  <c:v>2</c:v>
                </c:pt>
                <c:pt idx="258">
                  <c:v>2.5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7.5</c:v>
                </c:pt>
                <c:pt idx="266">
                  <c:v>9</c:v>
                </c:pt>
                <c:pt idx="267">
                  <c:v>9</c:v>
                </c:pt>
                <c:pt idx="268">
                  <c:v>10</c:v>
                </c:pt>
                <c:pt idx="269">
                  <c:v>11</c:v>
                </c:pt>
                <c:pt idx="270">
                  <c:v>11</c:v>
                </c:pt>
                <c:pt idx="271">
                  <c:v>12</c:v>
                </c:pt>
                <c:pt idx="272">
                  <c:v>12.75</c:v>
                </c:pt>
                <c:pt idx="273">
                  <c:v>12.75</c:v>
                </c:pt>
                <c:pt idx="274">
                  <c:v>13</c:v>
                </c:pt>
                <c:pt idx="275">
                  <c:v>13</c:v>
                </c:pt>
                <c:pt idx="276">
                  <c:v>13.25</c:v>
                </c:pt>
                <c:pt idx="277">
                  <c:v>13.25</c:v>
                </c:pt>
                <c:pt idx="278">
                  <c:v>13.25</c:v>
                </c:pt>
                <c:pt idx="279">
                  <c:v>13.25</c:v>
                </c:pt>
                <c:pt idx="280">
                  <c:v>13.25</c:v>
                </c:pt>
                <c:pt idx="281">
                  <c:v>13.25</c:v>
                </c:pt>
                <c:pt idx="282">
                  <c:v>13.25</c:v>
                </c:pt>
                <c:pt idx="283" formatCode="0.00">
                  <c:v>13</c:v>
                </c:pt>
                <c:pt idx="284" formatCode="0.000">
                  <c:v>12.75</c:v>
                </c:pt>
                <c:pt idx="285" formatCode="0.000">
                  <c:v>12.75</c:v>
                </c:pt>
                <c:pt idx="286" formatCode="0.000">
                  <c:v>12.25</c:v>
                </c:pt>
                <c:pt idx="287" formatCode="0.00">
                  <c:v>12.25</c:v>
                </c:pt>
                <c:pt idx="288" formatCode="0.00">
                  <c:v>11.75</c:v>
                </c:pt>
                <c:pt idx="289" formatCode="0.00">
                  <c:v>11.25</c:v>
                </c:pt>
                <c:pt idx="290" formatCode="0.00">
                  <c:v>10.75</c:v>
                </c:pt>
                <c:pt idx="291" formatCode="0.00">
                  <c:v>10.25</c:v>
                </c:pt>
                <c:pt idx="292" formatCode="0.00">
                  <c:v>9.75</c:v>
                </c:pt>
                <c:pt idx="293" formatCode="0.00">
                  <c:v>9.75</c:v>
                </c:pt>
                <c:pt idx="294" formatCode="0.00">
                  <c:v>9.5</c:v>
                </c:pt>
                <c:pt idx="295" formatCode="0.00">
                  <c:v>9.5</c:v>
                </c:pt>
                <c:pt idx="296" formatCode="0.00">
                  <c:v>9.5</c:v>
                </c:pt>
                <c:pt idx="297" formatCode="0.00">
                  <c:v>9.5</c:v>
                </c:pt>
                <c:pt idx="298" formatCode="0.00">
                  <c:v>9.5</c:v>
                </c:pt>
                <c:pt idx="299" formatCode="0.00">
                  <c:v>9.25</c:v>
                </c:pt>
                <c:pt idx="300" formatCode="0.00">
                  <c:v>9.25</c:v>
                </c:pt>
                <c:pt idx="301" formatCode="0.00">
                  <c:v>9.25</c:v>
                </c:pt>
                <c:pt idx="302" formatCode="0.00">
                  <c:v>9.25</c:v>
                </c:pt>
                <c:pt idx="303" formatCode="0.00">
                  <c:v>9.25</c:v>
                </c:pt>
                <c:pt idx="304" formatCode="0.00">
                  <c:v>9.25</c:v>
                </c:pt>
                <c:pt idx="305" formatCode="0.00">
                  <c:v>9.25</c:v>
                </c:pt>
                <c:pt idx="306" formatCode="0.00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C7-4A0E-A63F-03F706FF0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437327"/>
        <c:axId val="905439247"/>
      </c:lineChart>
      <c:dateAx>
        <c:axId val="9054373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5439247"/>
        <c:crosses val="autoZero"/>
        <c:auto val="1"/>
        <c:lblOffset val="100"/>
        <c:baseTimeUnit val="months"/>
      </c:dateAx>
      <c:valAx>
        <c:axId val="90543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543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Inflación y Tasa de intervención</a:t>
            </a:r>
          </a:p>
        </c:rich>
      </c:tx>
      <c:layout>
        <c:manualLayout>
          <c:xMode val="edge"/>
          <c:yMode val="edge"/>
          <c:x val="0.31025490161845071"/>
          <c:y val="5.6565656565656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441426071741033E-2"/>
          <c:y val="0.19528608923884511"/>
          <c:w val="0.87114129483814529"/>
          <c:h val="0.59784649646066956"/>
        </c:manualLayout>
      </c:layout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 Inflación anual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Hoja1!$C$2:$C$304</c:f>
              <c:numCache>
                <c:formatCode>m/d/yyyy</c:formatCode>
                <c:ptCount val="303"/>
                <c:pt idx="0">
                  <c:v>36678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  <c:pt idx="172">
                  <c:v>41913</c:v>
                </c:pt>
                <c:pt idx="173">
                  <c:v>41944</c:v>
                </c:pt>
                <c:pt idx="174">
                  <c:v>41974</c:v>
                </c:pt>
                <c:pt idx="175">
                  <c:v>42005</c:v>
                </c:pt>
                <c:pt idx="176">
                  <c:v>42036</c:v>
                </c:pt>
                <c:pt idx="177">
                  <c:v>42064</c:v>
                </c:pt>
                <c:pt idx="178">
                  <c:v>42095</c:v>
                </c:pt>
                <c:pt idx="179">
                  <c:v>42125</c:v>
                </c:pt>
                <c:pt idx="180">
                  <c:v>42156</c:v>
                </c:pt>
                <c:pt idx="181">
                  <c:v>42186</c:v>
                </c:pt>
                <c:pt idx="182">
                  <c:v>42217</c:v>
                </c:pt>
                <c:pt idx="183">
                  <c:v>42248</c:v>
                </c:pt>
                <c:pt idx="184">
                  <c:v>42278</c:v>
                </c:pt>
                <c:pt idx="185">
                  <c:v>42309</c:v>
                </c:pt>
                <c:pt idx="186">
                  <c:v>42339</c:v>
                </c:pt>
                <c:pt idx="187">
                  <c:v>42370</c:v>
                </c:pt>
                <c:pt idx="188">
                  <c:v>42401</c:v>
                </c:pt>
                <c:pt idx="189">
                  <c:v>42430</c:v>
                </c:pt>
                <c:pt idx="190">
                  <c:v>42461</c:v>
                </c:pt>
                <c:pt idx="191">
                  <c:v>42491</c:v>
                </c:pt>
                <c:pt idx="192">
                  <c:v>42522</c:v>
                </c:pt>
                <c:pt idx="193">
                  <c:v>42552</c:v>
                </c:pt>
                <c:pt idx="194">
                  <c:v>42583</c:v>
                </c:pt>
                <c:pt idx="195">
                  <c:v>42614</c:v>
                </c:pt>
                <c:pt idx="196">
                  <c:v>42644</c:v>
                </c:pt>
                <c:pt idx="197">
                  <c:v>42675</c:v>
                </c:pt>
                <c:pt idx="198">
                  <c:v>42705</c:v>
                </c:pt>
                <c:pt idx="199">
                  <c:v>42736</c:v>
                </c:pt>
                <c:pt idx="200">
                  <c:v>42767</c:v>
                </c:pt>
                <c:pt idx="201">
                  <c:v>42795</c:v>
                </c:pt>
                <c:pt idx="202">
                  <c:v>42826</c:v>
                </c:pt>
                <c:pt idx="203">
                  <c:v>42856</c:v>
                </c:pt>
                <c:pt idx="204">
                  <c:v>42887</c:v>
                </c:pt>
                <c:pt idx="205">
                  <c:v>42917</c:v>
                </c:pt>
                <c:pt idx="206">
                  <c:v>42948</c:v>
                </c:pt>
                <c:pt idx="207">
                  <c:v>42979</c:v>
                </c:pt>
                <c:pt idx="208">
                  <c:v>43009</c:v>
                </c:pt>
                <c:pt idx="209">
                  <c:v>43040</c:v>
                </c:pt>
                <c:pt idx="210">
                  <c:v>43070</c:v>
                </c:pt>
                <c:pt idx="211">
                  <c:v>43101</c:v>
                </c:pt>
                <c:pt idx="212">
                  <c:v>43132</c:v>
                </c:pt>
                <c:pt idx="213">
                  <c:v>43160</c:v>
                </c:pt>
                <c:pt idx="214">
                  <c:v>43191</c:v>
                </c:pt>
                <c:pt idx="215">
                  <c:v>43221</c:v>
                </c:pt>
                <c:pt idx="216">
                  <c:v>43252</c:v>
                </c:pt>
                <c:pt idx="217">
                  <c:v>43282</c:v>
                </c:pt>
                <c:pt idx="218">
                  <c:v>43313</c:v>
                </c:pt>
                <c:pt idx="219">
                  <c:v>43344</c:v>
                </c:pt>
                <c:pt idx="220">
                  <c:v>43374</c:v>
                </c:pt>
                <c:pt idx="221">
                  <c:v>43405</c:v>
                </c:pt>
                <c:pt idx="222">
                  <c:v>43435</c:v>
                </c:pt>
                <c:pt idx="223">
                  <c:v>43466</c:v>
                </c:pt>
                <c:pt idx="224">
                  <c:v>43497</c:v>
                </c:pt>
                <c:pt idx="225">
                  <c:v>43525</c:v>
                </c:pt>
                <c:pt idx="226">
                  <c:v>43556</c:v>
                </c:pt>
                <c:pt idx="227">
                  <c:v>43586</c:v>
                </c:pt>
                <c:pt idx="228">
                  <c:v>43617</c:v>
                </c:pt>
                <c:pt idx="229">
                  <c:v>43647</c:v>
                </c:pt>
                <c:pt idx="230">
                  <c:v>43678</c:v>
                </c:pt>
                <c:pt idx="231">
                  <c:v>43709</c:v>
                </c:pt>
                <c:pt idx="232">
                  <c:v>43739</c:v>
                </c:pt>
                <c:pt idx="233">
                  <c:v>43770</c:v>
                </c:pt>
                <c:pt idx="234">
                  <c:v>43800</c:v>
                </c:pt>
                <c:pt idx="235">
                  <c:v>43831</c:v>
                </c:pt>
                <c:pt idx="236">
                  <c:v>43862</c:v>
                </c:pt>
                <c:pt idx="237">
                  <c:v>43891</c:v>
                </c:pt>
                <c:pt idx="238">
                  <c:v>43922</c:v>
                </c:pt>
                <c:pt idx="239">
                  <c:v>43952</c:v>
                </c:pt>
                <c:pt idx="240">
                  <c:v>43983</c:v>
                </c:pt>
                <c:pt idx="241">
                  <c:v>44013</c:v>
                </c:pt>
                <c:pt idx="242">
                  <c:v>44044</c:v>
                </c:pt>
                <c:pt idx="243">
                  <c:v>44075</c:v>
                </c:pt>
                <c:pt idx="244">
                  <c:v>44105</c:v>
                </c:pt>
                <c:pt idx="245">
                  <c:v>44136</c:v>
                </c:pt>
                <c:pt idx="246">
                  <c:v>44166</c:v>
                </c:pt>
                <c:pt idx="247">
                  <c:v>44197</c:v>
                </c:pt>
                <c:pt idx="248">
                  <c:v>44228</c:v>
                </c:pt>
                <c:pt idx="249">
                  <c:v>44256</c:v>
                </c:pt>
                <c:pt idx="250">
                  <c:v>44287</c:v>
                </c:pt>
                <c:pt idx="251">
                  <c:v>44317</c:v>
                </c:pt>
                <c:pt idx="252">
                  <c:v>44348</c:v>
                </c:pt>
                <c:pt idx="253">
                  <c:v>44378</c:v>
                </c:pt>
                <c:pt idx="254">
                  <c:v>44409</c:v>
                </c:pt>
                <c:pt idx="255">
                  <c:v>44440</c:v>
                </c:pt>
                <c:pt idx="256">
                  <c:v>44470</c:v>
                </c:pt>
                <c:pt idx="257">
                  <c:v>44501</c:v>
                </c:pt>
                <c:pt idx="258">
                  <c:v>44531</c:v>
                </c:pt>
                <c:pt idx="259">
                  <c:v>44562</c:v>
                </c:pt>
                <c:pt idx="260">
                  <c:v>44593</c:v>
                </c:pt>
                <c:pt idx="261">
                  <c:v>44621</c:v>
                </c:pt>
                <c:pt idx="262">
                  <c:v>44652</c:v>
                </c:pt>
                <c:pt idx="263">
                  <c:v>44682</c:v>
                </c:pt>
                <c:pt idx="264">
                  <c:v>44713</c:v>
                </c:pt>
                <c:pt idx="265">
                  <c:v>44743</c:v>
                </c:pt>
                <c:pt idx="266">
                  <c:v>44774</c:v>
                </c:pt>
                <c:pt idx="267">
                  <c:v>44805</c:v>
                </c:pt>
                <c:pt idx="268">
                  <c:v>44835</c:v>
                </c:pt>
                <c:pt idx="269">
                  <c:v>44866</c:v>
                </c:pt>
                <c:pt idx="270">
                  <c:v>44896</c:v>
                </c:pt>
                <c:pt idx="271">
                  <c:v>44927</c:v>
                </c:pt>
                <c:pt idx="272">
                  <c:v>44958</c:v>
                </c:pt>
                <c:pt idx="273">
                  <c:v>44986</c:v>
                </c:pt>
                <c:pt idx="274">
                  <c:v>45017</c:v>
                </c:pt>
                <c:pt idx="275">
                  <c:v>45047</c:v>
                </c:pt>
                <c:pt idx="276">
                  <c:v>45078</c:v>
                </c:pt>
                <c:pt idx="277">
                  <c:v>45108</c:v>
                </c:pt>
                <c:pt idx="278">
                  <c:v>45139</c:v>
                </c:pt>
                <c:pt idx="279">
                  <c:v>45170</c:v>
                </c:pt>
                <c:pt idx="280">
                  <c:v>45200</c:v>
                </c:pt>
                <c:pt idx="281">
                  <c:v>45231</c:v>
                </c:pt>
                <c:pt idx="282">
                  <c:v>45261</c:v>
                </c:pt>
                <c:pt idx="283">
                  <c:v>45292</c:v>
                </c:pt>
                <c:pt idx="284">
                  <c:v>45323</c:v>
                </c:pt>
                <c:pt idx="285">
                  <c:v>45352</c:v>
                </c:pt>
                <c:pt idx="286">
                  <c:v>45383</c:v>
                </c:pt>
                <c:pt idx="287">
                  <c:v>45413</c:v>
                </c:pt>
                <c:pt idx="288">
                  <c:v>45444</c:v>
                </c:pt>
                <c:pt idx="289">
                  <c:v>45474</c:v>
                </c:pt>
                <c:pt idx="290">
                  <c:v>45505</c:v>
                </c:pt>
                <c:pt idx="291">
                  <c:v>45536</c:v>
                </c:pt>
                <c:pt idx="292">
                  <c:v>45566</c:v>
                </c:pt>
                <c:pt idx="293">
                  <c:v>45597</c:v>
                </c:pt>
                <c:pt idx="294">
                  <c:v>45627</c:v>
                </c:pt>
                <c:pt idx="295">
                  <c:v>45658</c:v>
                </c:pt>
                <c:pt idx="296">
                  <c:v>45689</c:v>
                </c:pt>
                <c:pt idx="297">
                  <c:v>45717</c:v>
                </c:pt>
                <c:pt idx="298">
                  <c:v>45748</c:v>
                </c:pt>
                <c:pt idx="299">
                  <c:v>45778</c:v>
                </c:pt>
                <c:pt idx="300">
                  <c:v>45809</c:v>
                </c:pt>
                <c:pt idx="301">
                  <c:v>45839</c:v>
                </c:pt>
                <c:pt idx="302">
                  <c:v>45870</c:v>
                </c:pt>
              </c:numCache>
            </c:numRef>
          </c:cat>
          <c:val>
            <c:numRef>
              <c:f>Hoja1!$D$2:$D$304</c:f>
              <c:numCache>
                <c:formatCode>0.00</c:formatCode>
                <c:ptCount val="303"/>
                <c:pt idx="0">
                  <c:v>9.68</c:v>
                </c:pt>
                <c:pt idx="1">
                  <c:v>9.2899999999999991</c:v>
                </c:pt>
                <c:pt idx="2">
                  <c:v>9.1</c:v>
                </c:pt>
                <c:pt idx="3">
                  <c:v>9.1999999999999993</c:v>
                </c:pt>
                <c:pt idx="4">
                  <c:v>8.99</c:v>
                </c:pt>
                <c:pt idx="5">
                  <c:v>8.82</c:v>
                </c:pt>
                <c:pt idx="6">
                  <c:v>8.75</c:v>
                </c:pt>
                <c:pt idx="7">
                  <c:v>8.49</c:v>
                </c:pt>
                <c:pt idx="8">
                  <c:v>8.06</c:v>
                </c:pt>
                <c:pt idx="9">
                  <c:v>7.81</c:v>
                </c:pt>
                <c:pt idx="10">
                  <c:v>7.98</c:v>
                </c:pt>
                <c:pt idx="11">
                  <c:v>7.87</c:v>
                </c:pt>
                <c:pt idx="12">
                  <c:v>7.93</c:v>
                </c:pt>
                <c:pt idx="13">
                  <c:v>8.09</c:v>
                </c:pt>
                <c:pt idx="14">
                  <c:v>8.0299999999999994</c:v>
                </c:pt>
                <c:pt idx="15">
                  <c:v>7.97</c:v>
                </c:pt>
                <c:pt idx="16">
                  <c:v>8.01</c:v>
                </c:pt>
                <c:pt idx="17">
                  <c:v>7.78</c:v>
                </c:pt>
                <c:pt idx="18">
                  <c:v>7.65</c:v>
                </c:pt>
                <c:pt idx="19">
                  <c:v>7.37</c:v>
                </c:pt>
                <c:pt idx="20">
                  <c:v>6.7</c:v>
                </c:pt>
                <c:pt idx="21">
                  <c:v>5.89</c:v>
                </c:pt>
                <c:pt idx="22">
                  <c:v>5.65</c:v>
                </c:pt>
                <c:pt idx="23">
                  <c:v>5.84</c:v>
                </c:pt>
                <c:pt idx="24">
                  <c:v>6.25</c:v>
                </c:pt>
                <c:pt idx="25">
                  <c:v>6.16</c:v>
                </c:pt>
                <c:pt idx="26">
                  <c:v>5.98</c:v>
                </c:pt>
                <c:pt idx="27">
                  <c:v>5.97</c:v>
                </c:pt>
                <c:pt idx="28">
                  <c:v>6.37</c:v>
                </c:pt>
                <c:pt idx="29">
                  <c:v>7.07</c:v>
                </c:pt>
                <c:pt idx="30">
                  <c:v>6.99</c:v>
                </c:pt>
                <c:pt idx="31">
                  <c:v>7.39</c:v>
                </c:pt>
                <c:pt idx="32">
                  <c:v>7.24</c:v>
                </c:pt>
                <c:pt idx="33">
                  <c:v>7.6</c:v>
                </c:pt>
                <c:pt idx="34">
                  <c:v>7.85</c:v>
                </c:pt>
                <c:pt idx="35">
                  <c:v>7.73</c:v>
                </c:pt>
                <c:pt idx="36">
                  <c:v>7.21</c:v>
                </c:pt>
                <c:pt idx="37">
                  <c:v>7.04</c:v>
                </c:pt>
                <c:pt idx="38">
                  <c:v>7.26</c:v>
                </c:pt>
                <c:pt idx="39">
                  <c:v>7.11</c:v>
                </c:pt>
                <c:pt idx="40">
                  <c:v>6.58</c:v>
                </c:pt>
                <c:pt idx="41">
                  <c:v>6.13</c:v>
                </c:pt>
                <c:pt idx="42">
                  <c:v>6.49</c:v>
                </c:pt>
                <c:pt idx="43">
                  <c:v>6.19</c:v>
                </c:pt>
                <c:pt idx="44">
                  <c:v>6.28</c:v>
                </c:pt>
                <c:pt idx="45">
                  <c:v>6.21</c:v>
                </c:pt>
                <c:pt idx="46">
                  <c:v>5.49</c:v>
                </c:pt>
                <c:pt idx="47">
                  <c:v>5.37</c:v>
                </c:pt>
                <c:pt idx="48">
                  <c:v>6.07</c:v>
                </c:pt>
                <c:pt idx="49">
                  <c:v>6.19</c:v>
                </c:pt>
                <c:pt idx="50">
                  <c:v>5.89</c:v>
                </c:pt>
                <c:pt idx="51">
                  <c:v>5.97</c:v>
                </c:pt>
                <c:pt idx="52">
                  <c:v>5.9</c:v>
                </c:pt>
                <c:pt idx="53">
                  <c:v>5.82</c:v>
                </c:pt>
                <c:pt idx="54">
                  <c:v>5.5</c:v>
                </c:pt>
                <c:pt idx="55">
                  <c:v>5.43</c:v>
                </c:pt>
                <c:pt idx="56">
                  <c:v>5.25</c:v>
                </c:pt>
                <c:pt idx="57">
                  <c:v>5.03</c:v>
                </c:pt>
                <c:pt idx="58">
                  <c:v>5.01</c:v>
                </c:pt>
                <c:pt idx="59">
                  <c:v>5.04</c:v>
                </c:pt>
                <c:pt idx="60">
                  <c:v>4.83</c:v>
                </c:pt>
                <c:pt idx="61">
                  <c:v>4.91</c:v>
                </c:pt>
                <c:pt idx="62">
                  <c:v>4.88</c:v>
                </c:pt>
                <c:pt idx="63">
                  <c:v>5.0199999999999996</c:v>
                </c:pt>
                <c:pt idx="64">
                  <c:v>5.27</c:v>
                </c:pt>
                <c:pt idx="65">
                  <c:v>5.0999999999999996</c:v>
                </c:pt>
                <c:pt idx="66">
                  <c:v>4.8499999999999996</c:v>
                </c:pt>
                <c:pt idx="67">
                  <c:v>4.5599999999999996</c:v>
                </c:pt>
                <c:pt idx="68">
                  <c:v>4.1900000000000004</c:v>
                </c:pt>
                <c:pt idx="69">
                  <c:v>4.1100000000000003</c:v>
                </c:pt>
                <c:pt idx="70">
                  <c:v>4.12</c:v>
                </c:pt>
                <c:pt idx="71">
                  <c:v>4.04</c:v>
                </c:pt>
                <c:pt idx="72">
                  <c:v>3.94</c:v>
                </c:pt>
                <c:pt idx="73">
                  <c:v>4.32</c:v>
                </c:pt>
                <c:pt idx="74">
                  <c:v>4.72</c:v>
                </c:pt>
                <c:pt idx="75">
                  <c:v>4.58</c:v>
                </c:pt>
                <c:pt idx="76">
                  <c:v>4.1900000000000004</c:v>
                </c:pt>
                <c:pt idx="77">
                  <c:v>4.3099999999999996</c:v>
                </c:pt>
                <c:pt idx="78">
                  <c:v>4.4800000000000004</c:v>
                </c:pt>
                <c:pt idx="79">
                  <c:v>4.71</c:v>
                </c:pt>
                <c:pt idx="80">
                  <c:v>5.25</c:v>
                </c:pt>
                <c:pt idx="81">
                  <c:v>5.78</c:v>
                </c:pt>
                <c:pt idx="82">
                  <c:v>6.26</c:v>
                </c:pt>
                <c:pt idx="83">
                  <c:v>6.23</c:v>
                </c:pt>
                <c:pt idx="84">
                  <c:v>6.03</c:v>
                </c:pt>
                <c:pt idx="85">
                  <c:v>5.77</c:v>
                </c:pt>
                <c:pt idx="86">
                  <c:v>5.22</c:v>
                </c:pt>
                <c:pt idx="87">
                  <c:v>5.01</c:v>
                </c:pt>
                <c:pt idx="88">
                  <c:v>5.16</c:v>
                </c:pt>
                <c:pt idx="89">
                  <c:v>5.41</c:v>
                </c:pt>
                <c:pt idx="90">
                  <c:v>5.69</c:v>
                </c:pt>
                <c:pt idx="91">
                  <c:v>6</c:v>
                </c:pt>
                <c:pt idx="92">
                  <c:v>6.35</c:v>
                </c:pt>
                <c:pt idx="93">
                  <c:v>5.93</c:v>
                </c:pt>
                <c:pt idx="94">
                  <c:v>5.73</c:v>
                </c:pt>
                <c:pt idx="95">
                  <c:v>6.39</c:v>
                </c:pt>
                <c:pt idx="96">
                  <c:v>7.18</c:v>
                </c:pt>
                <c:pt idx="97">
                  <c:v>7.52</c:v>
                </c:pt>
                <c:pt idx="98">
                  <c:v>7.87</c:v>
                </c:pt>
                <c:pt idx="99">
                  <c:v>7.57</c:v>
                </c:pt>
                <c:pt idx="100">
                  <c:v>7.94</c:v>
                </c:pt>
                <c:pt idx="101">
                  <c:v>7.73</c:v>
                </c:pt>
                <c:pt idx="102">
                  <c:v>7.67</c:v>
                </c:pt>
                <c:pt idx="103">
                  <c:v>7.18</c:v>
                </c:pt>
                <c:pt idx="104">
                  <c:v>6.47</c:v>
                </c:pt>
                <c:pt idx="105">
                  <c:v>6.14</c:v>
                </c:pt>
                <c:pt idx="106">
                  <c:v>5.73</c:v>
                </c:pt>
                <c:pt idx="107">
                  <c:v>4.7699999999999996</c:v>
                </c:pt>
                <c:pt idx="108">
                  <c:v>3.81</c:v>
                </c:pt>
                <c:pt idx="109">
                  <c:v>3.28</c:v>
                </c:pt>
                <c:pt idx="110">
                  <c:v>3.13</c:v>
                </c:pt>
                <c:pt idx="111">
                  <c:v>3.21</c:v>
                </c:pt>
                <c:pt idx="112">
                  <c:v>2.72</c:v>
                </c:pt>
                <c:pt idx="113">
                  <c:v>2.37</c:v>
                </c:pt>
                <c:pt idx="114">
                  <c:v>2</c:v>
                </c:pt>
                <c:pt idx="115">
                  <c:v>2.1</c:v>
                </c:pt>
                <c:pt idx="116">
                  <c:v>2.09</c:v>
                </c:pt>
                <c:pt idx="117">
                  <c:v>1.84</c:v>
                </c:pt>
                <c:pt idx="118">
                  <c:v>1.98</c:v>
                </c:pt>
                <c:pt idx="119">
                  <c:v>2.0699999999999998</c:v>
                </c:pt>
                <c:pt idx="120">
                  <c:v>2.25</c:v>
                </c:pt>
                <c:pt idx="121">
                  <c:v>2.2400000000000002</c:v>
                </c:pt>
                <c:pt idx="122">
                  <c:v>2.31</c:v>
                </c:pt>
                <c:pt idx="123">
                  <c:v>2.2799999999999998</c:v>
                </c:pt>
                <c:pt idx="124">
                  <c:v>2.33</c:v>
                </c:pt>
                <c:pt idx="125">
                  <c:v>2.59</c:v>
                </c:pt>
                <c:pt idx="126">
                  <c:v>3.17</c:v>
                </c:pt>
                <c:pt idx="127">
                  <c:v>3.4</c:v>
                </c:pt>
                <c:pt idx="128">
                  <c:v>3.17</c:v>
                </c:pt>
                <c:pt idx="129">
                  <c:v>3.19</c:v>
                </c:pt>
                <c:pt idx="130">
                  <c:v>2.84</c:v>
                </c:pt>
                <c:pt idx="131">
                  <c:v>3.02</c:v>
                </c:pt>
                <c:pt idx="132">
                  <c:v>3.23</c:v>
                </c:pt>
                <c:pt idx="133">
                  <c:v>3.42</c:v>
                </c:pt>
                <c:pt idx="134">
                  <c:v>3.27</c:v>
                </c:pt>
                <c:pt idx="135">
                  <c:v>3.73</c:v>
                </c:pt>
                <c:pt idx="136">
                  <c:v>4.0199999999999996</c:v>
                </c:pt>
                <c:pt idx="137">
                  <c:v>3.96</c:v>
                </c:pt>
                <c:pt idx="138">
                  <c:v>3.73</c:v>
                </c:pt>
                <c:pt idx="139">
                  <c:v>3.54</c:v>
                </c:pt>
                <c:pt idx="140">
                  <c:v>3.55</c:v>
                </c:pt>
                <c:pt idx="141">
                  <c:v>3.4</c:v>
                </c:pt>
                <c:pt idx="142">
                  <c:v>3.43</c:v>
                </c:pt>
                <c:pt idx="143">
                  <c:v>3.44</c:v>
                </c:pt>
                <c:pt idx="144">
                  <c:v>3.2</c:v>
                </c:pt>
                <c:pt idx="145">
                  <c:v>3.03</c:v>
                </c:pt>
                <c:pt idx="146">
                  <c:v>3.11</c:v>
                </c:pt>
                <c:pt idx="147">
                  <c:v>3.08</c:v>
                </c:pt>
                <c:pt idx="148">
                  <c:v>3.06</c:v>
                </c:pt>
                <c:pt idx="149">
                  <c:v>2.77</c:v>
                </c:pt>
                <c:pt idx="150">
                  <c:v>2.44</c:v>
                </c:pt>
                <c:pt idx="151">
                  <c:v>2</c:v>
                </c:pt>
                <c:pt idx="152">
                  <c:v>1.83</c:v>
                </c:pt>
                <c:pt idx="153">
                  <c:v>1.91</c:v>
                </c:pt>
                <c:pt idx="154">
                  <c:v>2.02</c:v>
                </c:pt>
                <c:pt idx="155">
                  <c:v>2</c:v>
                </c:pt>
                <c:pt idx="156">
                  <c:v>2.16</c:v>
                </c:pt>
                <c:pt idx="157">
                  <c:v>2.2200000000000002</c:v>
                </c:pt>
                <c:pt idx="158">
                  <c:v>2.27</c:v>
                </c:pt>
                <c:pt idx="159">
                  <c:v>2.27</c:v>
                </c:pt>
                <c:pt idx="160">
                  <c:v>1.84</c:v>
                </c:pt>
                <c:pt idx="161">
                  <c:v>1.76</c:v>
                </c:pt>
                <c:pt idx="162">
                  <c:v>1.94</c:v>
                </c:pt>
                <c:pt idx="163">
                  <c:v>2.13</c:v>
                </c:pt>
                <c:pt idx="164">
                  <c:v>2.3199999999999998</c:v>
                </c:pt>
                <c:pt idx="165">
                  <c:v>2.5099999999999998</c:v>
                </c:pt>
                <c:pt idx="166">
                  <c:v>2.72</c:v>
                </c:pt>
                <c:pt idx="167">
                  <c:v>2.93</c:v>
                </c:pt>
                <c:pt idx="168">
                  <c:v>2.79</c:v>
                </c:pt>
                <c:pt idx="169">
                  <c:v>2.89</c:v>
                </c:pt>
                <c:pt idx="170">
                  <c:v>3.02</c:v>
                </c:pt>
                <c:pt idx="171">
                  <c:v>2.86</c:v>
                </c:pt>
                <c:pt idx="172">
                  <c:v>3.29</c:v>
                </c:pt>
                <c:pt idx="173">
                  <c:v>3.65</c:v>
                </c:pt>
                <c:pt idx="174">
                  <c:v>3.66</c:v>
                </c:pt>
                <c:pt idx="175">
                  <c:v>3.82</c:v>
                </c:pt>
                <c:pt idx="176">
                  <c:v>4.3600000000000003</c:v>
                </c:pt>
                <c:pt idx="177">
                  <c:v>4.5599999999999996</c:v>
                </c:pt>
                <c:pt idx="178">
                  <c:v>4.6399999999999997</c:v>
                </c:pt>
                <c:pt idx="179">
                  <c:v>4.41</c:v>
                </c:pt>
                <c:pt idx="180">
                  <c:v>4.42</c:v>
                </c:pt>
                <c:pt idx="181">
                  <c:v>4.46</c:v>
                </c:pt>
                <c:pt idx="182">
                  <c:v>4.74</c:v>
                </c:pt>
                <c:pt idx="183">
                  <c:v>5.35</c:v>
                </c:pt>
                <c:pt idx="184">
                  <c:v>5.89</c:v>
                </c:pt>
                <c:pt idx="185">
                  <c:v>6.39</c:v>
                </c:pt>
                <c:pt idx="186">
                  <c:v>6.77</c:v>
                </c:pt>
                <c:pt idx="187">
                  <c:v>7.45</c:v>
                </c:pt>
                <c:pt idx="188">
                  <c:v>7.59</c:v>
                </c:pt>
                <c:pt idx="189">
                  <c:v>7.98</c:v>
                </c:pt>
                <c:pt idx="190">
                  <c:v>7.93</c:v>
                </c:pt>
                <c:pt idx="191">
                  <c:v>8.1999999999999993</c:v>
                </c:pt>
                <c:pt idx="192">
                  <c:v>8.6</c:v>
                </c:pt>
                <c:pt idx="193">
                  <c:v>8.9700000000000006</c:v>
                </c:pt>
                <c:pt idx="194">
                  <c:v>8.1</c:v>
                </c:pt>
                <c:pt idx="195">
                  <c:v>7.27</c:v>
                </c:pt>
                <c:pt idx="196">
                  <c:v>6.48</c:v>
                </c:pt>
                <c:pt idx="197">
                  <c:v>5.96</c:v>
                </c:pt>
                <c:pt idx="198">
                  <c:v>5.75</c:v>
                </c:pt>
                <c:pt idx="199">
                  <c:v>5.47</c:v>
                </c:pt>
                <c:pt idx="200">
                  <c:v>5.18</c:v>
                </c:pt>
                <c:pt idx="201">
                  <c:v>4.6900000000000004</c:v>
                </c:pt>
                <c:pt idx="202">
                  <c:v>4.66</c:v>
                </c:pt>
                <c:pt idx="203">
                  <c:v>4.37</c:v>
                </c:pt>
                <c:pt idx="204">
                  <c:v>3.99</c:v>
                </c:pt>
                <c:pt idx="205">
                  <c:v>3.4</c:v>
                </c:pt>
                <c:pt idx="206">
                  <c:v>3.87</c:v>
                </c:pt>
                <c:pt idx="207">
                  <c:v>3.97</c:v>
                </c:pt>
                <c:pt idx="208">
                  <c:v>4.05</c:v>
                </c:pt>
                <c:pt idx="209">
                  <c:v>4.12</c:v>
                </c:pt>
                <c:pt idx="210">
                  <c:v>4.09</c:v>
                </c:pt>
                <c:pt idx="211">
                  <c:v>3.68</c:v>
                </c:pt>
                <c:pt idx="212">
                  <c:v>3.37</c:v>
                </c:pt>
                <c:pt idx="213">
                  <c:v>3.14</c:v>
                </c:pt>
                <c:pt idx="214">
                  <c:v>3.13</c:v>
                </c:pt>
                <c:pt idx="215">
                  <c:v>3.16</c:v>
                </c:pt>
                <c:pt idx="216">
                  <c:v>3.2</c:v>
                </c:pt>
                <c:pt idx="217">
                  <c:v>3.12</c:v>
                </c:pt>
                <c:pt idx="218">
                  <c:v>3.1</c:v>
                </c:pt>
                <c:pt idx="219">
                  <c:v>3.23</c:v>
                </c:pt>
                <c:pt idx="220">
                  <c:v>3.33</c:v>
                </c:pt>
                <c:pt idx="221">
                  <c:v>3.27</c:v>
                </c:pt>
                <c:pt idx="222">
                  <c:v>3.18</c:v>
                </c:pt>
                <c:pt idx="223">
                  <c:v>3.15</c:v>
                </c:pt>
                <c:pt idx="224">
                  <c:v>3.01</c:v>
                </c:pt>
                <c:pt idx="225">
                  <c:v>3.21</c:v>
                </c:pt>
                <c:pt idx="226">
                  <c:v>3.25</c:v>
                </c:pt>
                <c:pt idx="227">
                  <c:v>3.31</c:v>
                </c:pt>
                <c:pt idx="228">
                  <c:v>3.43</c:v>
                </c:pt>
                <c:pt idx="229">
                  <c:v>3.79</c:v>
                </c:pt>
                <c:pt idx="230">
                  <c:v>3.75</c:v>
                </c:pt>
                <c:pt idx="231">
                  <c:v>3.82</c:v>
                </c:pt>
                <c:pt idx="232">
                  <c:v>3.86</c:v>
                </c:pt>
                <c:pt idx="233">
                  <c:v>3.84</c:v>
                </c:pt>
                <c:pt idx="234">
                  <c:v>3.8</c:v>
                </c:pt>
                <c:pt idx="235">
                  <c:v>3.62</c:v>
                </c:pt>
                <c:pt idx="236">
                  <c:v>3.72</c:v>
                </c:pt>
                <c:pt idx="237">
                  <c:v>3.86</c:v>
                </c:pt>
                <c:pt idx="238">
                  <c:v>3.51</c:v>
                </c:pt>
                <c:pt idx="239">
                  <c:v>2.85</c:v>
                </c:pt>
                <c:pt idx="240">
                  <c:v>2.19</c:v>
                </c:pt>
                <c:pt idx="241">
                  <c:v>1.97</c:v>
                </c:pt>
                <c:pt idx="242">
                  <c:v>1.88</c:v>
                </c:pt>
                <c:pt idx="243">
                  <c:v>1.97</c:v>
                </c:pt>
                <c:pt idx="244">
                  <c:v>1.75</c:v>
                </c:pt>
                <c:pt idx="245">
                  <c:v>1.49</c:v>
                </c:pt>
                <c:pt idx="246">
                  <c:v>1.61</c:v>
                </c:pt>
                <c:pt idx="247">
                  <c:v>1.6</c:v>
                </c:pt>
                <c:pt idx="248">
                  <c:v>1.56</c:v>
                </c:pt>
                <c:pt idx="249">
                  <c:v>1.51</c:v>
                </c:pt>
                <c:pt idx="250">
                  <c:v>1.95</c:v>
                </c:pt>
                <c:pt idx="251">
                  <c:v>3.3</c:v>
                </c:pt>
                <c:pt idx="252">
                  <c:v>3.63</c:v>
                </c:pt>
                <c:pt idx="253">
                  <c:v>3.97</c:v>
                </c:pt>
                <c:pt idx="254">
                  <c:v>4.4400000000000004</c:v>
                </c:pt>
                <c:pt idx="255">
                  <c:v>4.51</c:v>
                </c:pt>
                <c:pt idx="256">
                  <c:v>4.58</c:v>
                </c:pt>
                <c:pt idx="257">
                  <c:v>5.26</c:v>
                </c:pt>
                <c:pt idx="258">
                  <c:v>5.62</c:v>
                </c:pt>
                <c:pt idx="259">
                  <c:v>6.94</c:v>
                </c:pt>
                <c:pt idx="260">
                  <c:v>8.01</c:v>
                </c:pt>
                <c:pt idx="261">
                  <c:v>8.5299999999999994</c:v>
                </c:pt>
                <c:pt idx="262">
                  <c:v>9.23</c:v>
                </c:pt>
                <c:pt idx="263">
                  <c:v>9.07</c:v>
                </c:pt>
                <c:pt idx="264">
                  <c:v>9.67</c:v>
                </c:pt>
                <c:pt idx="265">
                  <c:v>10.210000000000001</c:v>
                </c:pt>
                <c:pt idx="266">
                  <c:v>10.84</c:v>
                </c:pt>
                <c:pt idx="267">
                  <c:v>11.44</c:v>
                </c:pt>
                <c:pt idx="268">
                  <c:v>12.22</c:v>
                </c:pt>
                <c:pt idx="269">
                  <c:v>12.53</c:v>
                </c:pt>
                <c:pt idx="270">
                  <c:v>13.12</c:v>
                </c:pt>
                <c:pt idx="271">
                  <c:v>13.25</c:v>
                </c:pt>
                <c:pt idx="272">
                  <c:v>13.28</c:v>
                </c:pt>
                <c:pt idx="273">
                  <c:v>13.34</c:v>
                </c:pt>
                <c:pt idx="274">
                  <c:v>12.82</c:v>
                </c:pt>
                <c:pt idx="275">
                  <c:v>12.36</c:v>
                </c:pt>
                <c:pt idx="276">
                  <c:v>12.13</c:v>
                </c:pt>
                <c:pt idx="277">
                  <c:v>11.78</c:v>
                </c:pt>
                <c:pt idx="278">
                  <c:v>11.43</c:v>
                </c:pt>
                <c:pt idx="279">
                  <c:v>10.99</c:v>
                </c:pt>
                <c:pt idx="280">
                  <c:v>10.48</c:v>
                </c:pt>
                <c:pt idx="281">
                  <c:v>10.15</c:v>
                </c:pt>
                <c:pt idx="282">
                  <c:v>9.2799999999999994</c:v>
                </c:pt>
                <c:pt idx="283">
                  <c:v>8.35</c:v>
                </c:pt>
                <c:pt idx="284">
                  <c:v>7.74</c:v>
                </c:pt>
                <c:pt idx="285">
                  <c:v>7.36</c:v>
                </c:pt>
                <c:pt idx="286">
                  <c:v>7.16</c:v>
                </c:pt>
                <c:pt idx="287">
                  <c:v>7.16</c:v>
                </c:pt>
                <c:pt idx="288">
                  <c:v>7.18</c:v>
                </c:pt>
                <c:pt idx="289">
                  <c:v>6.86</c:v>
                </c:pt>
                <c:pt idx="290">
                  <c:v>6.12</c:v>
                </c:pt>
                <c:pt idx="291">
                  <c:v>5.81</c:v>
                </c:pt>
                <c:pt idx="292">
                  <c:v>5.41</c:v>
                </c:pt>
                <c:pt idx="293">
                  <c:v>5.2</c:v>
                </c:pt>
                <c:pt idx="294">
                  <c:v>5.2</c:v>
                </c:pt>
                <c:pt idx="295">
                  <c:v>5.22</c:v>
                </c:pt>
                <c:pt idx="296">
                  <c:v>5.28</c:v>
                </c:pt>
                <c:pt idx="297">
                  <c:v>5.09</c:v>
                </c:pt>
                <c:pt idx="298">
                  <c:v>5.16</c:v>
                </c:pt>
                <c:pt idx="299">
                  <c:v>5.05</c:v>
                </c:pt>
                <c:pt idx="300">
                  <c:v>4.82</c:v>
                </c:pt>
                <c:pt idx="301">
                  <c:v>4.9000000000000004</c:v>
                </c:pt>
                <c:pt idx="302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C-430C-B907-6F733568F23C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Tasa Repo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Hoja1!$C$2:$C$304</c:f>
              <c:numCache>
                <c:formatCode>m/d/yyyy</c:formatCode>
                <c:ptCount val="303"/>
                <c:pt idx="0">
                  <c:v>36678</c:v>
                </c:pt>
                <c:pt idx="1">
                  <c:v>36708</c:v>
                </c:pt>
                <c:pt idx="2">
                  <c:v>36739</c:v>
                </c:pt>
                <c:pt idx="3">
                  <c:v>36770</c:v>
                </c:pt>
                <c:pt idx="4">
                  <c:v>36800</c:v>
                </c:pt>
                <c:pt idx="5">
                  <c:v>36831</c:v>
                </c:pt>
                <c:pt idx="6">
                  <c:v>36861</c:v>
                </c:pt>
                <c:pt idx="7">
                  <c:v>36892</c:v>
                </c:pt>
                <c:pt idx="8">
                  <c:v>36923</c:v>
                </c:pt>
                <c:pt idx="9">
                  <c:v>36951</c:v>
                </c:pt>
                <c:pt idx="10">
                  <c:v>36982</c:v>
                </c:pt>
                <c:pt idx="11">
                  <c:v>37012</c:v>
                </c:pt>
                <c:pt idx="12">
                  <c:v>37043</c:v>
                </c:pt>
                <c:pt idx="13">
                  <c:v>37073</c:v>
                </c:pt>
                <c:pt idx="14">
                  <c:v>37104</c:v>
                </c:pt>
                <c:pt idx="15">
                  <c:v>37135</c:v>
                </c:pt>
                <c:pt idx="16">
                  <c:v>37165</c:v>
                </c:pt>
                <c:pt idx="17">
                  <c:v>37196</c:v>
                </c:pt>
                <c:pt idx="18">
                  <c:v>37226</c:v>
                </c:pt>
                <c:pt idx="19">
                  <c:v>37257</c:v>
                </c:pt>
                <c:pt idx="20">
                  <c:v>37288</c:v>
                </c:pt>
                <c:pt idx="21">
                  <c:v>37316</c:v>
                </c:pt>
                <c:pt idx="22">
                  <c:v>37347</c:v>
                </c:pt>
                <c:pt idx="23">
                  <c:v>37377</c:v>
                </c:pt>
                <c:pt idx="24">
                  <c:v>37408</c:v>
                </c:pt>
                <c:pt idx="25">
                  <c:v>37438</c:v>
                </c:pt>
                <c:pt idx="26">
                  <c:v>37469</c:v>
                </c:pt>
                <c:pt idx="27">
                  <c:v>37500</c:v>
                </c:pt>
                <c:pt idx="28">
                  <c:v>37530</c:v>
                </c:pt>
                <c:pt idx="29">
                  <c:v>37561</c:v>
                </c:pt>
                <c:pt idx="30">
                  <c:v>37591</c:v>
                </c:pt>
                <c:pt idx="31">
                  <c:v>37622</c:v>
                </c:pt>
                <c:pt idx="32">
                  <c:v>37653</c:v>
                </c:pt>
                <c:pt idx="33">
                  <c:v>37681</c:v>
                </c:pt>
                <c:pt idx="34">
                  <c:v>37712</c:v>
                </c:pt>
                <c:pt idx="35">
                  <c:v>37742</c:v>
                </c:pt>
                <c:pt idx="36">
                  <c:v>37773</c:v>
                </c:pt>
                <c:pt idx="37">
                  <c:v>37803</c:v>
                </c:pt>
                <c:pt idx="38">
                  <c:v>37834</c:v>
                </c:pt>
                <c:pt idx="39">
                  <c:v>37865</c:v>
                </c:pt>
                <c:pt idx="40">
                  <c:v>37895</c:v>
                </c:pt>
                <c:pt idx="41">
                  <c:v>37926</c:v>
                </c:pt>
                <c:pt idx="42">
                  <c:v>37956</c:v>
                </c:pt>
                <c:pt idx="43">
                  <c:v>37987</c:v>
                </c:pt>
                <c:pt idx="44">
                  <c:v>38018</c:v>
                </c:pt>
                <c:pt idx="45">
                  <c:v>38047</c:v>
                </c:pt>
                <c:pt idx="46">
                  <c:v>38078</c:v>
                </c:pt>
                <c:pt idx="47">
                  <c:v>38108</c:v>
                </c:pt>
                <c:pt idx="48">
                  <c:v>38139</c:v>
                </c:pt>
                <c:pt idx="49">
                  <c:v>38169</c:v>
                </c:pt>
                <c:pt idx="50">
                  <c:v>38200</c:v>
                </c:pt>
                <c:pt idx="51">
                  <c:v>38231</c:v>
                </c:pt>
                <c:pt idx="52">
                  <c:v>38261</c:v>
                </c:pt>
                <c:pt idx="53">
                  <c:v>38292</c:v>
                </c:pt>
                <c:pt idx="54">
                  <c:v>38322</c:v>
                </c:pt>
                <c:pt idx="55">
                  <c:v>38353</c:v>
                </c:pt>
                <c:pt idx="56">
                  <c:v>38384</c:v>
                </c:pt>
                <c:pt idx="57">
                  <c:v>38412</c:v>
                </c:pt>
                <c:pt idx="58">
                  <c:v>38443</c:v>
                </c:pt>
                <c:pt idx="59">
                  <c:v>38473</c:v>
                </c:pt>
                <c:pt idx="60">
                  <c:v>38504</c:v>
                </c:pt>
                <c:pt idx="61">
                  <c:v>38534</c:v>
                </c:pt>
                <c:pt idx="62">
                  <c:v>38565</c:v>
                </c:pt>
                <c:pt idx="63">
                  <c:v>38596</c:v>
                </c:pt>
                <c:pt idx="64">
                  <c:v>38626</c:v>
                </c:pt>
                <c:pt idx="65">
                  <c:v>38657</c:v>
                </c:pt>
                <c:pt idx="66">
                  <c:v>38687</c:v>
                </c:pt>
                <c:pt idx="67">
                  <c:v>38718</c:v>
                </c:pt>
                <c:pt idx="68">
                  <c:v>38749</c:v>
                </c:pt>
                <c:pt idx="69">
                  <c:v>38777</c:v>
                </c:pt>
                <c:pt idx="70">
                  <c:v>38808</c:v>
                </c:pt>
                <c:pt idx="71">
                  <c:v>38838</c:v>
                </c:pt>
                <c:pt idx="72">
                  <c:v>38869</c:v>
                </c:pt>
                <c:pt idx="73">
                  <c:v>38899</c:v>
                </c:pt>
                <c:pt idx="74">
                  <c:v>38930</c:v>
                </c:pt>
                <c:pt idx="75">
                  <c:v>38961</c:v>
                </c:pt>
                <c:pt idx="76">
                  <c:v>38991</c:v>
                </c:pt>
                <c:pt idx="77">
                  <c:v>39022</c:v>
                </c:pt>
                <c:pt idx="78">
                  <c:v>39052</c:v>
                </c:pt>
                <c:pt idx="79">
                  <c:v>39083</c:v>
                </c:pt>
                <c:pt idx="80">
                  <c:v>39114</c:v>
                </c:pt>
                <c:pt idx="81">
                  <c:v>39142</c:v>
                </c:pt>
                <c:pt idx="82">
                  <c:v>39173</c:v>
                </c:pt>
                <c:pt idx="83">
                  <c:v>39203</c:v>
                </c:pt>
                <c:pt idx="84">
                  <c:v>39234</c:v>
                </c:pt>
                <c:pt idx="85">
                  <c:v>39264</c:v>
                </c:pt>
                <c:pt idx="86">
                  <c:v>39295</c:v>
                </c:pt>
                <c:pt idx="87">
                  <c:v>39326</c:v>
                </c:pt>
                <c:pt idx="88">
                  <c:v>39356</c:v>
                </c:pt>
                <c:pt idx="89">
                  <c:v>39387</c:v>
                </c:pt>
                <c:pt idx="90">
                  <c:v>39417</c:v>
                </c:pt>
                <c:pt idx="91">
                  <c:v>39448</c:v>
                </c:pt>
                <c:pt idx="92">
                  <c:v>39479</c:v>
                </c:pt>
                <c:pt idx="93">
                  <c:v>39508</c:v>
                </c:pt>
                <c:pt idx="94">
                  <c:v>39539</c:v>
                </c:pt>
                <c:pt idx="95">
                  <c:v>39569</c:v>
                </c:pt>
                <c:pt idx="96">
                  <c:v>39600</c:v>
                </c:pt>
                <c:pt idx="97">
                  <c:v>39630</c:v>
                </c:pt>
                <c:pt idx="98">
                  <c:v>39661</c:v>
                </c:pt>
                <c:pt idx="99">
                  <c:v>39692</c:v>
                </c:pt>
                <c:pt idx="100">
                  <c:v>39722</c:v>
                </c:pt>
                <c:pt idx="101">
                  <c:v>39753</c:v>
                </c:pt>
                <c:pt idx="102">
                  <c:v>39783</c:v>
                </c:pt>
                <c:pt idx="103">
                  <c:v>39814</c:v>
                </c:pt>
                <c:pt idx="104">
                  <c:v>39845</c:v>
                </c:pt>
                <c:pt idx="105">
                  <c:v>39873</c:v>
                </c:pt>
                <c:pt idx="106">
                  <c:v>39904</c:v>
                </c:pt>
                <c:pt idx="107">
                  <c:v>39934</c:v>
                </c:pt>
                <c:pt idx="108">
                  <c:v>39965</c:v>
                </c:pt>
                <c:pt idx="109">
                  <c:v>39995</c:v>
                </c:pt>
                <c:pt idx="110">
                  <c:v>40026</c:v>
                </c:pt>
                <c:pt idx="111">
                  <c:v>40057</c:v>
                </c:pt>
                <c:pt idx="112">
                  <c:v>40087</c:v>
                </c:pt>
                <c:pt idx="113">
                  <c:v>40118</c:v>
                </c:pt>
                <c:pt idx="114">
                  <c:v>40148</c:v>
                </c:pt>
                <c:pt idx="115">
                  <c:v>40179</c:v>
                </c:pt>
                <c:pt idx="116">
                  <c:v>40210</c:v>
                </c:pt>
                <c:pt idx="117">
                  <c:v>40238</c:v>
                </c:pt>
                <c:pt idx="118">
                  <c:v>40269</c:v>
                </c:pt>
                <c:pt idx="119">
                  <c:v>40299</c:v>
                </c:pt>
                <c:pt idx="120">
                  <c:v>40330</c:v>
                </c:pt>
                <c:pt idx="121">
                  <c:v>40360</c:v>
                </c:pt>
                <c:pt idx="122">
                  <c:v>40391</c:v>
                </c:pt>
                <c:pt idx="123">
                  <c:v>40422</c:v>
                </c:pt>
                <c:pt idx="124">
                  <c:v>40452</c:v>
                </c:pt>
                <c:pt idx="125">
                  <c:v>40483</c:v>
                </c:pt>
                <c:pt idx="126">
                  <c:v>40513</c:v>
                </c:pt>
                <c:pt idx="127">
                  <c:v>40544</c:v>
                </c:pt>
                <c:pt idx="128">
                  <c:v>40575</c:v>
                </c:pt>
                <c:pt idx="129">
                  <c:v>40603</c:v>
                </c:pt>
                <c:pt idx="130">
                  <c:v>40634</c:v>
                </c:pt>
                <c:pt idx="131">
                  <c:v>40664</c:v>
                </c:pt>
                <c:pt idx="132">
                  <c:v>40695</c:v>
                </c:pt>
                <c:pt idx="133">
                  <c:v>40725</c:v>
                </c:pt>
                <c:pt idx="134">
                  <c:v>40756</c:v>
                </c:pt>
                <c:pt idx="135">
                  <c:v>40787</c:v>
                </c:pt>
                <c:pt idx="136">
                  <c:v>40817</c:v>
                </c:pt>
                <c:pt idx="137">
                  <c:v>40848</c:v>
                </c:pt>
                <c:pt idx="138">
                  <c:v>40878</c:v>
                </c:pt>
                <c:pt idx="139">
                  <c:v>40909</c:v>
                </c:pt>
                <c:pt idx="140">
                  <c:v>40940</c:v>
                </c:pt>
                <c:pt idx="141">
                  <c:v>40969</c:v>
                </c:pt>
                <c:pt idx="142">
                  <c:v>41000</c:v>
                </c:pt>
                <c:pt idx="143">
                  <c:v>41030</c:v>
                </c:pt>
                <c:pt idx="144">
                  <c:v>41061</c:v>
                </c:pt>
                <c:pt idx="145">
                  <c:v>41091</c:v>
                </c:pt>
                <c:pt idx="146">
                  <c:v>41122</c:v>
                </c:pt>
                <c:pt idx="147">
                  <c:v>41153</c:v>
                </c:pt>
                <c:pt idx="148">
                  <c:v>41183</c:v>
                </c:pt>
                <c:pt idx="149">
                  <c:v>41214</c:v>
                </c:pt>
                <c:pt idx="150">
                  <c:v>41244</c:v>
                </c:pt>
                <c:pt idx="151">
                  <c:v>41275</c:v>
                </c:pt>
                <c:pt idx="152">
                  <c:v>41306</c:v>
                </c:pt>
                <c:pt idx="153">
                  <c:v>41334</c:v>
                </c:pt>
                <c:pt idx="154">
                  <c:v>41365</c:v>
                </c:pt>
                <c:pt idx="155">
                  <c:v>41395</c:v>
                </c:pt>
                <c:pt idx="156">
                  <c:v>41426</c:v>
                </c:pt>
                <c:pt idx="157">
                  <c:v>41456</c:v>
                </c:pt>
                <c:pt idx="158">
                  <c:v>41487</c:v>
                </c:pt>
                <c:pt idx="159">
                  <c:v>41518</c:v>
                </c:pt>
                <c:pt idx="160">
                  <c:v>41548</c:v>
                </c:pt>
                <c:pt idx="161">
                  <c:v>41579</c:v>
                </c:pt>
                <c:pt idx="162">
                  <c:v>41609</c:v>
                </c:pt>
                <c:pt idx="163">
                  <c:v>41640</c:v>
                </c:pt>
                <c:pt idx="164">
                  <c:v>41671</c:v>
                </c:pt>
                <c:pt idx="165">
                  <c:v>41699</c:v>
                </c:pt>
                <c:pt idx="166">
                  <c:v>41730</c:v>
                </c:pt>
                <c:pt idx="167">
                  <c:v>41760</c:v>
                </c:pt>
                <c:pt idx="168">
                  <c:v>41791</c:v>
                </c:pt>
                <c:pt idx="169">
                  <c:v>41821</c:v>
                </c:pt>
                <c:pt idx="170">
                  <c:v>41852</c:v>
                </c:pt>
                <c:pt idx="171">
                  <c:v>41883</c:v>
                </c:pt>
                <c:pt idx="172">
                  <c:v>41913</c:v>
                </c:pt>
                <c:pt idx="173">
                  <c:v>41944</c:v>
                </c:pt>
                <c:pt idx="174">
                  <c:v>41974</c:v>
                </c:pt>
                <c:pt idx="175">
                  <c:v>42005</c:v>
                </c:pt>
                <c:pt idx="176">
                  <c:v>42036</c:v>
                </c:pt>
                <c:pt idx="177">
                  <c:v>42064</c:v>
                </c:pt>
                <c:pt idx="178">
                  <c:v>42095</c:v>
                </c:pt>
                <c:pt idx="179">
                  <c:v>42125</c:v>
                </c:pt>
                <c:pt idx="180">
                  <c:v>42156</c:v>
                </c:pt>
                <c:pt idx="181">
                  <c:v>42186</c:v>
                </c:pt>
                <c:pt idx="182">
                  <c:v>42217</c:v>
                </c:pt>
                <c:pt idx="183">
                  <c:v>42248</c:v>
                </c:pt>
                <c:pt idx="184">
                  <c:v>42278</c:v>
                </c:pt>
                <c:pt idx="185">
                  <c:v>42309</c:v>
                </c:pt>
                <c:pt idx="186">
                  <c:v>42339</c:v>
                </c:pt>
                <c:pt idx="187">
                  <c:v>42370</c:v>
                </c:pt>
                <c:pt idx="188">
                  <c:v>42401</c:v>
                </c:pt>
                <c:pt idx="189">
                  <c:v>42430</c:v>
                </c:pt>
                <c:pt idx="190">
                  <c:v>42461</c:v>
                </c:pt>
                <c:pt idx="191">
                  <c:v>42491</c:v>
                </c:pt>
                <c:pt idx="192">
                  <c:v>42522</c:v>
                </c:pt>
                <c:pt idx="193">
                  <c:v>42552</c:v>
                </c:pt>
                <c:pt idx="194">
                  <c:v>42583</c:v>
                </c:pt>
                <c:pt idx="195">
                  <c:v>42614</c:v>
                </c:pt>
                <c:pt idx="196">
                  <c:v>42644</c:v>
                </c:pt>
                <c:pt idx="197">
                  <c:v>42675</c:v>
                </c:pt>
                <c:pt idx="198">
                  <c:v>42705</c:v>
                </c:pt>
                <c:pt idx="199">
                  <c:v>42736</c:v>
                </c:pt>
                <c:pt idx="200">
                  <c:v>42767</c:v>
                </c:pt>
                <c:pt idx="201">
                  <c:v>42795</c:v>
                </c:pt>
                <c:pt idx="202">
                  <c:v>42826</c:v>
                </c:pt>
                <c:pt idx="203">
                  <c:v>42856</c:v>
                </c:pt>
                <c:pt idx="204">
                  <c:v>42887</c:v>
                </c:pt>
                <c:pt idx="205">
                  <c:v>42917</c:v>
                </c:pt>
                <c:pt idx="206">
                  <c:v>42948</c:v>
                </c:pt>
                <c:pt idx="207">
                  <c:v>42979</c:v>
                </c:pt>
                <c:pt idx="208">
                  <c:v>43009</c:v>
                </c:pt>
                <c:pt idx="209">
                  <c:v>43040</c:v>
                </c:pt>
                <c:pt idx="210">
                  <c:v>43070</c:v>
                </c:pt>
                <c:pt idx="211">
                  <c:v>43101</c:v>
                </c:pt>
                <c:pt idx="212">
                  <c:v>43132</c:v>
                </c:pt>
                <c:pt idx="213">
                  <c:v>43160</c:v>
                </c:pt>
                <c:pt idx="214">
                  <c:v>43191</c:v>
                </c:pt>
                <c:pt idx="215">
                  <c:v>43221</c:v>
                </c:pt>
                <c:pt idx="216">
                  <c:v>43252</c:v>
                </c:pt>
                <c:pt idx="217">
                  <c:v>43282</c:v>
                </c:pt>
                <c:pt idx="218">
                  <c:v>43313</c:v>
                </c:pt>
                <c:pt idx="219">
                  <c:v>43344</c:v>
                </c:pt>
                <c:pt idx="220">
                  <c:v>43374</c:v>
                </c:pt>
                <c:pt idx="221">
                  <c:v>43405</c:v>
                </c:pt>
                <c:pt idx="222">
                  <c:v>43435</c:v>
                </c:pt>
                <c:pt idx="223">
                  <c:v>43466</c:v>
                </c:pt>
                <c:pt idx="224">
                  <c:v>43497</c:v>
                </c:pt>
                <c:pt idx="225">
                  <c:v>43525</c:v>
                </c:pt>
                <c:pt idx="226">
                  <c:v>43556</c:v>
                </c:pt>
                <c:pt idx="227">
                  <c:v>43586</c:v>
                </c:pt>
                <c:pt idx="228">
                  <c:v>43617</c:v>
                </c:pt>
                <c:pt idx="229">
                  <c:v>43647</c:v>
                </c:pt>
                <c:pt idx="230">
                  <c:v>43678</c:v>
                </c:pt>
                <c:pt idx="231">
                  <c:v>43709</c:v>
                </c:pt>
                <c:pt idx="232">
                  <c:v>43739</c:v>
                </c:pt>
                <c:pt idx="233">
                  <c:v>43770</c:v>
                </c:pt>
                <c:pt idx="234">
                  <c:v>43800</c:v>
                </c:pt>
                <c:pt idx="235">
                  <c:v>43831</c:v>
                </c:pt>
                <c:pt idx="236">
                  <c:v>43862</c:v>
                </c:pt>
                <c:pt idx="237">
                  <c:v>43891</c:v>
                </c:pt>
                <c:pt idx="238">
                  <c:v>43922</c:v>
                </c:pt>
                <c:pt idx="239">
                  <c:v>43952</c:v>
                </c:pt>
                <c:pt idx="240">
                  <c:v>43983</c:v>
                </c:pt>
                <c:pt idx="241">
                  <c:v>44013</c:v>
                </c:pt>
                <c:pt idx="242">
                  <c:v>44044</c:v>
                </c:pt>
                <c:pt idx="243">
                  <c:v>44075</c:v>
                </c:pt>
                <c:pt idx="244">
                  <c:v>44105</c:v>
                </c:pt>
                <c:pt idx="245">
                  <c:v>44136</c:v>
                </c:pt>
                <c:pt idx="246">
                  <c:v>44166</c:v>
                </c:pt>
                <c:pt idx="247">
                  <c:v>44197</c:v>
                </c:pt>
                <c:pt idx="248">
                  <c:v>44228</c:v>
                </c:pt>
                <c:pt idx="249">
                  <c:v>44256</c:v>
                </c:pt>
                <c:pt idx="250">
                  <c:v>44287</c:v>
                </c:pt>
                <c:pt idx="251">
                  <c:v>44317</c:v>
                </c:pt>
                <c:pt idx="252">
                  <c:v>44348</c:v>
                </c:pt>
                <c:pt idx="253">
                  <c:v>44378</c:v>
                </c:pt>
                <c:pt idx="254">
                  <c:v>44409</c:v>
                </c:pt>
                <c:pt idx="255">
                  <c:v>44440</c:v>
                </c:pt>
                <c:pt idx="256">
                  <c:v>44470</c:v>
                </c:pt>
                <c:pt idx="257">
                  <c:v>44501</c:v>
                </c:pt>
                <c:pt idx="258">
                  <c:v>44531</c:v>
                </c:pt>
                <c:pt idx="259">
                  <c:v>44562</c:v>
                </c:pt>
                <c:pt idx="260">
                  <c:v>44593</c:v>
                </c:pt>
                <c:pt idx="261">
                  <c:v>44621</c:v>
                </c:pt>
                <c:pt idx="262">
                  <c:v>44652</c:v>
                </c:pt>
                <c:pt idx="263">
                  <c:v>44682</c:v>
                </c:pt>
                <c:pt idx="264">
                  <c:v>44713</c:v>
                </c:pt>
                <c:pt idx="265">
                  <c:v>44743</c:v>
                </c:pt>
                <c:pt idx="266">
                  <c:v>44774</c:v>
                </c:pt>
                <c:pt idx="267">
                  <c:v>44805</c:v>
                </c:pt>
                <c:pt idx="268">
                  <c:v>44835</c:v>
                </c:pt>
                <c:pt idx="269">
                  <c:v>44866</c:v>
                </c:pt>
                <c:pt idx="270">
                  <c:v>44896</c:v>
                </c:pt>
                <c:pt idx="271">
                  <c:v>44927</c:v>
                </c:pt>
                <c:pt idx="272">
                  <c:v>44958</c:v>
                </c:pt>
                <c:pt idx="273">
                  <c:v>44986</c:v>
                </c:pt>
                <c:pt idx="274">
                  <c:v>45017</c:v>
                </c:pt>
                <c:pt idx="275">
                  <c:v>45047</c:v>
                </c:pt>
                <c:pt idx="276">
                  <c:v>45078</c:v>
                </c:pt>
                <c:pt idx="277">
                  <c:v>45108</c:v>
                </c:pt>
                <c:pt idx="278">
                  <c:v>45139</c:v>
                </c:pt>
                <c:pt idx="279">
                  <c:v>45170</c:v>
                </c:pt>
                <c:pt idx="280">
                  <c:v>45200</c:v>
                </c:pt>
                <c:pt idx="281">
                  <c:v>45231</c:v>
                </c:pt>
                <c:pt idx="282">
                  <c:v>45261</c:v>
                </c:pt>
                <c:pt idx="283">
                  <c:v>45292</c:v>
                </c:pt>
                <c:pt idx="284">
                  <c:v>45323</c:v>
                </c:pt>
                <c:pt idx="285">
                  <c:v>45352</c:v>
                </c:pt>
                <c:pt idx="286">
                  <c:v>45383</c:v>
                </c:pt>
                <c:pt idx="287">
                  <c:v>45413</c:v>
                </c:pt>
                <c:pt idx="288">
                  <c:v>45444</c:v>
                </c:pt>
                <c:pt idx="289">
                  <c:v>45474</c:v>
                </c:pt>
                <c:pt idx="290">
                  <c:v>45505</c:v>
                </c:pt>
                <c:pt idx="291">
                  <c:v>45536</c:v>
                </c:pt>
                <c:pt idx="292">
                  <c:v>45566</c:v>
                </c:pt>
                <c:pt idx="293">
                  <c:v>45597</c:v>
                </c:pt>
                <c:pt idx="294">
                  <c:v>45627</c:v>
                </c:pt>
                <c:pt idx="295">
                  <c:v>45658</c:v>
                </c:pt>
                <c:pt idx="296">
                  <c:v>45689</c:v>
                </c:pt>
                <c:pt idx="297">
                  <c:v>45717</c:v>
                </c:pt>
                <c:pt idx="298">
                  <c:v>45748</c:v>
                </c:pt>
                <c:pt idx="299">
                  <c:v>45778</c:v>
                </c:pt>
                <c:pt idx="300">
                  <c:v>45809</c:v>
                </c:pt>
                <c:pt idx="301">
                  <c:v>45839</c:v>
                </c:pt>
                <c:pt idx="302">
                  <c:v>45870</c:v>
                </c:pt>
              </c:numCache>
            </c:numRef>
          </c:cat>
          <c:val>
            <c:numRef>
              <c:f>Hoja1!$E$2:$E$304</c:f>
              <c:numCache>
                <c:formatCode>0.0</c:formatCode>
                <c:ptCount val="30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11.5</c:v>
                </c:pt>
                <c:pt idx="11">
                  <c:v>11.5</c:v>
                </c:pt>
                <c:pt idx="12">
                  <c:v>11.5</c:v>
                </c:pt>
                <c:pt idx="13">
                  <c:v>11.5</c:v>
                </c:pt>
                <c:pt idx="14">
                  <c:v>11</c:v>
                </c:pt>
                <c:pt idx="15">
                  <c:v>10</c:v>
                </c:pt>
                <c:pt idx="16">
                  <c:v>9.5</c:v>
                </c:pt>
                <c:pt idx="17">
                  <c:v>9.25</c:v>
                </c:pt>
                <c:pt idx="18">
                  <c:v>8.75</c:v>
                </c:pt>
                <c:pt idx="19">
                  <c:v>8.5</c:v>
                </c:pt>
                <c:pt idx="20">
                  <c:v>8</c:v>
                </c:pt>
                <c:pt idx="21">
                  <c:v>8</c:v>
                </c:pt>
                <c:pt idx="22">
                  <c:v>7.25</c:v>
                </c:pt>
                <c:pt idx="23">
                  <c:v>6.25</c:v>
                </c:pt>
                <c:pt idx="24">
                  <c:v>5.75</c:v>
                </c:pt>
                <c:pt idx="25">
                  <c:v>5.25</c:v>
                </c:pt>
                <c:pt idx="26">
                  <c:v>5.25</c:v>
                </c:pt>
                <c:pt idx="27">
                  <c:v>5.25</c:v>
                </c:pt>
                <c:pt idx="28">
                  <c:v>5.25</c:v>
                </c:pt>
                <c:pt idx="29">
                  <c:v>5.25</c:v>
                </c:pt>
                <c:pt idx="30">
                  <c:v>5.25</c:v>
                </c:pt>
                <c:pt idx="31">
                  <c:v>5.25</c:v>
                </c:pt>
                <c:pt idx="32">
                  <c:v>6.25</c:v>
                </c:pt>
                <c:pt idx="33">
                  <c:v>6.25</c:v>
                </c:pt>
                <c:pt idx="34">
                  <c:v>6.25</c:v>
                </c:pt>
                <c:pt idx="35">
                  <c:v>7.25</c:v>
                </c:pt>
                <c:pt idx="36">
                  <c:v>7.25</c:v>
                </c:pt>
                <c:pt idx="37">
                  <c:v>7.25</c:v>
                </c:pt>
                <c:pt idx="38">
                  <c:v>7.25</c:v>
                </c:pt>
                <c:pt idx="39">
                  <c:v>7.25</c:v>
                </c:pt>
                <c:pt idx="40">
                  <c:v>7.25</c:v>
                </c:pt>
                <c:pt idx="41">
                  <c:v>7.25</c:v>
                </c:pt>
                <c:pt idx="42">
                  <c:v>7.25</c:v>
                </c:pt>
                <c:pt idx="43">
                  <c:v>7.25</c:v>
                </c:pt>
                <c:pt idx="44">
                  <c:v>7.25</c:v>
                </c:pt>
                <c:pt idx="45">
                  <c:v>7</c:v>
                </c:pt>
                <c:pt idx="46">
                  <c:v>6.75</c:v>
                </c:pt>
                <c:pt idx="47">
                  <c:v>6.75</c:v>
                </c:pt>
                <c:pt idx="48">
                  <c:v>6.75</c:v>
                </c:pt>
                <c:pt idx="49">
                  <c:v>6.75</c:v>
                </c:pt>
                <c:pt idx="50">
                  <c:v>6.75</c:v>
                </c:pt>
                <c:pt idx="51">
                  <c:v>6.75</c:v>
                </c:pt>
                <c:pt idx="52">
                  <c:v>6.75</c:v>
                </c:pt>
                <c:pt idx="53">
                  <c:v>6.75</c:v>
                </c:pt>
                <c:pt idx="54">
                  <c:v>6.75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6.25</c:v>
                </c:pt>
                <c:pt idx="73">
                  <c:v>6.5</c:v>
                </c:pt>
                <c:pt idx="74">
                  <c:v>6.5</c:v>
                </c:pt>
                <c:pt idx="75">
                  <c:v>6.75</c:v>
                </c:pt>
                <c:pt idx="76">
                  <c:v>6.75</c:v>
                </c:pt>
                <c:pt idx="77">
                  <c:v>7.25</c:v>
                </c:pt>
                <c:pt idx="78">
                  <c:v>7.25</c:v>
                </c:pt>
                <c:pt idx="79">
                  <c:v>7.5</c:v>
                </c:pt>
                <c:pt idx="80">
                  <c:v>7.75</c:v>
                </c:pt>
                <c:pt idx="81">
                  <c:v>8</c:v>
                </c:pt>
                <c:pt idx="82">
                  <c:v>8.25</c:v>
                </c:pt>
                <c:pt idx="83">
                  <c:v>8.25</c:v>
                </c:pt>
                <c:pt idx="84">
                  <c:v>8.75</c:v>
                </c:pt>
                <c:pt idx="85">
                  <c:v>9</c:v>
                </c:pt>
                <c:pt idx="86">
                  <c:v>9.25</c:v>
                </c:pt>
                <c:pt idx="87">
                  <c:v>9.25</c:v>
                </c:pt>
                <c:pt idx="88">
                  <c:v>9.25</c:v>
                </c:pt>
                <c:pt idx="89">
                  <c:v>9.25</c:v>
                </c:pt>
                <c:pt idx="90">
                  <c:v>9.5</c:v>
                </c:pt>
                <c:pt idx="91">
                  <c:v>9.5</c:v>
                </c:pt>
                <c:pt idx="92">
                  <c:v>9.5</c:v>
                </c:pt>
                <c:pt idx="93">
                  <c:v>9.75</c:v>
                </c:pt>
                <c:pt idx="94">
                  <c:v>9.75</c:v>
                </c:pt>
                <c:pt idx="95">
                  <c:v>9.75</c:v>
                </c:pt>
                <c:pt idx="96">
                  <c:v>9.75</c:v>
                </c:pt>
                <c:pt idx="97">
                  <c:v>9.75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9.5</c:v>
                </c:pt>
                <c:pt idx="104">
                  <c:v>9.5</c:v>
                </c:pt>
                <c:pt idx="105">
                  <c:v>9</c:v>
                </c:pt>
                <c:pt idx="106">
                  <c:v>7</c:v>
                </c:pt>
                <c:pt idx="107">
                  <c:v>7</c:v>
                </c:pt>
                <c:pt idx="108">
                  <c:v>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</c:v>
                </c:pt>
                <c:pt idx="113">
                  <c:v>4</c:v>
                </c:pt>
                <c:pt idx="114">
                  <c:v>3.5</c:v>
                </c:pt>
                <c:pt idx="115">
                  <c:v>3.5</c:v>
                </c:pt>
                <c:pt idx="116">
                  <c:v>3.5</c:v>
                </c:pt>
                <c:pt idx="117">
                  <c:v>3.5</c:v>
                </c:pt>
                <c:pt idx="118">
                  <c:v>3.5</c:v>
                </c:pt>
                <c:pt idx="119">
                  <c:v>3.5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3.25</c:v>
                </c:pt>
                <c:pt idx="130">
                  <c:v>3.5</c:v>
                </c:pt>
                <c:pt idx="131">
                  <c:v>3.5</c:v>
                </c:pt>
                <c:pt idx="132">
                  <c:v>4</c:v>
                </c:pt>
                <c:pt idx="133">
                  <c:v>4.25</c:v>
                </c:pt>
                <c:pt idx="134">
                  <c:v>4.5</c:v>
                </c:pt>
                <c:pt idx="135">
                  <c:v>4.5</c:v>
                </c:pt>
                <c:pt idx="136">
                  <c:v>4.5</c:v>
                </c:pt>
                <c:pt idx="137">
                  <c:v>4.5</c:v>
                </c:pt>
                <c:pt idx="138">
                  <c:v>4.75</c:v>
                </c:pt>
                <c:pt idx="139">
                  <c:v>4.75</c:v>
                </c:pt>
                <c:pt idx="140">
                  <c:v>5</c:v>
                </c:pt>
                <c:pt idx="141">
                  <c:v>5.25</c:v>
                </c:pt>
                <c:pt idx="142">
                  <c:v>5.25</c:v>
                </c:pt>
                <c:pt idx="143">
                  <c:v>5.25</c:v>
                </c:pt>
                <c:pt idx="144">
                  <c:v>5.25</c:v>
                </c:pt>
                <c:pt idx="145">
                  <c:v>5.25</c:v>
                </c:pt>
                <c:pt idx="146">
                  <c:v>5</c:v>
                </c:pt>
                <c:pt idx="147">
                  <c:v>4.75</c:v>
                </c:pt>
                <c:pt idx="148">
                  <c:v>4.75</c:v>
                </c:pt>
                <c:pt idx="149">
                  <c:v>4.75</c:v>
                </c:pt>
                <c:pt idx="150">
                  <c:v>4.5</c:v>
                </c:pt>
                <c:pt idx="151">
                  <c:v>4.25</c:v>
                </c:pt>
                <c:pt idx="152">
                  <c:v>4</c:v>
                </c:pt>
                <c:pt idx="153">
                  <c:v>3.75</c:v>
                </c:pt>
                <c:pt idx="154">
                  <c:v>3.25</c:v>
                </c:pt>
                <c:pt idx="155">
                  <c:v>3.25</c:v>
                </c:pt>
                <c:pt idx="156">
                  <c:v>3.25</c:v>
                </c:pt>
                <c:pt idx="157">
                  <c:v>3.25</c:v>
                </c:pt>
                <c:pt idx="158">
                  <c:v>3.25</c:v>
                </c:pt>
                <c:pt idx="159">
                  <c:v>3.25</c:v>
                </c:pt>
                <c:pt idx="160">
                  <c:v>3.25</c:v>
                </c:pt>
                <c:pt idx="161">
                  <c:v>3.25</c:v>
                </c:pt>
                <c:pt idx="162">
                  <c:v>3.25</c:v>
                </c:pt>
                <c:pt idx="163">
                  <c:v>3.25</c:v>
                </c:pt>
                <c:pt idx="164">
                  <c:v>3.25</c:v>
                </c:pt>
                <c:pt idx="165">
                  <c:v>3.25</c:v>
                </c:pt>
                <c:pt idx="166">
                  <c:v>3.25</c:v>
                </c:pt>
                <c:pt idx="167">
                  <c:v>3.5</c:v>
                </c:pt>
                <c:pt idx="168">
                  <c:v>3.5</c:v>
                </c:pt>
                <c:pt idx="169">
                  <c:v>4</c:v>
                </c:pt>
                <c:pt idx="170">
                  <c:v>4.25</c:v>
                </c:pt>
                <c:pt idx="171">
                  <c:v>4.5</c:v>
                </c:pt>
                <c:pt idx="172">
                  <c:v>4.5</c:v>
                </c:pt>
                <c:pt idx="173">
                  <c:v>4.5</c:v>
                </c:pt>
                <c:pt idx="174">
                  <c:v>4.5</c:v>
                </c:pt>
                <c:pt idx="175">
                  <c:v>4.5</c:v>
                </c:pt>
                <c:pt idx="176">
                  <c:v>4.5</c:v>
                </c:pt>
                <c:pt idx="177">
                  <c:v>4.5</c:v>
                </c:pt>
                <c:pt idx="178">
                  <c:v>4.5</c:v>
                </c:pt>
                <c:pt idx="179">
                  <c:v>4.5</c:v>
                </c:pt>
                <c:pt idx="180">
                  <c:v>4.5</c:v>
                </c:pt>
                <c:pt idx="181">
                  <c:v>4.5</c:v>
                </c:pt>
                <c:pt idx="182">
                  <c:v>4.5</c:v>
                </c:pt>
                <c:pt idx="183">
                  <c:v>4.5</c:v>
                </c:pt>
                <c:pt idx="184">
                  <c:v>4.75</c:v>
                </c:pt>
                <c:pt idx="185">
                  <c:v>4.75</c:v>
                </c:pt>
                <c:pt idx="186">
                  <c:v>5.5</c:v>
                </c:pt>
                <c:pt idx="187">
                  <c:v>5.75</c:v>
                </c:pt>
                <c:pt idx="188">
                  <c:v>6</c:v>
                </c:pt>
                <c:pt idx="189">
                  <c:v>6.25</c:v>
                </c:pt>
                <c:pt idx="190">
                  <c:v>6.5</c:v>
                </c:pt>
                <c:pt idx="191">
                  <c:v>6.5</c:v>
                </c:pt>
                <c:pt idx="192">
                  <c:v>7.25</c:v>
                </c:pt>
                <c:pt idx="193">
                  <c:v>7.5</c:v>
                </c:pt>
                <c:pt idx="194">
                  <c:v>7.75</c:v>
                </c:pt>
                <c:pt idx="195">
                  <c:v>7.75</c:v>
                </c:pt>
                <c:pt idx="196">
                  <c:v>7.75</c:v>
                </c:pt>
                <c:pt idx="197">
                  <c:v>7.75</c:v>
                </c:pt>
                <c:pt idx="198">
                  <c:v>7.75</c:v>
                </c:pt>
                <c:pt idx="199">
                  <c:v>7.5</c:v>
                </c:pt>
                <c:pt idx="200">
                  <c:v>7.5</c:v>
                </c:pt>
                <c:pt idx="201">
                  <c:v>7.25</c:v>
                </c:pt>
                <c:pt idx="202">
                  <c:v>7</c:v>
                </c:pt>
                <c:pt idx="203">
                  <c:v>7</c:v>
                </c:pt>
                <c:pt idx="204">
                  <c:v>6.25</c:v>
                </c:pt>
                <c:pt idx="205">
                  <c:v>6.25</c:v>
                </c:pt>
                <c:pt idx="206">
                  <c:v>5.5</c:v>
                </c:pt>
                <c:pt idx="207">
                  <c:v>5.25</c:v>
                </c:pt>
                <c:pt idx="208">
                  <c:v>5.25</c:v>
                </c:pt>
                <c:pt idx="209">
                  <c:v>5</c:v>
                </c:pt>
                <c:pt idx="210">
                  <c:v>4.75</c:v>
                </c:pt>
                <c:pt idx="211">
                  <c:v>4.75</c:v>
                </c:pt>
                <c:pt idx="212">
                  <c:v>4.5</c:v>
                </c:pt>
                <c:pt idx="213">
                  <c:v>4.5</c:v>
                </c:pt>
                <c:pt idx="214">
                  <c:v>4.5</c:v>
                </c:pt>
                <c:pt idx="215">
                  <c:v>4.25</c:v>
                </c:pt>
                <c:pt idx="216">
                  <c:v>4.25</c:v>
                </c:pt>
                <c:pt idx="217">
                  <c:v>4.25</c:v>
                </c:pt>
                <c:pt idx="218">
                  <c:v>4.25</c:v>
                </c:pt>
                <c:pt idx="219">
                  <c:v>4.25</c:v>
                </c:pt>
                <c:pt idx="220">
                  <c:v>4.25</c:v>
                </c:pt>
                <c:pt idx="221">
                  <c:v>4.25</c:v>
                </c:pt>
                <c:pt idx="222">
                  <c:v>4.25</c:v>
                </c:pt>
                <c:pt idx="223">
                  <c:v>4.25</c:v>
                </c:pt>
                <c:pt idx="224">
                  <c:v>4.25</c:v>
                </c:pt>
                <c:pt idx="225">
                  <c:v>4.25</c:v>
                </c:pt>
                <c:pt idx="226">
                  <c:v>4.25</c:v>
                </c:pt>
                <c:pt idx="227">
                  <c:v>4.25</c:v>
                </c:pt>
                <c:pt idx="228">
                  <c:v>4.25</c:v>
                </c:pt>
                <c:pt idx="229">
                  <c:v>4.25</c:v>
                </c:pt>
                <c:pt idx="230">
                  <c:v>4.25</c:v>
                </c:pt>
                <c:pt idx="231">
                  <c:v>4.25</c:v>
                </c:pt>
                <c:pt idx="232">
                  <c:v>4.25</c:v>
                </c:pt>
                <c:pt idx="233">
                  <c:v>4.25</c:v>
                </c:pt>
                <c:pt idx="234">
                  <c:v>4.25</c:v>
                </c:pt>
                <c:pt idx="235">
                  <c:v>4.25</c:v>
                </c:pt>
                <c:pt idx="236">
                  <c:v>4.25</c:v>
                </c:pt>
                <c:pt idx="237">
                  <c:v>4.25</c:v>
                </c:pt>
                <c:pt idx="238">
                  <c:v>3.75</c:v>
                </c:pt>
                <c:pt idx="239">
                  <c:v>3.75</c:v>
                </c:pt>
                <c:pt idx="240">
                  <c:v>2.75</c:v>
                </c:pt>
                <c:pt idx="241">
                  <c:v>2.5</c:v>
                </c:pt>
                <c:pt idx="242">
                  <c:v>2.5</c:v>
                </c:pt>
                <c:pt idx="243">
                  <c:v>2</c:v>
                </c:pt>
                <c:pt idx="244">
                  <c:v>1.75</c:v>
                </c:pt>
                <c:pt idx="245">
                  <c:v>1.75</c:v>
                </c:pt>
                <c:pt idx="246">
                  <c:v>1.75</c:v>
                </c:pt>
                <c:pt idx="247">
                  <c:v>1.75</c:v>
                </c:pt>
                <c:pt idx="248">
                  <c:v>1.75</c:v>
                </c:pt>
                <c:pt idx="249">
                  <c:v>1.75</c:v>
                </c:pt>
                <c:pt idx="250">
                  <c:v>1.75</c:v>
                </c:pt>
                <c:pt idx="251">
                  <c:v>1.75</c:v>
                </c:pt>
                <c:pt idx="252">
                  <c:v>1.75</c:v>
                </c:pt>
                <c:pt idx="253">
                  <c:v>1.75</c:v>
                </c:pt>
                <c:pt idx="254">
                  <c:v>1.75</c:v>
                </c:pt>
                <c:pt idx="255">
                  <c:v>1.75</c:v>
                </c:pt>
                <c:pt idx="256">
                  <c:v>2</c:v>
                </c:pt>
                <c:pt idx="257">
                  <c:v>2</c:v>
                </c:pt>
                <c:pt idx="258">
                  <c:v>2.5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7.5</c:v>
                </c:pt>
                <c:pt idx="266">
                  <c:v>9</c:v>
                </c:pt>
                <c:pt idx="267">
                  <c:v>9</c:v>
                </c:pt>
                <c:pt idx="268">
                  <c:v>10</c:v>
                </c:pt>
                <c:pt idx="269">
                  <c:v>11</c:v>
                </c:pt>
                <c:pt idx="270">
                  <c:v>11</c:v>
                </c:pt>
                <c:pt idx="271">
                  <c:v>12</c:v>
                </c:pt>
                <c:pt idx="272">
                  <c:v>12.75</c:v>
                </c:pt>
                <c:pt idx="273">
                  <c:v>12.75</c:v>
                </c:pt>
                <c:pt idx="274">
                  <c:v>13</c:v>
                </c:pt>
                <c:pt idx="275">
                  <c:v>13</c:v>
                </c:pt>
                <c:pt idx="276">
                  <c:v>13.25</c:v>
                </c:pt>
                <c:pt idx="277">
                  <c:v>13.25</c:v>
                </c:pt>
                <c:pt idx="278">
                  <c:v>13.25</c:v>
                </c:pt>
                <c:pt idx="279">
                  <c:v>13.25</c:v>
                </c:pt>
                <c:pt idx="280">
                  <c:v>13.25</c:v>
                </c:pt>
                <c:pt idx="281">
                  <c:v>13.25</c:v>
                </c:pt>
                <c:pt idx="282">
                  <c:v>13.25</c:v>
                </c:pt>
                <c:pt idx="283" formatCode="0.00">
                  <c:v>13</c:v>
                </c:pt>
                <c:pt idx="284" formatCode="0.000">
                  <c:v>12.75</c:v>
                </c:pt>
                <c:pt idx="285" formatCode="0.000">
                  <c:v>12.75</c:v>
                </c:pt>
                <c:pt idx="286" formatCode="0.000">
                  <c:v>12.25</c:v>
                </c:pt>
                <c:pt idx="287" formatCode="0.00">
                  <c:v>12.25</c:v>
                </c:pt>
                <c:pt idx="288" formatCode="0.00">
                  <c:v>11.75</c:v>
                </c:pt>
                <c:pt idx="289" formatCode="0.00">
                  <c:v>11.25</c:v>
                </c:pt>
                <c:pt idx="290" formatCode="0.00">
                  <c:v>10.75</c:v>
                </c:pt>
                <c:pt idx="291" formatCode="0.00">
                  <c:v>10.25</c:v>
                </c:pt>
                <c:pt idx="292" formatCode="0.00">
                  <c:v>9.75</c:v>
                </c:pt>
                <c:pt idx="293" formatCode="0.00">
                  <c:v>9.75</c:v>
                </c:pt>
                <c:pt idx="294" formatCode="0.00">
                  <c:v>9.5</c:v>
                </c:pt>
                <c:pt idx="295" formatCode="0.00">
                  <c:v>9.5</c:v>
                </c:pt>
                <c:pt idx="296" formatCode="0.00">
                  <c:v>9.5</c:v>
                </c:pt>
                <c:pt idx="297" formatCode="0.00">
                  <c:v>9.5</c:v>
                </c:pt>
                <c:pt idx="298" formatCode="0.00">
                  <c:v>9.5</c:v>
                </c:pt>
                <c:pt idx="299" formatCode="0.00">
                  <c:v>9.25</c:v>
                </c:pt>
                <c:pt idx="300" formatCode="0.00">
                  <c:v>9.25</c:v>
                </c:pt>
                <c:pt idx="301" formatCode="0.00">
                  <c:v>9.25</c:v>
                </c:pt>
                <c:pt idx="302" formatCode="0.00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C-430C-B907-6F733568F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438528"/>
        <c:axId val="1376439008"/>
      </c:lineChart>
      <c:dateAx>
        <c:axId val="1376438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6439008"/>
        <c:crosses val="autoZero"/>
        <c:auto val="1"/>
        <c:lblOffset val="100"/>
        <c:baseTimeUnit val="months"/>
      </c:dateAx>
      <c:valAx>
        <c:axId val="137643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643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14C4AE-D21E-4298-9762-CFB6CE6F32E9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EC4C6F-E66B-4908-A980-1BC0A6E7662F}">
  <sheetPr/>
  <sheetViews>
    <sheetView zoomScale="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852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F75562-D8F4-5CA4-1F4D-482C42058F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6231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94B83D-0953-C2AE-CC1D-A921F2938C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</xdr:colOff>
      <xdr:row>24</xdr:row>
      <xdr:rowOff>17779</xdr:rowOff>
    </xdr:from>
    <xdr:to>
      <xdr:col>18</xdr:col>
      <xdr:colOff>638176</xdr:colOff>
      <xdr:row>43</xdr:row>
      <xdr:rowOff>123824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BBF67FF-D29B-4E5F-B852-BA2745A36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98.54\Financiera\10.8.45.20\VP%20Asset%20Management\Gerencia%20de%20Estrategia\RV%20Local\Strategic%20Asset%20Allocation%20Diciembr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98.54\Financiera\personal\avillalo_bancolombia_com_co\Documents\Clases\RV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rencia%20de%20Estrategia\RV%20Local\Multiplos\Copia%20de%20Multiplos_RVL_BD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Bloomberg"/>
      <sheetName val="Canasta"/>
      <sheetName val="SAA"/>
      <sheetName val="Precio Objetivo"/>
      <sheetName val="Dividendos"/>
      <sheetName val="Retornos"/>
      <sheetName val="Retornos Bloomberg"/>
      <sheetName val="Descuento"/>
      <sheetName val="Retorno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initiv_precios"/>
      <sheetName val="Canasta COLCAP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"/>
      <sheetName val="PB"/>
      <sheetName val="PE"/>
      <sheetName val="Gráfica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7BE7-A8CB-4D48-8109-BC936C1E6EB5}">
  <dimension ref="A1:S308"/>
  <sheetViews>
    <sheetView topLeftCell="A296" zoomScale="152" workbookViewId="0">
      <selection activeCell="C1" sqref="C1:E308"/>
    </sheetView>
  </sheetViews>
  <sheetFormatPr baseColWidth="10" defaultRowHeight="15" x14ac:dyDescent="0.25"/>
  <cols>
    <col min="2" max="2" width="10.7109375" style="1"/>
    <col min="4" max="5" width="17.28515625" customWidth="1"/>
    <col min="8" max="8" width="7.7109375" customWidth="1"/>
    <col min="10" max="10" width="15.7109375" customWidth="1"/>
    <col min="11" max="11" width="14.5703125" bestFit="1" customWidth="1"/>
    <col min="12" max="12" width="15.42578125" customWidth="1"/>
    <col min="13" max="13" width="20.5703125" customWidth="1"/>
    <col min="14" max="14" width="15.7109375" customWidth="1"/>
    <col min="15" max="15" width="15.5703125" customWidth="1"/>
    <col min="16" max="16" width="12.7109375" bestFit="1" customWidth="1"/>
    <col min="18" max="18" width="13.42578125" customWidth="1"/>
  </cols>
  <sheetData>
    <row r="1" spans="1:19" x14ac:dyDescent="0.25">
      <c r="A1" t="s">
        <v>2</v>
      </c>
      <c r="C1" t="s">
        <v>1</v>
      </c>
      <c r="D1" t="s">
        <v>18</v>
      </c>
      <c r="E1" t="s">
        <v>3</v>
      </c>
      <c r="F1" t="s">
        <v>4</v>
      </c>
      <c r="H1" s="16" t="s">
        <v>4</v>
      </c>
      <c r="I1" s="16" t="s">
        <v>19</v>
      </c>
      <c r="J1" s="16" t="s">
        <v>0</v>
      </c>
      <c r="K1" s="16" t="s">
        <v>3</v>
      </c>
      <c r="L1" s="16" t="s">
        <v>16</v>
      </c>
      <c r="M1" s="14" t="s">
        <v>22</v>
      </c>
      <c r="N1" s="7" t="s">
        <v>17</v>
      </c>
    </row>
    <row r="2" spans="1:19" x14ac:dyDescent="0.25">
      <c r="A2">
        <v>2000</v>
      </c>
      <c r="B2" s="3">
        <v>6</v>
      </c>
      <c r="C2" s="2">
        <v>36678</v>
      </c>
      <c r="D2" s="4">
        <v>9.68</v>
      </c>
      <c r="E2" s="5">
        <v>12</v>
      </c>
      <c r="F2" t="s">
        <v>5</v>
      </c>
      <c r="H2" s="17" t="s">
        <v>5</v>
      </c>
      <c r="I2" s="17">
        <f>+COUNTIF(F:F,H2)</f>
        <v>21</v>
      </c>
      <c r="J2" s="18">
        <f>+AVERAGEIF($F$1:$F$293,H2,$D$1:$D$293)</f>
        <v>8.2652380952380948</v>
      </c>
      <c r="K2" s="18">
        <f>+AVERAGEIF($F$1:$F$293,H2,$E$1:$E$293)</f>
        <v>11</v>
      </c>
      <c r="L2" s="19">
        <f>+K2-J2</f>
        <v>2.7347619047619052</v>
      </c>
      <c r="M2" s="15">
        <f>+J2+2</f>
        <v>10.265238095238095</v>
      </c>
    </row>
    <row r="3" spans="1:19" x14ac:dyDescent="0.25">
      <c r="A3">
        <v>2000</v>
      </c>
      <c r="B3" s="1">
        <v>7</v>
      </c>
      <c r="C3" s="2">
        <v>36708</v>
      </c>
      <c r="D3" s="4">
        <v>9.2899999999999991</v>
      </c>
      <c r="E3" s="5">
        <v>12</v>
      </c>
      <c r="F3" t="s">
        <v>5</v>
      </c>
      <c r="H3" s="17" t="s">
        <v>6</v>
      </c>
      <c r="I3" s="17">
        <f t="shared" ref="I3:I11" si="0">+COUNTIF(F:F,H3)</f>
        <v>14</v>
      </c>
      <c r="J3" s="18">
        <f>+AVERAGEIF($F$1:$F$293,H3,$D$1:$D$293)</f>
        <v>6.5892857142857126</v>
      </c>
      <c r="K3" s="20">
        <f>+AVERAGEIF($F$1:$F$293,H3,$E$1:$E$293)</f>
        <v>5.9107142857142856</v>
      </c>
      <c r="L3" s="19">
        <f t="shared" ref="L3:L12" si="1">+K3-J3</f>
        <v>-0.67857142857142705</v>
      </c>
      <c r="M3" s="15">
        <f t="shared" ref="M3:M12" si="2">+J3+2</f>
        <v>8.5892857142857117</v>
      </c>
    </row>
    <row r="4" spans="1:19" x14ac:dyDescent="0.25">
      <c r="A4">
        <v>2000</v>
      </c>
      <c r="B4" s="1">
        <v>8</v>
      </c>
      <c r="C4" s="2">
        <v>36739</v>
      </c>
      <c r="D4" s="4">
        <v>9.1</v>
      </c>
      <c r="E4" s="5">
        <v>12</v>
      </c>
      <c r="F4" t="s">
        <v>5</v>
      </c>
      <c r="H4" s="17" t="s">
        <v>7</v>
      </c>
      <c r="I4" s="17">
        <f t="shared" si="0"/>
        <v>39</v>
      </c>
      <c r="J4" s="18">
        <f t="shared" ref="J4:J11" si="3">+AVERAGEIF($F$1:$F$293,H4,$D$1:$D$293)</f>
        <v>5.5469230769230773</v>
      </c>
      <c r="K4" s="18">
        <f t="shared" ref="K4:K11" si="4">+AVERAGEIF($F$1:$F$293,H4,$E$1:$E$293)</f>
        <v>6.6538461538461542</v>
      </c>
      <c r="L4" s="19">
        <f t="shared" si="1"/>
        <v>1.1069230769230769</v>
      </c>
      <c r="M4" s="15">
        <f t="shared" si="2"/>
        <v>7.5469230769230773</v>
      </c>
    </row>
    <row r="5" spans="1:19" x14ac:dyDescent="0.25">
      <c r="A5">
        <v>2000</v>
      </c>
      <c r="B5" s="1">
        <v>9</v>
      </c>
      <c r="C5" s="2">
        <v>36770</v>
      </c>
      <c r="D5" s="4">
        <v>9.1999999999999993</v>
      </c>
      <c r="E5" s="5">
        <v>12</v>
      </c>
      <c r="F5" t="s">
        <v>5</v>
      </c>
      <c r="H5" s="17" t="s">
        <v>8</v>
      </c>
      <c r="I5" s="17">
        <f t="shared" si="0"/>
        <v>29</v>
      </c>
      <c r="J5" s="18">
        <f t="shared" si="3"/>
        <v>5.9544827586206885</v>
      </c>
      <c r="K5" s="18">
        <f t="shared" si="4"/>
        <v>8.8362068965517242</v>
      </c>
      <c r="L5" s="19">
        <f t="shared" si="1"/>
        <v>2.8817241379310357</v>
      </c>
      <c r="M5" s="15">
        <f t="shared" si="2"/>
        <v>7.9544827586206885</v>
      </c>
    </row>
    <row r="6" spans="1:19" x14ac:dyDescent="0.25">
      <c r="A6">
        <v>2000</v>
      </c>
      <c r="B6" s="1">
        <v>10</v>
      </c>
      <c r="C6" s="2">
        <v>36800</v>
      </c>
      <c r="D6" s="4">
        <v>8.99</v>
      </c>
      <c r="E6" s="5">
        <v>12</v>
      </c>
      <c r="F6" t="s">
        <v>5</v>
      </c>
      <c r="H6" s="17" t="s">
        <v>9</v>
      </c>
      <c r="I6" s="17">
        <f t="shared" si="0"/>
        <v>16</v>
      </c>
      <c r="J6" s="18">
        <f t="shared" si="3"/>
        <v>3.67625</v>
      </c>
      <c r="K6" s="18">
        <f t="shared" si="4"/>
        <v>5.375</v>
      </c>
      <c r="L6" s="19">
        <f t="shared" si="1"/>
        <v>1.69875</v>
      </c>
      <c r="M6" s="15">
        <f t="shared" si="2"/>
        <v>5.6762499999999996</v>
      </c>
      <c r="P6" s="52"/>
      <c r="Q6" s="52"/>
      <c r="R6" s="52"/>
      <c r="S6" s="52"/>
    </row>
    <row r="7" spans="1:19" x14ac:dyDescent="0.25">
      <c r="A7">
        <v>2000</v>
      </c>
      <c r="B7" s="1">
        <v>11</v>
      </c>
      <c r="C7" s="2">
        <v>36831</v>
      </c>
      <c r="D7" s="4">
        <v>8.82</v>
      </c>
      <c r="E7" s="5">
        <v>12</v>
      </c>
      <c r="F7" t="s">
        <v>5</v>
      </c>
      <c r="H7" s="17" t="s">
        <v>10</v>
      </c>
      <c r="I7" s="17">
        <f t="shared" si="0"/>
        <v>18</v>
      </c>
      <c r="J7" s="18">
        <f t="shared" si="3"/>
        <v>2.9183333333333334</v>
      </c>
      <c r="K7" s="18">
        <f t="shared" si="4"/>
        <v>3.4722222222222223</v>
      </c>
      <c r="L7" s="19">
        <f t="shared" si="1"/>
        <v>0.55388888888888888</v>
      </c>
      <c r="M7" s="15">
        <f t="shared" si="2"/>
        <v>4.918333333333333</v>
      </c>
      <c r="P7" s="52"/>
      <c r="Q7" s="52"/>
      <c r="R7" s="52"/>
      <c r="S7" s="52"/>
    </row>
    <row r="8" spans="1:19" x14ac:dyDescent="0.25">
      <c r="A8">
        <v>2000</v>
      </c>
      <c r="B8" s="1">
        <v>12</v>
      </c>
      <c r="C8" s="2">
        <v>36861</v>
      </c>
      <c r="D8" s="4">
        <v>8.75</v>
      </c>
      <c r="E8" s="5">
        <v>12</v>
      </c>
      <c r="F8" t="s">
        <v>5</v>
      </c>
      <c r="H8" s="17" t="s">
        <v>11</v>
      </c>
      <c r="I8" s="17">
        <f t="shared" si="0"/>
        <v>26</v>
      </c>
      <c r="J8" s="18">
        <f t="shared" si="3"/>
        <v>2.6907692307692312</v>
      </c>
      <c r="K8" s="18">
        <f t="shared" si="4"/>
        <v>4.240384615384615</v>
      </c>
      <c r="L8" s="19">
        <f t="shared" si="1"/>
        <v>1.5496153846153837</v>
      </c>
      <c r="M8" s="15">
        <f t="shared" si="2"/>
        <v>4.6907692307692308</v>
      </c>
      <c r="P8" s="52"/>
      <c r="Q8" s="52"/>
      <c r="R8" s="52"/>
      <c r="S8" s="52"/>
    </row>
    <row r="9" spans="1:19" x14ac:dyDescent="0.25">
      <c r="A9">
        <v>2001</v>
      </c>
      <c r="B9" s="1">
        <v>1</v>
      </c>
      <c r="C9" s="2">
        <v>36892</v>
      </c>
      <c r="D9" s="4">
        <v>8.49</v>
      </c>
      <c r="E9" s="5">
        <v>12</v>
      </c>
      <c r="F9" t="s">
        <v>5</v>
      </c>
      <c r="H9" s="17" t="s">
        <v>12</v>
      </c>
      <c r="I9" s="17">
        <f t="shared" si="0"/>
        <v>31</v>
      </c>
      <c r="J9" s="18">
        <f t="shared" si="3"/>
        <v>4.8806451612903219</v>
      </c>
      <c r="K9" s="20">
        <f t="shared" si="4"/>
        <v>4.758064516129032</v>
      </c>
      <c r="L9" s="19">
        <f t="shared" si="1"/>
        <v>-0.12258064516128986</v>
      </c>
      <c r="M9" s="15">
        <f t="shared" si="2"/>
        <v>6.8806451612903219</v>
      </c>
    </row>
    <row r="10" spans="1:19" x14ac:dyDescent="0.25">
      <c r="A10">
        <v>2001</v>
      </c>
      <c r="B10" s="1">
        <v>2</v>
      </c>
      <c r="C10" s="2">
        <v>36923</v>
      </c>
      <c r="D10" s="4">
        <v>8.06</v>
      </c>
      <c r="E10" s="5">
        <v>12</v>
      </c>
      <c r="F10" t="s">
        <v>5</v>
      </c>
      <c r="H10" s="17" t="s">
        <v>13</v>
      </c>
      <c r="I10" s="17">
        <f t="shared" si="0"/>
        <v>57</v>
      </c>
      <c r="J10" s="18">
        <f t="shared" si="3"/>
        <v>3.5717543859649132</v>
      </c>
      <c r="K10" s="18">
        <f t="shared" si="4"/>
        <v>4.5394736842105265</v>
      </c>
      <c r="L10" s="19">
        <f t="shared" si="1"/>
        <v>0.96771929824561331</v>
      </c>
      <c r="M10" s="15">
        <f t="shared" si="2"/>
        <v>5.5717543859649137</v>
      </c>
    </row>
    <row r="11" spans="1:19" x14ac:dyDescent="0.25">
      <c r="A11">
        <v>2001</v>
      </c>
      <c r="B11" s="1">
        <v>3</v>
      </c>
      <c r="C11" s="2">
        <v>36951</v>
      </c>
      <c r="D11" s="4">
        <v>7.81</v>
      </c>
      <c r="E11" s="5">
        <v>12</v>
      </c>
      <c r="F11" t="s">
        <v>5</v>
      </c>
      <c r="H11" s="17" t="s">
        <v>14</v>
      </c>
      <c r="I11" s="17">
        <f t="shared" si="0"/>
        <v>23</v>
      </c>
      <c r="J11" s="18">
        <f t="shared" si="3"/>
        <v>8.5647826086956531</v>
      </c>
      <c r="K11" s="20">
        <f t="shared" si="4"/>
        <v>5.9673913043478262</v>
      </c>
      <c r="L11" s="19">
        <f t="shared" si="1"/>
        <v>-2.5973913043478269</v>
      </c>
      <c r="M11" s="15">
        <f t="shared" si="2"/>
        <v>10.564782608695653</v>
      </c>
    </row>
    <row r="12" spans="1:19" x14ac:dyDescent="0.25">
      <c r="A12">
        <v>2001</v>
      </c>
      <c r="B12" s="1">
        <v>4</v>
      </c>
      <c r="C12" s="2">
        <v>36982</v>
      </c>
      <c r="D12" s="4">
        <v>7.98</v>
      </c>
      <c r="E12" s="5">
        <v>11.5</v>
      </c>
      <c r="F12" t="s">
        <v>5</v>
      </c>
      <c r="H12" s="17" t="s">
        <v>15</v>
      </c>
      <c r="I12" s="17">
        <f>+COUNTIF(F:F,H12)</f>
        <v>29</v>
      </c>
      <c r="J12" s="18">
        <f>+AVERAGEIF($F$1:$F$303,H12,$D$1:$D$303)</f>
        <v>7.7317857142857145</v>
      </c>
      <c r="K12" s="18">
        <f>+AVERAGEIF($F$1:$F$294,H12,$E$1:$E$294)</f>
        <v>12.394736842105264</v>
      </c>
      <c r="L12" s="19">
        <f t="shared" si="1"/>
        <v>4.6629511278195492</v>
      </c>
      <c r="M12" s="15">
        <f t="shared" si="2"/>
        <v>9.7317857142857136</v>
      </c>
      <c r="N12" s="6"/>
      <c r="O12" s="6"/>
    </row>
    <row r="13" spans="1:19" x14ac:dyDescent="0.25">
      <c r="A13">
        <v>2001</v>
      </c>
      <c r="B13" s="1">
        <v>5</v>
      </c>
      <c r="C13" s="2">
        <v>37012</v>
      </c>
      <c r="D13" s="4">
        <v>7.87</v>
      </c>
      <c r="E13" s="5">
        <v>11.5</v>
      </c>
      <c r="F13" t="s">
        <v>5</v>
      </c>
      <c r="H13" s="2"/>
      <c r="I13" s="8"/>
      <c r="J13" s="47">
        <f>+AVERAGE(J2:J12)/100</f>
        <v>5.4900227344915224E-2</v>
      </c>
      <c r="K13" s="5"/>
      <c r="M13" s="10">
        <f>+AVERAGE(M2:M12)</f>
        <v>7.4900227344915216</v>
      </c>
    </row>
    <row r="14" spans="1:19" x14ac:dyDescent="0.25">
      <c r="A14">
        <v>2001</v>
      </c>
      <c r="B14" s="1">
        <v>6</v>
      </c>
      <c r="C14" s="2">
        <v>37043</v>
      </c>
      <c r="D14" s="4">
        <v>7.93</v>
      </c>
      <c r="E14" s="5">
        <v>11.5</v>
      </c>
      <c r="F14" t="s">
        <v>5</v>
      </c>
      <c r="H14" s="2"/>
      <c r="I14" s="6"/>
    </row>
    <row r="15" spans="1:19" ht="19.899999999999999" customHeight="1" thickBot="1" x14ac:dyDescent="0.3">
      <c r="A15">
        <v>2001</v>
      </c>
      <c r="B15" s="1">
        <v>7</v>
      </c>
      <c r="C15" s="2">
        <v>37073</v>
      </c>
      <c r="D15" s="4">
        <v>8.09</v>
      </c>
      <c r="E15" s="5">
        <v>11.5</v>
      </c>
      <c r="F15" t="s">
        <v>5</v>
      </c>
      <c r="H15" s="2"/>
      <c r="I15" s="2"/>
      <c r="J15" t="s">
        <v>23</v>
      </c>
      <c r="L15" s="4"/>
    </row>
    <row r="16" spans="1:19" ht="28.9" customHeight="1" x14ac:dyDescent="0.25">
      <c r="A16">
        <v>2001</v>
      </c>
      <c r="B16" s="1">
        <v>8</v>
      </c>
      <c r="C16" s="2">
        <v>37104</v>
      </c>
      <c r="D16" s="4">
        <v>8.0299999999999994</v>
      </c>
      <c r="E16" s="5">
        <v>11</v>
      </c>
      <c r="F16" t="s">
        <v>5</v>
      </c>
      <c r="H16" s="2"/>
      <c r="I16" s="2"/>
      <c r="J16" s="21" t="s">
        <v>26</v>
      </c>
      <c r="K16" s="22" t="s">
        <v>27</v>
      </c>
      <c r="L16" s="22" t="s">
        <v>28</v>
      </c>
      <c r="M16" s="22" t="s">
        <v>29</v>
      </c>
      <c r="N16" s="23" t="s">
        <v>25</v>
      </c>
      <c r="P16" s="7"/>
    </row>
    <row r="17" spans="1:19" ht="15.75" thickBot="1" x14ac:dyDescent="0.3">
      <c r="A17">
        <v>2001</v>
      </c>
      <c r="B17" s="1">
        <v>9</v>
      </c>
      <c r="C17" s="2">
        <v>37135</v>
      </c>
      <c r="D17" s="4">
        <v>7.97</v>
      </c>
      <c r="E17" s="5">
        <v>10</v>
      </c>
      <c r="F17" t="s">
        <v>5</v>
      </c>
      <c r="J17" s="24">
        <f>+J13</f>
        <v>5.4900227344915224E-2</v>
      </c>
      <c r="K17" s="25">
        <v>0.02</v>
      </c>
      <c r="L17" s="26">
        <f>9.41%-9.18%</f>
        <v>2.3000000000000104E-3</v>
      </c>
      <c r="M17" s="25">
        <v>0.02</v>
      </c>
      <c r="N17" s="27">
        <f>+J17+K17+L17+M17</f>
        <v>9.7200227344915235E-2</v>
      </c>
    </row>
    <row r="18" spans="1:19" x14ac:dyDescent="0.25">
      <c r="A18">
        <v>2001</v>
      </c>
      <c r="B18" s="1">
        <v>10</v>
      </c>
      <c r="C18" s="2">
        <v>37165</v>
      </c>
      <c r="D18" s="4">
        <v>8.01</v>
      </c>
      <c r="E18" s="5">
        <v>9.5</v>
      </c>
      <c r="F18" t="s">
        <v>5</v>
      </c>
    </row>
    <row r="19" spans="1:19" x14ac:dyDescent="0.25">
      <c r="A19">
        <v>2001</v>
      </c>
      <c r="B19" s="1">
        <v>11</v>
      </c>
      <c r="C19" s="2">
        <v>37196</v>
      </c>
      <c r="D19" s="4">
        <v>7.78</v>
      </c>
      <c r="E19" s="5">
        <v>9.25</v>
      </c>
      <c r="F19" t="s">
        <v>5</v>
      </c>
    </row>
    <row r="20" spans="1:19" ht="15.75" thickBot="1" x14ac:dyDescent="0.3">
      <c r="A20">
        <v>2001</v>
      </c>
      <c r="B20" s="1">
        <v>12</v>
      </c>
      <c r="C20" s="2">
        <v>37226</v>
      </c>
      <c r="D20" s="4">
        <v>7.65</v>
      </c>
      <c r="E20" s="5">
        <v>8.75</v>
      </c>
      <c r="F20" t="s">
        <v>5</v>
      </c>
      <c r="J20" t="s">
        <v>24</v>
      </c>
    </row>
    <row r="21" spans="1:19" ht="23.45" customHeight="1" x14ac:dyDescent="0.25">
      <c r="A21">
        <v>2002</v>
      </c>
      <c r="B21" s="1">
        <v>1</v>
      </c>
      <c r="C21" s="2">
        <v>37257</v>
      </c>
      <c r="D21" s="4">
        <v>7.37</v>
      </c>
      <c r="E21" s="5">
        <v>8.5</v>
      </c>
      <c r="F21" t="s">
        <v>5</v>
      </c>
      <c r="J21" s="21" t="s">
        <v>20</v>
      </c>
      <c r="K21" s="22" t="s">
        <v>30</v>
      </c>
      <c r="L21" s="23" t="s">
        <v>21</v>
      </c>
    </row>
    <row r="22" spans="1:19" ht="15.75" thickBot="1" x14ac:dyDescent="0.3">
      <c r="A22">
        <v>2002</v>
      </c>
      <c r="B22" s="1">
        <v>2</v>
      </c>
      <c r="C22" s="2">
        <v>37288</v>
      </c>
      <c r="D22" s="4">
        <v>6.7</v>
      </c>
      <c r="E22" s="5">
        <v>8</v>
      </c>
      <c r="F22" t="s">
        <v>5</v>
      </c>
      <c r="J22" s="28">
        <v>9.1755555555555564</v>
      </c>
      <c r="K22" s="29">
        <f>+AVERAGE(L2:L12)</f>
        <v>1.1597991310095372</v>
      </c>
      <c r="L22" s="30">
        <f>+J22+K22</f>
        <v>10.335354686565093</v>
      </c>
    </row>
    <row r="23" spans="1:19" x14ac:dyDescent="0.25">
      <c r="A23">
        <v>2002</v>
      </c>
      <c r="B23" s="1">
        <v>3</v>
      </c>
      <c r="C23" s="2">
        <v>37316</v>
      </c>
      <c r="D23" s="4">
        <v>5.89</v>
      </c>
      <c r="E23" s="5">
        <v>8</v>
      </c>
      <c r="F23" t="s">
        <v>6</v>
      </c>
    </row>
    <row r="24" spans="1:19" x14ac:dyDescent="0.25">
      <c r="A24">
        <v>2002</v>
      </c>
      <c r="B24" s="1">
        <v>4</v>
      </c>
      <c r="C24" s="2">
        <v>37347</v>
      </c>
      <c r="D24" s="4">
        <v>5.65</v>
      </c>
      <c r="E24" s="5">
        <v>7.25</v>
      </c>
      <c r="F24" t="s">
        <v>6</v>
      </c>
    </row>
    <row r="25" spans="1:19" x14ac:dyDescent="0.25">
      <c r="A25">
        <v>2002</v>
      </c>
      <c r="B25" s="1">
        <v>5</v>
      </c>
      <c r="C25" s="2">
        <v>37377</v>
      </c>
      <c r="D25" s="4">
        <v>5.84</v>
      </c>
      <c r="E25" s="5">
        <v>6.25</v>
      </c>
      <c r="F25" t="s">
        <v>6</v>
      </c>
    </row>
    <row r="26" spans="1:19" x14ac:dyDescent="0.25">
      <c r="A26">
        <v>2002</v>
      </c>
      <c r="B26" s="1">
        <v>6</v>
      </c>
      <c r="C26" s="2">
        <v>37408</v>
      </c>
      <c r="D26" s="4">
        <v>6.25</v>
      </c>
      <c r="E26" s="5">
        <v>5.75</v>
      </c>
      <c r="F26" t="s">
        <v>6</v>
      </c>
    </row>
    <row r="27" spans="1:19" x14ac:dyDescent="0.25">
      <c r="A27">
        <v>2002</v>
      </c>
      <c r="B27" s="1">
        <v>7</v>
      </c>
      <c r="C27" s="2">
        <v>37438</v>
      </c>
      <c r="D27" s="4">
        <v>6.16</v>
      </c>
      <c r="E27" s="5">
        <v>5.25</v>
      </c>
      <c r="F27" t="s">
        <v>6</v>
      </c>
      <c r="P27" s="8"/>
      <c r="Q27" s="12"/>
      <c r="R27" s="11"/>
      <c r="S27" s="13"/>
    </row>
    <row r="28" spans="1:19" x14ac:dyDescent="0.25">
      <c r="A28">
        <v>2002</v>
      </c>
      <c r="B28" s="1">
        <v>8</v>
      </c>
      <c r="C28" s="2">
        <v>37469</v>
      </c>
      <c r="D28" s="4">
        <v>5.98</v>
      </c>
      <c r="E28" s="5">
        <v>5.25</v>
      </c>
      <c r="F28" t="s">
        <v>6</v>
      </c>
      <c r="P28" s="8"/>
      <c r="Q28" s="12"/>
      <c r="R28" s="11"/>
    </row>
    <row r="29" spans="1:19" x14ac:dyDescent="0.25">
      <c r="A29">
        <v>2002</v>
      </c>
      <c r="B29" s="1">
        <v>9</v>
      </c>
      <c r="C29" s="2">
        <v>37500</v>
      </c>
      <c r="D29" s="4">
        <v>5.97</v>
      </c>
      <c r="E29" s="5">
        <v>5.25</v>
      </c>
      <c r="F29" t="s">
        <v>6</v>
      </c>
      <c r="O29" s="32"/>
      <c r="P29" s="33"/>
      <c r="Q29" s="34"/>
      <c r="R29" s="35"/>
    </row>
    <row r="30" spans="1:19" x14ac:dyDescent="0.25">
      <c r="A30">
        <v>2002</v>
      </c>
      <c r="B30" s="1">
        <v>10</v>
      </c>
      <c r="C30" s="2">
        <v>37530</v>
      </c>
      <c r="D30" s="4">
        <v>6.37</v>
      </c>
      <c r="E30" s="5">
        <v>5.25</v>
      </c>
      <c r="F30" t="s">
        <v>6</v>
      </c>
      <c r="P30" s="8"/>
    </row>
    <row r="31" spans="1:19" x14ac:dyDescent="0.25">
      <c r="A31">
        <v>2002</v>
      </c>
      <c r="B31" s="1">
        <v>11</v>
      </c>
      <c r="C31" s="2">
        <v>37561</v>
      </c>
      <c r="D31" s="4">
        <v>7.07</v>
      </c>
      <c r="E31" s="5">
        <v>5.25</v>
      </c>
      <c r="F31" t="s">
        <v>6</v>
      </c>
      <c r="P31" s="8"/>
    </row>
    <row r="32" spans="1:19" x14ac:dyDescent="0.25">
      <c r="A32">
        <v>2002</v>
      </c>
      <c r="B32" s="1">
        <v>12</v>
      </c>
      <c r="C32" s="2">
        <v>37591</v>
      </c>
      <c r="D32" s="4">
        <v>6.99</v>
      </c>
      <c r="E32" s="5">
        <v>5.25</v>
      </c>
      <c r="F32" t="s">
        <v>6</v>
      </c>
      <c r="P32" s="9"/>
    </row>
    <row r="33" spans="1:16" x14ac:dyDescent="0.25">
      <c r="A33">
        <v>2003</v>
      </c>
      <c r="B33" s="1">
        <v>1</v>
      </c>
      <c r="C33" s="2">
        <v>37622</v>
      </c>
      <c r="D33" s="4">
        <v>7.39</v>
      </c>
      <c r="E33" s="5">
        <v>5.25</v>
      </c>
      <c r="F33" t="s">
        <v>6</v>
      </c>
    </row>
    <row r="34" spans="1:16" x14ac:dyDescent="0.25">
      <c r="A34">
        <v>2003</v>
      </c>
      <c r="B34" s="1">
        <v>2</v>
      </c>
      <c r="C34" s="2">
        <v>37653</v>
      </c>
      <c r="D34" s="4">
        <v>7.24</v>
      </c>
      <c r="E34" s="5">
        <v>6.25</v>
      </c>
      <c r="F34" t="s">
        <v>6</v>
      </c>
      <c r="P34" s="9"/>
    </row>
    <row r="35" spans="1:16" x14ac:dyDescent="0.25">
      <c r="A35">
        <v>2003</v>
      </c>
      <c r="B35" s="1">
        <v>3</v>
      </c>
      <c r="C35" s="2">
        <v>37681</v>
      </c>
      <c r="D35" s="4">
        <v>7.6</v>
      </c>
      <c r="E35" s="5">
        <v>6.25</v>
      </c>
      <c r="F35" t="s">
        <v>6</v>
      </c>
    </row>
    <row r="36" spans="1:16" x14ac:dyDescent="0.25">
      <c r="A36">
        <v>2003</v>
      </c>
      <c r="B36" s="1">
        <v>4</v>
      </c>
      <c r="C36" s="2">
        <v>37712</v>
      </c>
      <c r="D36" s="4">
        <v>7.85</v>
      </c>
      <c r="E36" s="5">
        <v>6.25</v>
      </c>
      <c r="F36" t="s">
        <v>6</v>
      </c>
    </row>
    <row r="37" spans="1:16" x14ac:dyDescent="0.25">
      <c r="A37">
        <v>2003</v>
      </c>
      <c r="B37" s="1">
        <v>5</v>
      </c>
      <c r="C37" s="2">
        <v>37742</v>
      </c>
      <c r="D37" s="4">
        <v>7.73</v>
      </c>
      <c r="E37" s="5">
        <v>7.25</v>
      </c>
      <c r="F37" t="s">
        <v>7</v>
      </c>
    </row>
    <row r="38" spans="1:16" x14ac:dyDescent="0.25">
      <c r="A38">
        <v>2003</v>
      </c>
      <c r="B38" s="1">
        <v>6</v>
      </c>
      <c r="C38" s="2">
        <v>37773</v>
      </c>
      <c r="D38" s="4">
        <v>7.21</v>
      </c>
      <c r="E38" s="5">
        <v>7.25</v>
      </c>
      <c r="F38" t="s">
        <v>7</v>
      </c>
    </row>
    <row r="39" spans="1:16" x14ac:dyDescent="0.25">
      <c r="A39">
        <v>2003</v>
      </c>
      <c r="B39" s="1">
        <v>7</v>
      </c>
      <c r="C39" s="2">
        <v>37803</v>
      </c>
      <c r="D39" s="4">
        <v>7.04</v>
      </c>
      <c r="E39" s="5">
        <v>7.25</v>
      </c>
      <c r="F39" t="s">
        <v>7</v>
      </c>
    </row>
    <row r="40" spans="1:16" x14ac:dyDescent="0.25">
      <c r="A40">
        <v>2003</v>
      </c>
      <c r="B40" s="1">
        <v>8</v>
      </c>
      <c r="C40" s="2">
        <v>37834</v>
      </c>
      <c r="D40" s="4">
        <v>7.26</v>
      </c>
      <c r="E40" s="5">
        <v>7.25</v>
      </c>
      <c r="F40" t="s">
        <v>7</v>
      </c>
    </row>
    <row r="41" spans="1:16" x14ac:dyDescent="0.25">
      <c r="A41">
        <v>2003</v>
      </c>
      <c r="B41" s="1">
        <v>9</v>
      </c>
      <c r="C41" s="2">
        <v>37865</v>
      </c>
      <c r="D41" s="4">
        <v>7.11</v>
      </c>
      <c r="E41" s="5">
        <v>7.25</v>
      </c>
      <c r="F41" t="s">
        <v>7</v>
      </c>
    </row>
    <row r="42" spans="1:16" x14ac:dyDescent="0.25">
      <c r="A42">
        <v>2003</v>
      </c>
      <c r="B42" s="1">
        <v>10</v>
      </c>
      <c r="C42" s="2">
        <v>37895</v>
      </c>
      <c r="D42" s="4">
        <v>6.58</v>
      </c>
      <c r="E42" s="5">
        <v>7.25</v>
      </c>
      <c r="F42" t="s">
        <v>7</v>
      </c>
    </row>
    <row r="43" spans="1:16" x14ac:dyDescent="0.25">
      <c r="A43">
        <v>2003</v>
      </c>
      <c r="B43" s="1">
        <v>11</v>
      </c>
      <c r="C43" s="2">
        <v>37926</v>
      </c>
      <c r="D43" s="4">
        <v>6.13</v>
      </c>
      <c r="E43" s="5">
        <v>7.25</v>
      </c>
      <c r="F43" t="s">
        <v>7</v>
      </c>
    </row>
    <row r="44" spans="1:16" x14ac:dyDescent="0.25">
      <c r="A44">
        <v>2003</v>
      </c>
      <c r="B44" s="1">
        <v>12</v>
      </c>
      <c r="C44" s="2">
        <v>37956</v>
      </c>
      <c r="D44" s="4">
        <v>6.49</v>
      </c>
      <c r="E44" s="5">
        <v>7.25</v>
      </c>
      <c r="F44" t="s">
        <v>7</v>
      </c>
    </row>
    <row r="45" spans="1:16" x14ac:dyDescent="0.25">
      <c r="A45">
        <v>2004</v>
      </c>
      <c r="B45" s="1">
        <v>1</v>
      </c>
      <c r="C45" s="2">
        <v>37987</v>
      </c>
      <c r="D45" s="4">
        <v>6.19</v>
      </c>
      <c r="E45" s="5">
        <v>7.25</v>
      </c>
      <c r="F45" t="s">
        <v>7</v>
      </c>
    </row>
    <row r="46" spans="1:16" x14ac:dyDescent="0.25">
      <c r="A46">
        <v>2004</v>
      </c>
      <c r="B46" s="1">
        <v>2</v>
      </c>
      <c r="C46" s="2">
        <v>38018</v>
      </c>
      <c r="D46" s="4">
        <v>6.28</v>
      </c>
      <c r="E46" s="5">
        <v>7.25</v>
      </c>
      <c r="F46" t="s">
        <v>7</v>
      </c>
    </row>
    <row r="47" spans="1:16" x14ac:dyDescent="0.25">
      <c r="A47">
        <v>2004</v>
      </c>
      <c r="B47" s="1">
        <v>3</v>
      </c>
      <c r="C47" s="2">
        <v>38047</v>
      </c>
      <c r="D47" s="4">
        <v>6.21</v>
      </c>
      <c r="E47" s="5">
        <v>7</v>
      </c>
      <c r="F47" t="s">
        <v>7</v>
      </c>
    </row>
    <row r="48" spans="1:16" x14ac:dyDescent="0.25">
      <c r="A48">
        <v>2004</v>
      </c>
      <c r="B48" s="1">
        <v>4</v>
      </c>
      <c r="C48" s="2">
        <v>38078</v>
      </c>
      <c r="D48" s="4">
        <v>5.49</v>
      </c>
      <c r="E48" s="5">
        <v>6.75</v>
      </c>
      <c r="F48" t="s">
        <v>7</v>
      </c>
    </row>
    <row r="49" spans="1:6" x14ac:dyDescent="0.25">
      <c r="A49">
        <v>2004</v>
      </c>
      <c r="B49" s="1">
        <v>5</v>
      </c>
      <c r="C49" s="2">
        <v>38108</v>
      </c>
      <c r="D49" s="4">
        <v>5.37</v>
      </c>
      <c r="E49" s="5">
        <v>6.75</v>
      </c>
      <c r="F49" t="s">
        <v>7</v>
      </c>
    </row>
    <row r="50" spans="1:6" x14ac:dyDescent="0.25">
      <c r="A50">
        <v>2004</v>
      </c>
      <c r="B50" s="1">
        <v>6</v>
      </c>
      <c r="C50" s="2">
        <v>38139</v>
      </c>
      <c r="D50" s="4">
        <v>6.07</v>
      </c>
      <c r="E50" s="5">
        <v>6.75</v>
      </c>
      <c r="F50" t="s">
        <v>7</v>
      </c>
    </row>
    <row r="51" spans="1:6" x14ac:dyDescent="0.25">
      <c r="A51">
        <v>2004</v>
      </c>
      <c r="B51" s="1">
        <v>7</v>
      </c>
      <c r="C51" s="2">
        <v>38169</v>
      </c>
      <c r="D51" s="4">
        <v>6.19</v>
      </c>
      <c r="E51" s="5">
        <v>6.75</v>
      </c>
      <c r="F51" t="s">
        <v>7</v>
      </c>
    </row>
    <row r="52" spans="1:6" x14ac:dyDescent="0.25">
      <c r="A52">
        <v>2004</v>
      </c>
      <c r="B52" s="1">
        <v>8</v>
      </c>
      <c r="C52" s="2">
        <v>38200</v>
      </c>
      <c r="D52" s="4">
        <v>5.89</v>
      </c>
      <c r="E52" s="5">
        <v>6.75</v>
      </c>
      <c r="F52" t="s">
        <v>7</v>
      </c>
    </row>
    <row r="53" spans="1:6" x14ac:dyDescent="0.25">
      <c r="A53">
        <v>2004</v>
      </c>
      <c r="B53" s="1">
        <v>9</v>
      </c>
      <c r="C53" s="2">
        <v>38231</v>
      </c>
      <c r="D53" s="4">
        <v>5.97</v>
      </c>
      <c r="E53" s="5">
        <v>6.75</v>
      </c>
      <c r="F53" t="s">
        <v>7</v>
      </c>
    </row>
    <row r="54" spans="1:6" x14ac:dyDescent="0.25">
      <c r="A54">
        <v>2004</v>
      </c>
      <c r="B54" s="1">
        <v>10</v>
      </c>
      <c r="C54" s="2">
        <v>38261</v>
      </c>
      <c r="D54" s="4">
        <v>5.9</v>
      </c>
      <c r="E54" s="5">
        <v>6.75</v>
      </c>
      <c r="F54" t="s">
        <v>7</v>
      </c>
    </row>
    <row r="55" spans="1:6" x14ac:dyDescent="0.25">
      <c r="A55">
        <v>2004</v>
      </c>
      <c r="B55" s="1">
        <v>11</v>
      </c>
      <c r="C55" s="2">
        <v>38292</v>
      </c>
      <c r="D55" s="4">
        <v>5.82</v>
      </c>
      <c r="E55" s="5">
        <v>6.75</v>
      </c>
      <c r="F55" t="s">
        <v>7</v>
      </c>
    </row>
    <row r="56" spans="1:6" x14ac:dyDescent="0.25">
      <c r="A56">
        <v>2004</v>
      </c>
      <c r="B56" s="1">
        <v>12</v>
      </c>
      <c r="C56" s="2">
        <v>38322</v>
      </c>
      <c r="D56" s="4">
        <v>5.5</v>
      </c>
      <c r="E56" s="5">
        <v>6.75</v>
      </c>
      <c r="F56" t="s">
        <v>7</v>
      </c>
    </row>
    <row r="57" spans="1:6" x14ac:dyDescent="0.25">
      <c r="A57">
        <v>2005</v>
      </c>
      <c r="B57" s="1">
        <v>1</v>
      </c>
      <c r="C57" s="2">
        <v>38353</v>
      </c>
      <c r="D57" s="4">
        <v>5.43</v>
      </c>
      <c r="E57" s="5">
        <v>6.5</v>
      </c>
      <c r="F57" t="s">
        <v>7</v>
      </c>
    </row>
    <row r="58" spans="1:6" x14ac:dyDescent="0.25">
      <c r="A58">
        <v>2005</v>
      </c>
      <c r="B58" s="1">
        <v>2</v>
      </c>
      <c r="C58" s="2">
        <v>38384</v>
      </c>
      <c r="D58" s="4">
        <v>5.25</v>
      </c>
      <c r="E58" s="5">
        <v>6.5</v>
      </c>
      <c r="F58" t="s">
        <v>7</v>
      </c>
    </row>
    <row r="59" spans="1:6" x14ac:dyDescent="0.25">
      <c r="A59">
        <v>2005</v>
      </c>
      <c r="B59" s="1">
        <v>3</v>
      </c>
      <c r="C59" s="2">
        <v>38412</v>
      </c>
      <c r="D59" s="4">
        <v>5.03</v>
      </c>
      <c r="E59" s="5">
        <v>6.5</v>
      </c>
      <c r="F59" t="s">
        <v>7</v>
      </c>
    </row>
    <row r="60" spans="1:6" x14ac:dyDescent="0.25">
      <c r="A60">
        <v>2005</v>
      </c>
      <c r="B60" s="1">
        <v>4</v>
      </c>
      <c r="C60" s="2">
        <v>38443</v>
      </c>
      <c r="D60" s="4">
        <v>5.01</v>
      </c>
      <c r="E60" s="5">
        <v>6.5</v>
      </c>
      <c r="F60" t="s">
        <v>7</v>
      </c>
    </row>
    <row r="61" spans="1:6" x14ac:dyDescent="0.25">
      <c r="A61">
        <v>2005</v>
      </c>
      <c r="B61" s="1">
        <v>5</v>
      </c>
      <c r="C61" s="2">
        <v>38473</v>
      </c>
      <c r="D61" s="4">
        <v>5.04</v>
      </c>
      <c r="E61" s="5">
        <v>6.5</v>
      </c>
      <c r="F61" t="s">
        <v>7</v>
      </c>
    </row>
    <row r="62" spans="1:6" x14ac:dyDescent="0.25">
      <c r="A62">
        <v>2005</v>
      </c>
      <c r="B62" s="1">
        <v>6</v>
      </c>
      <c r="C62" s="2">
        <v>38504</v>
      </c>
      <c r="D62" s="4">
        <v>4.83</v>
      </c>
      <c r="E62" s="5">
        <v>6.5</v>
      </c>
      <c r="F62" t="s">
        <v>7</v>
      </c>
    </row>
    <row r="63" spans="1:6" x14ac:dyDescent="0.25">
      <c r="A63">
        <v>2005</v>
      </c>
      <c r="B63" s="1">
        <v>7</v>
      </c>
      <c r="C63" s="2">
        <v>38534</v>
      </c>
      <c r="D63" s="4">
        <v>4.91</v>
      </c>
      <c r="E63" s="5">
        <v>6.5</v>
      </c>
      <c r="F63" t="s">
        <v>7</v>
      </c>
    </row>
    <row r="64" spans="1:6" x14ac:dyDescent="0.25">
      <c r="A64">
        <v>2005</v>
      </c>
      <c r="B64" s="1">
        <v>8</v>
      </c>
      <c r="C64" s="2">
        <v>38565</v>
      </c>
      <c r="D64" s="4">
        <v>4.88</v>
      </c>
      <c r="E64" s="5">
        <v>6.5</v>
      </c>
      <c r="F64" t="s">
        <v>7</v>
      </c>
    </row>
    <row r="65" spans="1:6" x14ac:dyDescent="0.25">
      <c r="A65">
        <v>2005</v>
      </c>
      <c r="B65" s="1">
        <v>9</v>
      </c>
      <c r="C65" s="2">
        <v>38596</v>
      </c>
      <c r="D65" s="4">
        <v>5.0199999999999996</v>
      </c>
      <c r="E65" s="5">
        <v>6.5</v>
      </c>
      <c r="F65" t="s">
        <v>7</v>
      </c>
    </row>
    <row r="66" spans="1:6" x14ac:dyDescent="0.25">
      <c r="A66">
        <v>2005</v>
      </c>
      <c r="B66" s="1">
        <v>10</v>
      </c>
      <c r="C66" s="2">
        <v>38626</v>
      </c>
      <c r="D66" s="4">
        <v>5.27</v>
      </c>
      <c r="E66" s="5">
        <v>6</v>
      </c>
      <c r="F66" t="s">
        <v>7</v>
      </c>
    </row>
    <row r="67" spans="1:6" x14ac:dyDescent="0.25">
      <c r="A67">
        <v>2005</v>
      </c>
      <c r="B67" s="1">
        <v>11</v>
      </c>
      <c r="C67" s="2">
        <v>38657</v>
      </c>
      <c r="D67" s="4">
        <v>5.0999999999999996</v>
      </c>
      <c r="E67" s="5">
        <v>6</v>
      </c>
      <c r="F67" t="s">
        <v>7</v>
      </c>
    </row>
    <row r="68" spans="1:6" x14ac:dyDescent="0.25">
      <c r="A68">
        <v>2005</v>
      </c>
      <c r="B68" s="1">
        <v>12</v>
      </c>
      <c r="C68" s="2">
        <v>38687</v>
      </c>
      <c r="D68" s="4">
        <v>4.8499999999999996</v>
      </c>
      <c r="E68" s="5">
        <v>6</v>
      </c>
      <c r="F68" t="s">
        <v>7</v>
      </c>
    </row>
    <row r="69" spans="1:6" x14ac:dyDescent="0.25">
      <c r="A69">
        <v>2006</v>
      </c>
      <c r="B69" s="1">
        <v>1</v>
      </c>
      <c r="C69" s="2">
        <v>38718</v>
      </c>
      <c r="D69" s="4">
        <v>4.5599999999999996</v>
      </c>
      <c r="E69" s="5">
        <v>6</v>
      </c>
      <c r="F69" t="s">
        <v>7</v>
      </c>
    </row>
    <row r="70" spans="1:6" x14ac:dyDescent="0.25">
      <c r="A70">
        <v>2006</v>
      </c>
      <c r="B70" s="1">
        <v>2</v>
      </c>
      <c r="C70" s="2">
        <v>38749</v>
      </c>
      <c r="D70" s="4">
        <v>4.1900000000000004</v>
      </c>
      <c r="E70" s="5">
        <v>6</v>
      </c>
      <c r="F70" t="s">
        <v>7</v>
      </c>
    </row>
    <row r="71" spans="1:6" x14ac:dyDescent="0.25">
      <c r="A71">
        <v>2006</v>
      </c>
      <c r="B71" s="1">
        <v>3</v>
      </c>
      <c r="C71" s="2">
        <v>38777</v>
      </c>
      <c r="D71" s="4">
        <v>4.1100000000000003</v>
      </c>
      <c r="E71" s="5">
        <v>6</v>
      </c>
      <c r="F71" t="s">
        <v>7</v>
      </c>
    </row>
    <row r="72" spans="1:6" x14ac:dyDescent="0.25">
      <c r="A72">
        <v>2006</v>
      </c>
      <c r="B72" s="1">
        <v>4</v>
      </c>
      <c r="C72" s="2">
        <v>38808</v>
      </c>
      <c r="D72" s="4">
        <v>4.12</v>
      </c>
      <c r="E72" s="5">
        <v>6</v>
      </c>
      <c r="F72" t="s">
        <v>7</v>
      </c>
    </row>
    <row r="73" spans="1:6" x14ac:dyDescent="0.25">
      <c r="A73">
        <v>2006</v>
      </c>
      <c r="B73" s="1">
        <v>5</v>
      </c>
      <c r="C73" s="2">
        <v>38838</v>
      </c>
      <c r="D73" s="4">
        <v>4.04</v>
      </c>
      <c r="E73" s="5">
        <v>6</v>
      </c>
      <c r="F73" t="s">
        <v>7</v>
      </c>
    </row>
    <row r="74" spans="1:6" x14ac:dyDescent="0.25">
      <c r="A74">
        <v>2006</v>
      </c>
      <c r="B74" s="1">
        <v>6</v>
      </c>
      <c r="C74" s="2">
        <v>38869</v>
      </c>
      <c r="D74" s="4">
        <v>3.94</v>
      </c>
      <c r="E74" s="5">
        <v>6.25</v>
      </c>
      <c r="F74" t="s">
        <v>7</v>
      </c>
    </row>
    <row r="75" spans="1:6" x14ac:dyDescent="0.25">
      <c r="A75">
        <v>2006</v>
      </c>
      <c r="B75" s="1">
        <v>7</v>
      </c>
      <c r="C75" s="2">
        <v>38899</v>
      </c>
      <c r="D75" s="4">
        <v>4.32</v>
      </c>
      <c r="E75" s="5">
        <v>6.5</v>
      </c>
      <c r="F75" t="s">
        <v>7</v>
      </c>
    </row>
    <row r="76" spans="1:6" x14ac:dyDescent="0.25">
      <c r="A76">
        <v>2006</v>
      </c>
      <c r="B76" s="1">
        <v>8</v>
      </c>
      <c r="C76" s="2">
        <v>38930</v>
      </c>
      <c r="D76" s="4">
        <v>4.72</v>
      </c>
      <c r="E76" s="5">
        <v>6.5</v>
      </c>
      <c r="F76" t="s">
        <v>8</v>
      </c>
    </row>
    <row r="77" spans="1:6" x14ac:dyDescent="0.25">
      <c r="A77">
        <v>2006</v>
      </c>
      <c r="B77" s="1">
        <v>9</v>
      </c>
      <c r="C77" s="2">
        <v>38961</v>
      </c>
      <c r="D77" s="4">
        <v>4.58</v>
      </c>
      <c r="E77" s="5">
        <v>6.75</v>
      </c>
      <c r="F77" t="s">
        <v>8</v>
      </c>
    </row>
    <row r="78" spans="1:6" x14ac:dyDescent="0.25">
      <c r="A78">
        <v>2006</v>
      </c>
      <c r="B78" s="1">
        <v>10</v>
      </c>
      <c r="C78" s="2">
        <v>38991</v>
      </c>
      <c r="D78" s="4">
        <v>4.1900000000000004</v>
      </c>
      <c r="E78" s="5">
        <v>6.75</v>
      </c>
      <c r="F78" t="s">
        <v>8</v>
      </c>
    </row>
    <row r="79" spans="1:6" x14ac:dyDescent="0.25">
      <c r="A79">
        <v>2006</v>
      </c>
      <c r="B79" s="1">
        <v>11</v>
      </c>
      <c r="C79" s="2">
        <v>39022</v>
      </c>
      <c r="D79" s="4">
        <v>4.3099999999999996</v>
      </c>
      <c r="E79" s="5">
        <v>7.25</v>
      </c>
      <c r="F79" t="s">
        <v>8</v>
      </c>
    </row>
    <row r="80" spans="1:6" x14ac:dyDescent="0.25">
      <c r="A80">
        <v>2006</v>
      </c>
      <c r="B80" s="1">
        <v>12</v>
      </c>
      <c r="C80" s="2">
        <v>39052</v>
      </c>
      <c r="D80" s="4">
        <v>4.4800000000000004</v>
      </c>
      <c r="E80" s="5">
        <v>7.25</v>
      </c>
      <c r="F80" t="s">
        <v>8</v>
      </c>
    </row>
    <row r="81" spans="1:6" x14ac:dyDescent="0.25">
      <c r="A81">
        <v>2007</v>
      </c>
      <c r="B81" s="1">
        <v>1</v>
      </c>
      <c r="C81" s="2">
        <v>39083</v>
      </c>
      <c r="D81" s="4">
        <v>4.71</v>
      </c>
      <c r="E81" s="5">
        <v>7.5</v>
      </c>
      <c r="F81" t="s">
        <v>8</v>
      </c>
    </row>
    <row r="82" spans="1:6" x14ac:dyDescent="0.25">
      <c r="A82">
        <v>2007</v>
      </c>
      <c r="B82" s="1">
        <v>2</v>
      </c>
      <c r="C82" s="2">
        <v>39114</v>
      </c>
      <c r="D82" s="4">
        <v>5.25</v>
      </c>
      <c r="E82" s="5">
        <v>7.75</v>
      </c>
      <c r="F82" t="s">
        <v>8</v>
      </c>
    </row>
    <row r="83" spans="1:6" x14ac:dyDescent="0.25">
      <c r="A83">
        <v>2007</v>
      </c>
      <c r="B83" s="1">
        <v>3</v>
      </c>
      <c r="C83" s="2">
        <v>39142</v>
      </c>
      <c r="D83" s="4">
        <v>5.78</v>
      </c>
      <c r="E83" s="5">
        <v>8</v>
      </c>
      <c r="F83" t="s">
        <v>8</v>
      </c>
    </row>
    <row r="84" spans="1:6" x14ac:dyDescent="0.25">
      <c r="A84">
        <v>2007</v>
      </c>
      <c r="B84" s="1">
        <v>4</v>
      </c>
      <c r="C84" s="2">
        <v>39173</v>
      </c>
      <c r="D84" s="4">
        <v>6.26</v>
      </c>
      <c r="E84" s="5">
        <v>8.25</v>
      </c>
      <c r="F84" t="s">
        <v>8</v>
      </c>
    </row>
    <row r="85" spans="1:6" x14ac:dyDescent="0.25">
      <c r="A85">
        <v>2007</v>
      </c>
      <c r="B85" s="1">
        <v>5</v>
      </c>
      <c r="C85" s="2">
        <v>39203</v>
      </c>
      <c r="D85" s="4">
        <v>6.23</v>
      </c>
      <c r="E85" s="5">
        <v>8.25</v>
      </c>
      <c r="F85" t="s">
        <v>8</v>
      </c>
    </row>
    <row r="86" spans="1:6" x14ac:dyDescent="0.25">
      <c r="A86">
        <v>2007</v>
      </c>
      <c r="B86" s="1">
        <v>6</v>
      </c>
      <c r="C86" s="2">
        <v>39234</v>
      </c>
      <c r="D86" s="4">
        <v>6.03</v>
      </c>
      <c r="E86" s="5">
        <v>8.75</v>
      </c>
      <c r="F86" t="s">
        <v>8</v>
      </c>
    </row>
    <row r="87" spans="1:6" x14ac:dyDescent="0.25">
      <c r="A87">
        <v>2007</v>
      </c>
      <c r="B87" s="1">
        <v>7</v>
      </c>
      <c r="C87" s="2">
        <v>39264</v>
      </c>
      <c r="D87" s="4">
        <v>5.77</v>
      </c>
      <c r="E87" s="5">
        <v>9</v>
      </c>
      <c r="F87" t="s">
        <v>8</v>
      </c>
    </row>
    <row r="88" spans="1:6" x14ac:dyDescent="0.25">
      <c r="A88">
        <v>2007</v>
      </c>
      <c r="B88" s="1">
        <v>8</v>
      </c>
      <c r="C88" s="2">
        <v>39295</v>
      </c>
      <c r="D88" s="4">
        <v>5.22</v>
      </c>
      <c r="E88" s="5">
        <v>9.25</v>
      </c>
      <c r="F88" t="s">
        <v>8</v>
      </c>
    </row>
    <row r="89" spans="1:6" x14ac:dyDescent="0.25">
      <c r="A89">
        <v>2007</v>
      </c>
      <c r="B89" s="1">
        <v>9</v>
      </c>
      <c r="C89" s="2">
        <v>39326</v>
      </c>
      <c r="D89" s="4">
        <v>5.01</v>
      </c>
      <c r="E89" s="5">
        <v>9.25</v>
      </c>
      <c r="F89" t="s">
        <v>8</v>
      </c>
    </row>
    <row r="90" spans="1:6" x14ac:dyDescent="0.25">
      <c r="A90">
        <v>2007</v>
      </c>
      <c r="B90" s="1">
        <v>10</v>
      </c>
      <c r="C90" s="2">
        <v>39356</v>
      </c>
      <c r="D90" s="4">
        <v>5.16</v>
      </c>
      <c r="E90" s="5">
        <v>9.25</v>
      </c>
      <c r="F90" t="s">
        <v>8</v>
      </c>
    </row>
    <row r="91" spans="1:6" x14ac:dyDescent="0.25">
      <c r="A91">
        <v>2007</v>
      </c>
      <c r="B91" s="1">
        <v>11</v>
      </c>
      <c r="C91" s="2">
        <v>39387</v>
      </c>
      <c r="D91" s="4">
        <v>5.41</v>
      </c>
      <c r="E91" s="5">
        <v>9.25</v>
      </c>
      <c r="F91" t="s">
        <v>8</v>
      </c>
    </row>
    <row r="92" spans="1:6" x14ac:dyDescent="0.25">
      <c r="A92">
        <v>2007</v>
      </c>
      <c r="B92" s="1">
        <v>12</v>
      </c>
      <c r="C92" s="2">
        <v>39417</v>
      </c>
      <c r="D92" s="4">
        <v>5.69</v>
      </c>
      <c r="E92" s="5">
        <v>9.5</v>
      </c>
      <c r="F92" t="s">
        <v>8</v>
      </c>
    </row>
    <row r="93" spans="1:6" x14ac:dyDescent="0.25">
      <c r="A93">
        <v>2008</v>
      </c>
      <c r="B93" s="1">
        <v>1</v>
      </c>
      <c r="C93" s="2">
        <v>39448</v>
      </c>
      <c r="D93" s="4">
        <v>6</v>
      </c>
      <c r="E93" s="5">
        <v>9.5</v>
      </c>
      <c r="F93" t="s">
        <v>8</v>
      </c>
    </row>
    <row r="94" spans="1:6" x14ac:dyDescent="0.25">
      <c r="A94">
        <v>2008</v>
      </c>
      <c r="B94" s="1">
        <v>2</v>
      </c>
      <c r="C94" s="2">
        <v>39479</v>
      </c>
      <c r="D94" s="4">
        <v>6.35</v>
      </c>
      <c r="E94" s="5">
        <v>9.5</v>
      </c>
      <c r="F94" t="s">
        <v>8</v>
      </c>
    </row>
    <row r="95" spans="1:6" x14ac:dyDescent="0.25">
      <c r="A95">
        <v>2008</v>
      </c>
      <c r="B95" s="1">
        <v>3</v>
      </c>
      <c r="C95" s="2">
        <v>39508</v>
      </c>
      <c r="D95" s="4">
        <v>5.93</v>
      </c>
      <c r="E95" s="5">
        <v>9.75</v>
      </c>
      <c r="F95" t="s">
        <v>8</v>
      </c>
    </row>
    <row r="96" spans="1:6" x14ac:dyDescent="0.25">
      <c r="A96">
        <v>2008</v>
      </c>
      <c r="B96" s="1">
        <v>4</v>
      </c>
      <c r="C96" s="2">
        <v>39539</v>
      </c>
      <c r="D96" s="4">
        <v>5.73</v>
      </c>
      <c r="E96" s="5">
        <v>9.75</v>
      </c>
      <c r="F96" t="s">
        <v>8</v>
      </c>
    </row>
    <row r="97" spans="1:6" x14ac:dyDescent="0.25">
      <c r="A97">
        <v>2008</v>
      </c>
      <c r="B97" s="1">
        <v>5</v>
      </c>
      <c r="C97" s="2">
        <v>39569</v>
      </c>
      <c r="D97" s="4">
        <v>6.39</v>
      </c>
      <c r="E97" s="5">
        <v>9.75</v>
      </c>
      <c r="F97" t="s">
        <v>8</v>
      </c>
    </row>
    <row r="98" spans="1:6" x14ac:dyDescent="0.25">
      <c r="A98">
        <v>2008</v>
      </c>
      <c r="B98" s="1">
        <v>6</v>
      </c>
      <c r="C98" s="2">
        <v>39600</v>
      </c>
      <c r="D98" s="4">
        <v>7.18</v>
      </c>
      <c r="E98" s="5">
        <v>9.75</v>
      </c>
      <c r="F98" t="s">
        <v>8</v>
      </c>
    </row>
    <row r="99" spans="1:6" x14ac:dyDescent="0.25">
      <c r="A99">
        <v>2008</v>
      </c>
      <c r="B99" s="1">
        <v>7</v>
      </c>
      <c r="C99" s="2">
        <v>39630</v>
      </c>
      <c r="D99" s="4">
        <v>7.52</v>
      </c>
      <c r="E99" s="5">
        <v>9.75</v>
      </c>
      <c r="F99" t="s">
        <v>8</v>
      </c>
    </row>
    <row r="100" spans="1:6" x14ac:dyDescent="0.25">
      <c r="A100">
        <v>2008</v>
      </c>
      <c r="B100" s="1">
        <v>8</v>
      </c>
      <c r="C100" s="2">
        <v>39661</v>
      </c>
      <c r="D100" s="4">
        <v>7.87</v>
      </c>
      <c r="E100" s="5">
        <v>10</v>
      </c>
      <c r="F100" t="s">
        <v>8</v>
      </c>
    </row>
    <row r="101" spans="1:6" x14ac:dyDescent="0.25">
      <c r="A101">
        <v>2008</v>
      </c>
      <c r="B101" s="1">
        <v>9</v>
      </c>
      <c r="C101" s="2">
        <v>39692</v>
      </c>
      <c r="D101" s="4">
        <v>7.57</v>
      </c>
      <c r="E101" s="5">
        <v>10</v>
      </c>
      <c r="F101" t="s">
        <v>8</v>
      </c>
    </row>
    <row r="102" spans="1:6" x14ac:dyDescent="0.25">
      <c r="A102">
        <v>2008</v>
      </c>
      <c r="B102" s="1">
        <v>10</v>
      </c>
      <c r="C102" s="2">
        <v>39722</v>
      </c>
      <c r="D102" s="4">
        <v>7.94</v>
      </c>
      <c r="E102" s="5">
        <v>10</v>
      </c>
      <c r="F102" t="s">
        <v>8</v>
      </c>
    </row>
    <row r="103" spans="1:6" x14ac:dyDescent="0.25">
      <c r="A103">
        <v>2008</v>
      </c>
      <c r="B103" s="1">
        <v>11</v>
      </c>
      <c r="C103" s="2">
        <v>39753</v>
      </c>
      <c r="D103" s="4">
        <v>7.73</v>
      </c>
      <c r="E103" s="5">
        <v>10</v>
      </c>
      <c r="F103" t="s">
        <v>8</v>
      </c>
    </row>
    <row r="104" spans="1:6" x14ac:dyDescent="0.25">
      <c r="A104">
        <v>2008</v>
      </c>
      <c r="B104" s="1">
        <v>12</v>
      </c>
      <c r="C104" s="2">
        <v>39783</v>
      </c>
      <c r="D104" s="4">
        <v>7.67</v>
      </c>
      <c r="E104" s="5">
        <v>10</v>
      </c>
      <c r="F104" t="s">
        <v>8</v>
      </c>
    </row>
    <row r="105" spans="1:6" x14ac:dyDescent="0.25">
      <c r="A105">
        <v>2009</v>
      </c>
      <c r="B105" s="1">
        <v>1</v>
      </c>
      <c r="C105" s="2">
        <v>39814</v>
      </c>
      <c r="D105" s="4">
        <v>7.18</v>
      </c>
      <c r="E105" s="5">
        <v>9.5</v>
      </c>
      <c r="F105" t="s">
        <v>9</v>
      </c>
    </row>
    <row r="106" spans="1:6" x14ac:dyDescent="0.25">
      <c r="A106">
        <v>2009</v>
      </c>
      <c r="B106" s="1">
        <v>2</v>
      </c>
      <c r="C106" s="2">
        <v>39845</v>
      </c>
      <c r="D106" s="4">
        <v>6.47</v>
      </c>
      <c r="E106" s="5">
        <v>9.5</v>
      </c>
      <c r="F106" t="s">
        <v>9</v>
      </c>
    </row>
    <row r="107" spans="1:6" x14ac:dyDescent="0.25">
      <c r="A107">
        <v>2009</v>
      </c>
      <c r="B107" s="1">
        <v>3</v>
      </c>
      <c r="C107" s="2">
        <v>39873</v>
      </c>
      <c r="D107" s="4">
        <v>6.14</v>
      </c>
      <c r="E107" s="5">
        <v>9</v>
      </c>
      <c r="F107" t="s">
        <v>9</v>
      </c>
    </row>
    <row r="108" spans="1:6" x14ac:dyDescent="0.25">
      <c r="A108">
        <v>2009</v>
      </c>
      <c r="B108" s="1">
        <v>4</v>
      </c>
      <c r="C108" s="2">
        <v>39904</v>
      </c>
      <c r="D108" s="4">
        <v>5.73</v>
      </c>
      <c r="E108" s="5">
        <v>7</v>
      </c>
      <c r="F108" t="s">
        <v>9</v>
      </c>
    </row>
    <row r="109" spans="1:6" x14ac:dyDescent="0.25">
      <c r="A109">
        <v>2009</v>
      </c>
      <c r="B109" s="1">
        <v>5</v>
      </c>
      <c r="C109" s="2">
        <v>39934</v>
      </c>
      <c r="D109" s="4">
        <v>4.7699999999999996</v>
      </c>
      <c r="E109" s="5">
        <v>7</v>
      </c>
      <c r="F109" t="s">
        <v>9</v>
      </c>
    </row>
    <row r="110" spans="1:6" x14ac:dyDescent="0.25">
      <c r="A110">
        <v>2009</v>
      </c>
      <c r="B110" s="1">
        <v>6</v>
      </c>
      <c r="C110" s="2">
        <v>39965</v>
      </c>
      <c r="D110" s="4">
        <v>3.81</v>
      </c>
      <c r="E110" s="5">
        <v>5</v>
      </c>
      <c r="F110" t="s">
        <v>9</v>
      </c>
    </row>
    <row r="111" spans="1:6" x14ac:dyDescent="0.25">
      <c r="A111">
        <v>2009</v>
      </c>
      <c r="B111" s="1">
        <v>7</v>
      </c>
      <c r="C111" s="2">
        <v>39995</v>
      </c>
      <c r="D111" s="4">
        <v>3.28</v>
      </c>
      <c r="E111" s="5">
        <v>4.5</v>
      </c>
      <c r="F111" t="s">
        <v>9</v>
      </c>
    </row>
    <row r="112" spans="1:6" x14ac:dyDescent="0.25">
      <c r="A112">
        <v>2009</v>
      </c>
      <c r="B112" s="1">
        <v>8</v>
      </c>
      <c r="C112" s="2">
        <v>40026</v>
      </c>
      <c r="D112" s="4">
        <v>3.13</v>
      </c>
      <c r="E112" s="5">
        <v>4.5</v>
      </c>
      <c r="F112" t="s">
        <v>9</v>
      </c>
    </row>
    <row r="113" spans="1:6" x14ac:dyDescent="0.25">
      <c r="A113">
        <v>2009</v>
      </c>
      <c r="B113" s="1">
        <v>9</v>
      </c>
      <c r="C113" s="2">
        <v>40057</v>
      </c>
      <c r="D113" s="4">
        <v>3.21</v>
      </c>
      <c r="E113" s="5">
        <v>4.5</v>
      </c>
      <c r="F113" t="s">
        <v>9</v>
      </c>
    </row>
    <row r="114" spans="1:6" x14ac:dyDescent="0.25">
      <c r="A114">
        <v>2009</v>
      </c>
      <c r="B114" s="1">
        <v>10</v>
      </c>
      <c r="C114" s="2">
        <v>40087</v>
      </c>
      <c r="D114" s="4">
        <v>2.72</v>
      </c>
      <c r="E114" s="5">
        <v>4</v>
      </c>
      <c r="F114" t="s">
        <v>9</v>
      </c>
    </row>
    <row r="115" spans="1:6" x14ac:dyDescent="0.25">
      <c r="A115">
        <v>2009</v>
      </c>
      <c r="B115" s="1">
        <v>11</v>
      </c>
      <c r="C115" s="2">
        <v>40118</v>
      </c>
      <c r="D115" s="4">
        <v>2.37</v>
      </c>
      <c r="E115" s="5">
        <v>4</v>
      </c>
      <c r="F115" t="s">
        <v>9</v>
      </c>
    </row>
    <row r="116" spans="1:6" x14ac:dyDescent="0.25">
      <c r="A116">
        <v>2009</v>
      </c>
      <c r="B116" s="1">
        <v>12</v>
      </c>
      <c r="C116" s="2">
        <v>40148</v>
      </c>
      <c r="D116" s="4">
        <v>2</v>
      </c>
      <c r="E116" s="5">
        <v>3.5</v>
      </c>
      <c r="F116" t="s">
        <v>9</v>
      </c>
    </row>
    <row r="117" spans="1:6" x14ac:dyDescent="0.25">
      <c r="A117">
        <v>2010</v>
      </c>
      <c r="B117" s="1">
        <v>1</v>
      </c>
      <c r="C117" s="2">
        <v>40179</v>
      </c>
      <c r="D117" s="4">
        <v>2.1</v>
      </c>
      <c r="E117" s="5">
        <v>3.5</v>
      </c>
      <c r="F117" t="s">
        <v>9</v>
      </c>
    </row>
    <row r="118" spans="1:6" x14ac:dyDescent="0.25">
      <c r="A118">
        <v>2010</v>
      </c>
      <c r="B118" s="1">
        <v>2</v>
      </c>
      <c r="C118" s="2">
        <v>40210</v>
      </c>
      <c r="D118" s="4">
        <v>2.09</v>
      </c>
      <c r="E118" s="5">
        <v>3.5</v>
      </c>
      <c r="F118" t="s">
        <v>9</v>
      </c>
    </row>
    <row r="119" spans="1:6" x14ac:dyDescent="0.25">
      <c r="A119">
        <v>2010</v>
      </c>
      <c r="B119" s="1">
        <v>3</v>
      </c>
      <c r="C119" s="2">
        <v>40238</v>
      </c>
      <c r="D119" s="4">
        <v>1.84</v>
      </c>
      <c r="E119" s="5">
        <v>3.5</v>
      </c>
      <c r="F119" t="s">
        <v>9</v>
      </c>
    </row>
    <row r="120" spans="1:6" x14ac:dyDescent="0.25">
      <c r="A120">
        <v>2010</v>
      </c>
      <c r="B120" s="1">
        <v>4</v>
      </c>
      <c r="C120" s="2">
        <v>40269</v>
      </c>
      <c r="D120" s="4">
        <v>1.98</v>
      </c>
      <c r="E120" s="5">
        <v>3.5</v>
      </c>
      <c r="F120" t="s">
        <v>9</v>
      </c>
    </row>
    <row r="121" spans="1:6" x14ac:dyDescent="0.25">
      <c r="A121">
        <v>2010</v>
      </c>
      <c r="B121" s="1">
        <v>5</v>
      </c>
      <c r="C121" s="2">
        <v>40299</v>
      </c>
      <c r="D121" s="4">
        <v>2.0699999999999998</v>
      </c>
      <c r="E121" s="5">
        <v>3.5</v>
      </c>
      <c r="F121" t="s">
        <v>10</v>
      </c>
    </row>
    <row r="122" spans="1:6" x14ac:dyDescent="0.25">
      <c r="A122">
        <v>2010</v>
      </c>
      <c r="B122" s="1">
        <v>6</v>
      </c>
      <c r="C122" s="2">
        <v>40330</v>
      </c>
      <c r="D122" s="4">
        <v>2.25</v>
      </c>
      <c r="E122" s="5">
        <v>3</v>
      </c>
      <c r="F122" t="s">
        <v>10</v>
      </c>
    </row>
    <row r="123" spans="1:6" x14ac:dyDescent="0.25">
      <c r="A123">
        <v>2010</v>
      </c>
      <c r="B123" s="1">
        <v>7</v>
      </c>
      <c r="C123" s="2">
        <v>40360</v>
      </c>
      <c r="D123" s="4">
        <v>2.2400000000000002</v>
      </c>
      <c r="E123" s="5">
        <v>3</v>
      </c>
      <c r="F123" t="s">
        <v>10</v>
      </c>
    </row>
    <row r="124" spans="1:6" x14ac:dyDescent="0.25">
      <c r="A124">
        <v>2010</v>
      </c>
      <c r="B124" s="1">
        <v>8</v>
      </c>
      <c r="C124" s="2">
        <v>40391</v>
      </c>
      <c r="D124" s="4">
        <v>2.31</v>
      </c>
      <c r="E124" s="5">
        <v>3</v>
      </c>
      <c r="F124" t="s">
        <v>10</v>
      </c>
    </row>
    <row r="125" spans="1:6" x14ac:dyDescent="0.25">
      <c r="A125">
        <v>2010</v>
      </c>
      <c r="B125" s="1">
        <v>9</v>
      </c>
      <c r="C125" s="2">
        <v>40422</v>
      </c>
      <c r="D125" s="4">
        <v>2.2799999999999998</v>
      </c>
      <c r="E125" s="5">
        <v>3</v>
      </c>
      <c r="F125" t="s">
        <v>10</v>
      </c>
    </row>
    <row r="126" spans="1:6" x14ac:dyDescent="0.25">
      <c r="A126">
        <v>2010</v>
      </c>
      <c r="B126" s="1">
        <v>10</v>
      </c>
      <c r="C126" s="2">
        <v>40452</v>
      </c>
      <c r="D126" s="4">
        <v>2.33</v>
      </c>
      <c r="E126" s="5">
        <v>3</v>
      </c>
      <c r="F126" t="s">
        <v>10</v>
      </c>
    </row>
    <row r="127" spans="1:6" x14ac:dyDescent="0.25">
      <c r="A127">
        <v>2010</v>
      </c>
      <c r="B127" s="1">
        <v>11</v>
      </c>
      <c r="C127" s="2">
        <v>40483</v>
      </c>
      <c r="D127" s="4">
        <v>2.59</v>
      </c>
      <c r="E127" s="5">
        <v>3</v>
      </c>
      <c r="F127" t="s">
        <v>10</v>
      </c>
    </row>
    <row r="128" spans="1:6" x14ac:dyDescent="0.25">
      <c r="A128">
        <v>2010</v>
      </c>
      <c r="B128" s="1">
        <v>12</v>
      </c>
      <c r="C128" s="2">
        <v>40513</v>
      </c>
      <c r="D128" s="4">
        <v>3.17</v>
      </c>
      <c r="E128" s="5">
        <v>3</v>
      </c>
      <c r="F128" t="s">
        <v>10</v>
      </c>
    </row>
    <row r="129" spans="1:6" x14ac:dyDescent="0.25">
      <c r="A129">
        <v>2011</v>
      </c>
      <c r="B129" s="1">
        <v>1</v>
      </c>
      <c r="C129" s="2">
        <v>40544</v>
      </c>
      <c r="D129" s="4">
        <v>3.4</v>
      </c>
      <c r="E129" s="5">
        <v>3</v>
      </c>
      <c r="F129" t="s">
        <v>10</v>
      </c>
    </row>
    <row r="130" spans="1:6" x14ac:dyDescent="0.25">
      <c r="A130">
        <v>2011</v>
      </c>
      <c r="B130" s="1">
        <v>2</v>
      </c>
      <c r="C130" s="2">
        <v>40575</v>
      </c>
      <c r="D130" s="4">
        <v>3.17</v>
      </c>
      <c r="E130" s="5">
        <v>3</v>
      </c>
      <c r="F130" t="s">
        <v>10</v>
      </c>
    </row>
    <row r="131" spans="1:6" x14ac:dyDescent="0.25">
      <c r="A131">
        <v>2011</v>
      </c>
      <c r="B131" s="1">
        <v>3</v>
      </c>
      <c r="C131" s="2">
        <v>40603</v>
      </c>
      <c r="D131" s="4">
        <v>3.19</v>
      </c>
      <c r="E131" s="5">
        <v>3.25</v>
      </c>
      <c r="F131" t="s">
        <v>10</v>
      </c>
    </row>
    <row r="132" spans="1:6" x14ac:dyDescent="0.25">
      <c r="A132">
        <v>2011</v>
      </c>
      <c r="B132" s="1">
        <v>4</v>
      </c>
      <c r="C132" s="2">
        <v>40634</v>
      </c>
      <c r="D132" s="4">
        <v>2.84</v>
      </c>
      <c r="E132" s="5">
        <v>3.5</v>
      </c>
      <c r="F132" t="s">
        <v>10</v>
      </c>
    </row>
    <row r="133" spans="1:6" x14ac:dyDescent="0.25">
      <c r="A133">
        <v>2011</v>
      </c>
      <c r="B133" s="1">
        <v>5</v>
      </c>
      <c r="C133" s="2">
        <v>40664</v>
      </c>
      <c r="D133" s="4">
        <v>3.02</v>
      </c>
      <c r="E133" s="5">
        <v>3.5</v>
      </c>
      <c r="F133" t="s">
        <v>10</v>
      </c>
    </row>
    <row r="134" spans="1:6" x14ac:dyDescent="0.25">
      <c r="A134">
        <v>2011</v>
      </c>
      <c r="B134" s="1">
        <v>6</v>
      </c>
      <c r="C134" s="2">
        <v>40695</v>
      </c>
      <c r="D134" s="4">
        <v>3.23</v>
      </c>
      <c r="E134" s="5">
        <v>4</v>
      </c>
      <c r="F134" t="s">
        <v>10</v>
      </c>
    </row>
    <row r="135" spans="1:6" x14ac:dyDescent="0.25">
      <c r="A135">
        <v>2011</v>
      </c>
      <c r="B135" s="1">
        <v>7</v>
      </c>
      <c r="C135" s="2">
        <v>40725</v>
      </c>
      <c r="D135" s="4">
        <v>3.42</v>
      </c>
      <c r="E135" s="5">
        <v>4.25</v>
      </c>
      <c r="F135" t="s">
        <v>10</v>
      </c>
    </row>
    <row r="136" spans="1:6" x14ac:dyDescent="0.25">
      <c r="A136">
        <v>2011</v>
      </c>
      <c r="B136" s="1">
        <v>8</v>
      </c>
      <c r="C136" s="2">
        <v>40756</v>
      </c>
      <c r="D136" s="4">
        <v>3.27</v>
      </c>
      <c r="E136" s="5">
        <v>4.5</v>
      </c>
      <c r="F136" t="s">
        <v>10</v>
      </c>
    </row>
    <row r="137" spans="1:6" x14ac:dyDescent="0.25">
      <c r="A137">
        <v>2011</v>
      </c>
      <c r="B137" s="1">
        <v>9</v>
      </c>
      <c r="C137" s="2">
        <v>40787</v>
      </c>
      <c r="D137" s="4">
        <v>3.73</v>
      </c>
      <c r="E137" s="5">
        <v>4.5</v>
      </c>
      <c r="F137" t="s">
        <v>10</v>
      </c>
    </row>
    <row r="138" spans="1:6" x14ac:dyDescent="0.25">
      <c r="A138">
        <v>2011</v>
      </c>
      <c r="B138" s="1">
        <v>10</v>
      </c>
      <c r="C138" s="2">
        <v>40817</v>
      </c>
      <c r="D138" s="4">
        <v>4.0199999999999996</v>
      </c>
      <c r="E138" s="5">
        <v>4.5</v>
      </c>
      <c r="F138" t="s">
        <v>10</v>
      </c>
    </row>
    <row r="139" spans="1:6" x14ac:dyDescent="0.25">
      <c r="A139">
        <v>2011</v>
      </c>
      <c r="B139" s="1">
        <v>11</v>
      </c>
      <c r="C139" s="2">
        <v>40848</v>
      </c>
      <c r="D139" s="4">
        <v>3.96</v>
      </c>
      <c r="E139" s="5">
        <v>4.5</v>
      </c>
      <c r="F139" t="s">
        <v>11</v>
      </c>
    </row>
    <row r="140" spans="1:6" x14ac:dyDescent="0.25">
      <c r="A140">
        <v>2011</v>
      </c>
      <c r="B140" s="1">
        <v>12</v>
      </c>
      <c r="C140" s="2">
        <v>40878</v>
      </c>
      <c r="D140" s="4">
        <v>3.73</v>
      </c>
      <c r="E140" s="5">
        <v>4.75</v>
      </c>
      <c r="F140" t="s">
        <v>11</v>
      </c>
    </row>
    <row r="141" spans="1:6" x14ac:dyDescent="0.25">
      <c r="A141">
        <v>2012</v>
      </c>
      <c r="B141" s="1">
        <v>1</v>
      </c>
      <c r="C141" s="2">
        <v>40909</v>
      </c>
      <c r="D141" s="4">
        <v>3.54</v>
      </c>
      <c r="E141" s="5">
        <v>4.75</v>
      </c>
      <c r="F141" t="s">
        <v>11</v>
      </c>
    </row>
    <row r="142" spans="1:6" x14ac:dyDescent="0.25">
      <c r="A142">
        <v>2012</v>
      </c>
      <c r="B142" s="1">
        <v>2</v>
      </c>
      <c r="C142" s="2">
        <v>40940</v>
      </c>
      <c r="D142" s="4">
        <v>3.55</v>
      </c>
      <c r="E142" s="5">
        <v>5</v>
      </c>
      <c r="F142" t="s">
        <v>11</v>
      </c>
    </row>
    <row r="143" spans="1:6" x14ac:dyDescent="0.25">
      <c r="A143">
        <v>2012</v>
      </c>
      <c r="B143" s="1">
        <v>3</v>
      </c>
      <c r="C143" s="2">
        <v>40969</v>
      </c>
      <c r="D143" s="4">
        <v>3.4</v>
      </c>
      <c r="E143" s="5">
        <v>5.25</v>
      </c>
      <c r="F143" t="s">
        <v>11</v>
      </c>
    </row>
    <row r="144" spans="1:6" x14ac:dyDescent="0.25">
      <c r="A144">
        <v>2012</v>
      </c>
      <c r="B144" s="1">
        <v>4</v>
      </c>
      <c r="C144" s="2">
        <v>41000</v>
      </c>
      <c r="D144" s="4">
        <v>3.43</v>
      </c>
      <c r="E144" s="5">
        <v>5.25</v>
      </c>
      <c r="F144" t="s">
        <v>11</v>
      </c>
    </row>
    <row r="145" spans="1:6" x14ac:dyDescent="0.25">
      <c r="A145">
        <v>2012</v>
      </c>
      <c r="B145" s="1">
        <v>5</v>
      </c>
      <c r="C145" s="2">
        <v>41030</v>
      </c>
      <c r="D145" s="4">
        <v>3.44</v>
      </c>
      <c r="E145" s="5">
        <v>5.25</v>
      </c>
      <c r="F145" t="s">
        <v>11</v>
      </c>
    </row>
    <row r="146" spans="1:6" x14ac:dyDescent="0.25">
      <c r="A146">
        <v>2012</v>
      </c>
      <c r="B146" s="1">
        <v>6</v>
      </c>
      <c r="C146" s="2">
        <v>41061</v>
      </c>
      <c r="D146" s="4">
        <v>3.2</v>
      </c>
      <c r="E146" s="5">
        <v>5.25</v>
      </c>
      <c r="F146" t="s">
        <v>11</v>
      </c>
    </row>
    <row r="147" spans="1:6" x14ac:dyDescent="0.25">
      <c r="A147">
        <v>2012</v>
      </c>
      <c r="B147" s="1">
        <v>7</v>
      </c>
      <c r="C147" s="2">
        <v>41091</v>
      </c>
      <c r="D147" s="4">
        <v>3.03</v>
      </c>
      <c r="E147" s="5">
        <v>5.25</v>
      </c>
      <c r="F147" t="s">
        <v>11</v>
      </c>
    </row>
    <row r="148" spans="1:6" x14ac:dyDescent="0.25">
      <c r="A148">
        <v>2012</v>
      </c>
      <c r="B148" s="1">
        <v>8</v>
      </c>
      <c r="C148" s="2">
        <v>41122</v>
      </c>
      <c r="D148" s="4">
        <v>3.11</v>
      </c>
      <c r="E148" s="5">
        <v>5</v>
      </c>
      <c r="F148" t="s">
        <v>11</v>
      </c>
    </row>
    <row r="149" spans="1:6" x14ac:dyDescent="0.25">
      <c r="A149">
        <v>2012</v>
      </c>
      <c r="B149" s="1">
        <v>9</v>
      </c>
      <c r="C149" s="2">
        <v>41153</v>
      </c>
      <c r="D149" s="4">
        <v>3.08</v>
      </c>
      <c r="E149" s="5">
        <v>4.75</v>
      </c>
      <c r="F149" t="s">
        <v>11</v>
      </c>
    </row>
    <row r="150" spans="1:6" x14ac:dyDescent="0.25">
      <c r="A150">
        <v>2012</v>
      </c>
      <c r="B150" s="1">
        <v>10</v>
      </c>
      <c r="C150" s="2">
        <v>41183</v>
      </c>
      <c r="D150" s="4">
        <v>3.06</v>
      </c>
      <c r="E150" s="5">
        <v>4.75</v>
      </c>
      <c r="F150" t="s">
        <v>11</v>
      </c>
    </row>
    <row r="151" spans="1:6" x14ac:dyDescent="0.25">
      <c r="A151">
        <v>2012</v>
      </c>
      <c r="B151" s="1">
        <v>11</v>
      </c>
      <c r="C151" s="2">
        <v>41214</v>
      </c>
      <c r="D151" s="4">
        <v>2.77</v>
      </c>
      <c r="E151" s="5">
        <v>4.75</v>
      </c>
      <c r="F151" t="s">
        <v>11</v>
      </c>
    </row>
    <row r="152" spans="1:6" x14ac:dyDescent="0.25">
      <c r="A152">
        <v>2012</v>
      </c>
      <c r="B152" s="1">
        <v>12</v>
      </c>
      <c r="C152" s="2">
        <v>41244</v>
      </c>
      <c r="D152" s="4">
        <v>2.44</v>
      </c>
      <c r="E152" s="5">
        <v>4.5</v>
      </c>
      <c r="F152" t="s">
        <v>11</v>
      </c>
    </row>
    <row r="153" spans="1:6" x14ac:dyDescent="0.25">
      <c r="A153">
        <v>2013</v>
      </c>
      <c r="B153" s="1">
        <v>1</v>
      </c>
      <c r="C153" s="2">
        <v>41275</v>
      </c>
      <c r="D153" s="4">
        <v>2</v>
      </c>
      <c r="E153" s="5">
        <v>4.25</v>
      </c>
      <c r="F153" t="s">
        <v>11</v>
      </c>
    </row>
    <row r="154" spans="1:6" x14ac:dyDescent="0.25">
      <c r="A154">
        <v>2013</v>
      </c>
      <c r="B154" s="1">
        <v>2</v>
      </c>
      <c r="C154" s="2">
        <v>41306</v>
      </c>
      <c r="D154" s="4">
        <v>1.83</v>
      </c>
      <c r="E154" s="5">
        <v>4</v>
      </c>
      <c r="F154" t="s">
        <v>11</v>
      </c>
    </row>
    <row r="155" spans="1:6" x14ac:dyDescent="0.25">
      <c r="A155">
        <v>2013</v>
      </c>
      <c r="B155" s="1">
        <v>3</v>
      </c>
      <c r="C155" s="2">
        <v>41334</v>
      </c>
      <c r="D155" s="4">
        <v>1.91</v>
      </c>
      <c r="E155" s="5">
        <v>3.75</v>
      </c>
      <c r="F155" t="s">
        <v>11</v>
      </c>
    </row>
    <row r="156" spans="1:6" x14ac:dyDescent="0.25">
      <c r="A156">
        <v>2013</v>
      </c>
      <c r="B156" s="1">
        <v>4</v>
      </c>
      <c r="C156" s="2">
        <v>41365</v>
      </c>
      <c r="D156" s="4">
        <v>2.02</v>
      </c>
      <c r="E156" s="5">
        <v>3.25</v>
      </c>
      <c r="F156" t="s">
        <v>11</v>
      </c>
    </row>
    <row r="157" spans="1:6" x14ac:dyDescent="0.25">
      <c r="A157">
        <v>2013</v>
      </c>
      <c r="B157" s="1">
        <v>5</v>
      </c>
      <c r="C157" s="2">
        <v>41395</v>
      </c>
      <c r="D157" s="4">
        <v>2</v>
      </c>
      <c r="E157" s="5">
        <v>3.25</v>
      </c>
      <c r="F157" t="s">
        <v>11</v>
      </c>
    </row>
    <row r="158" spans="1:6" x14ac:dyDescent="0.25">
      <c r="A158">
        <v>2013</v>
      </c>
      <c r="B158" s="1">
        <v>6</v>
      </c>
      <c r="C158" s="2">
        <v>41426</v>
      </c>
      <c r="D158" s="4">
        <v>2.16</v>
      </c>
      <c r="E158" s="5">
        <v>3.25</v>
      </c>
      <c r="F158" t="s">
        <v>11</v>
      </c>
    </row>
    <row r="159" spans="1:6" x14ac:dyDescent="0.25">
      <c r="A159">
        <v>2013</v>
      </c>
      <c r="B159" s="1">
        <v>7</v>
      </c>
      <c r="C159" s="2">
        <v>41456</v>
      </c>
      <c r="D159" s="4">
        <v>2.2200000000000002</v>
      </c>
      <c r="E159" s="5">
        <v>3.25</v>
      </c>
      <c r="F159" t="s">
        <v>11</v>
      </c>
    </row>
    <row r="160" spans="1:6" x14ac:dyDescent="0.25">
      <c r="A160">
        <v>2013</v>
      </c>
      <c r="B160" s="1">
        <v>8</v>
      </c>
      <c r="C160" s="2">
        <v>41487</v>
      </c>
      <c r="D160" s="4">
        <v>2.27</v>
      </c>
      <c r="E160" s="5">
        <v>3.25</v>
      </c>
      <c r="F160" t="s">
        <v>11</v>
      </c>
    </row>
    <row r="161" spans="1:6" x14ac:dyDescent="0.25">
      <c r="A161">
        <v>2013</v>
      </c>
      <c r="B161" s="1">
        <v>9</v>
      </c>
      <c r="C161" s="2">
        <v>41518</v>
      </c>
      <c r="D161" s="4">
        <v>2.27</v>
      </c>
      <c r="E161" s="5">
        <v>3.25</v>
      </c>
      <c r="F161" t="s">
        <v>11</v>
      </c>
    </row>
    <row r="162" spans="1:6" x14ac:dyDescent="0.25">
      <c r="A162">
        <v>2013</v>
      </c>
      <c r="B162" s="1">
        <v>10</v>
      </c>
      <c r="C162" s="2">
        <v>41548</v>
      </c>
      <c r="D162" s="4">
        <v>1.84</v>
      </c>
      <c r="E162" s="5">
        <v>3.25</v>
      </c>
      <c r="F162" t="s">
        <v>11</v>
      </c>
    </row>
    <row r="163" spans="1:6" x14ac:dyDescent="0.25">
      <c r="A163">
        <v>2013</v>
      </c>
      <c r="B163" s="1">
        <v>11</v>
      </c>
      <c r="C163" s="2">
        <v>41579</v>
      </c>
      <c r="D163" s="4">
        <v>1.76</v>
      </c>
      <c r="E163" s="5">
        <v>3.25</v>
      </c>
      <c r="F163" t="s">
        <v>11</v>
      </c>
    </row>
    <row r="164" spans="1:6" x14ac:dyDescent="0.25">
      <c r="A164">
        <v>2013</v>
      </c>
      <c r="B164" s="1">
        <v>12</v>
      </c>
      <c r="C164" s="2">
        <v>41609</v>
      </c>
      <c r="D164" s="4">
        <v>1.94</v>
      </c>
      <c r="E164" s="5">
        <v>3.25</v>
      </c>
      <c r="F164" t="s">
        <v>11</v>
      </c>
    </row>
    <row r="165" spans="1:6" x14ac:dyDescent="0.25">
      <c r="A165">
        <v>2014</v>
      </c>
      <c r="B165" s="1">
        <v>1</v>
      </c>
      <c r="C165" s="2">
        <v>41640</v>
      </c>
      <c r="D165" s="4">
        <v>2.13</v>
      </c>
      <c r="E165" s="5">
        <v>3.25</v>
      </c>
      <c r="F165" t="s">
        <v>12</v>
      </c>
    </row>
    <row r="166" spans="1:6" x14ac:dyDescent="0.25">
      <c r="A166">
        <v>2014</v>
      </c>
      <c r="B166" s="1">
        <v>2</v>
      </c>
      <c r="C166" s="2">
        <v>41671</v>
      </c>
      <c r="D166" s="4">
        <v>2.3199999999999998</v>
      </c>
      <c r="E166" s="5">
        <v>3.25</v>
      </c>
      <c r="F166" t="s">
        <v>12</v>
      </c>
    </row>
    <row r="167" spans="1:6" x14ac:dyDescent="0.25">
      <c r="A167">
        <v>2014</v>
      </c>
      <c r="B167" s="1">
        <v>3</v>
      </c>
      <c r="C167" s="2">
        <v>41699</v>
      </c>
      <c r="D167" s="4">
        <v>2.5099999999999998</v>
      </c>
      <c r="E167" s="5">
        <v>3.25</v>
      </c>
      <c r="F167" t="s">
        <v>12</v>
      </c>
    </row>
    <row r="168" spans="1:6" x14ac:dyDescent="0.25">
      <c r="A168">
        <v>2014</v>
      </c>
      <c r="B168" s="1">
        <v>4</v>
      </c>
      <c r="C168" s="2">
        <v>41730</v>
      </c>
      <c r="D168" s="4">
        <v>2.72</v>
      </c>
      <c r="E168" s="5">
        <v>3.25</v>
      </c>
      <c r="F168" t="s">
        <v>12</v>
      </c>
    </row>
    <row r="169" spans="1:6" x14ac:dyDescent="0.25">
      <c r="A169">
        <v>2014</v>
      </c>
      <c r="B169" s="1">
        <v>5</v>
      </c>
      <c r="C169" s="2">
        <v>41760</v>
      </c>
      <c r="D169" s="4">
        <v>2.93</v>
      </c>
      <c r="E169" s="5">
        <v>3.5</v>
      </c>
      <c r="F169" t="s">
        <v>12</v>
      </c>
    </row>
    <row r="170" spans="1:6" x14ac:dyDescent="0.25">
      <c r="A170">
        <v>2014</v>
      </c>
      <c r="B170" s="1">
        <v>6</v>
      </c>
      <c r="C170" s="2">
        <v>41791</v>
      </c>
      <c r="D170" s="4">
        <v>2.79</v>
      </c>
      <c r="E170" s="5">
        <v>3.5</v>
      </c>
      <c r="F170" t="s">
        <v>12</v>
      </c>
    </row>
    <row r="171" spans="1:6" x14ac:dyDescent="0.25">
      <c r="A171">
        <v>2014</v>
      </c>
      <c r="B171" s="1">
        <v>7</v>
      </c>
      <c r="C171" s="2">
        <v>41821</v>
      </c>
      <c r="D171" s="4">
        <v>2.89</v>
      </c>
      <c r="E171" s="5">
        <v>4</v>
      </c>
      <c r="F171" t="s">
        <v>12</v>
      </c>
    </row>
    <row r="172" spans="1:6" x14ac:dyDescent="0.25">
      <c r="A172">
        <v>2014</v>
      </c>
      <c r="B172" s="1">
        <v>8</v>
      </c>
      <c r="C172" s="2">
        <v>41852</v>
      </c>
      <c r="D172" s="4">
        <v>3.02</v>
      </c>
      <c r="E172" s="5">
        <v>4.25</v>
      </c>
      <c r="F172" t="s">
        <v>12</v>
      </c>
    </row>
    <row r="173" spans="1:6" x14ac:dyDescent="0.25">
      <c r="A173">
        <v>2014</v>
      </c>
      <c r="B173" s="1">
        <v>9</v>
      </c>
      <c r="C173" s="2">
        <v>41883</v>
      </c>
      <c r="D173" s="4">
        <v>2.86</v>
      </c>
      <c r="E173" s="5">
        <v>4.5</v>
      </c>
      <c r="F173" t="s">
        <v>12</v>
      </c>
    </row>
    <row r="174" spans="1:6" x14ac:dyDescent="0.25">
      <c r="A174">
        <v>2014</v>
      </c>
      <c r="B174" s="1">
        <v>10</v>
      </c>
      <c r="C174" s="2">
        <v>41913</v>
      </c>
      <c r="D174" s="4">
        <v>3.29</v>
      </c>
      <c r="E174" s="5">
        <v>4.5</v>
      </c>
      <c r="F174" t="s">
        <v>12</v>
      </c>
    </row>
    <row r="175" spans="1:6" x14ac:dyDescent="0.25">
      <c r="A175">
        <v>2014</v>
      </c>
      <c r="B175" s="1">
        <v>11</v>
      </c>
      <c r="C175" s="2">
        <v>41944</v>
      </c>
      <c r="D175" s="4">
        <v>3.65</v>
      </c>
      <c r="E175" s="5">
        <v>4.5</v>
      </c>
      <c r="F175" t="s">
        <v>12</v>
      </c>
    </row>
    <row r="176" spans="1:6" x14ac:dyDescent="0.25">
      <c r="A176">
        <v>2014</v>
      </c>
      <c r="B176" s="1">
        <v>12</v>
      </c>
      <c r="C176" s="2">
        <v>41974</v>
      </c>
      <c r="D176" s="4">
        <v>3.66</v>
      </c>
      <c r="E176" s="5">
        <v>4.5</v>
      </c>
      <c r="F176" t="s">
        <v>12</v>
      </c>
    </row>
    <row r="177" spans="1:6" x14ac:dyDescent="0.25">
      <c r="A177">
        <v>2015</v>
      </c>
      <c r="B177" s="1">
        <v>1</v>
      </c>
      <c r="C177" s="2">
        <v>42005</v>
      </c>
      <c r="D177" s="4">
        <v>3.82</v>
      </c>
      <c r="E177" s="5">
        <v>4.5</v>
      </c>
      <c r="F177" t="s">
        <v>12</v>
      </c>
    </row>
    <row r="178" spans="1:6" x14ac:dyDescent="0.25">
      <c r="A178">
        <v>2015</v>
      </c>
      <c r="B178" s="1">
        <v>2</v>
      </c>
      <c r="C178" s="2">
        <v>42036</v>
      </c>
      <c r="D178" s="4">
        <v>4.3600000000000003</v>
      </c>
      <c r="E178" s="5">
        <v>4.5</v>
      </c>
      <c r="F178" t="s">
        <v>12</v>
      </c>
    </row>
    <row r="179" spans="1:6" x14ac:dyDescent="0.25">
      <c r="A179">
        <v>2015</v>
      </c>
      <c r="B179" s="1">
        <v>3</v>
      </c>
      <c r="C179" s="2">
        <v>42064</v>
      </c>
      <c r="D179" s="4">
        <v>4.5599999999999996</v>
      </c>
      <c r="E179" s="5">
        <v>4.5</v>
      </c>
      <c r="F179" t="s">
        <v>12</v>
      </c>
    </row>
    <row r="180" spans="1:6" x14ac:dyDescent="0.25">
      <c r="A180">
        <v>2015</v>
      </c>
      <c r="B180" s="1">
        <v>4</v>
      </c>
      <c r="C180" s="2">
        <v>42095</v>
      </c>
      <c r="D180" s="4">
        <v>4.6399999999999997</v>
      </c>
      <c r="E180" s="5">
        <v>4.5</v>
      </c>
      <c r="F180" t="s">
        <v>12</v>
      </c>
    </row>
    <row r="181" spans="1:6" x14ac:dyDescent="0.25">
      <c r="A181">
        <v>2015</v>
      </c>
      <c r="B181" s="1">
        <v>5</v>
      </c>
      <c r="C181" s="2">
        <v>42125</v>
      </c>
      <c r="D181" s="4">
        <v>4.41</v>
      </c>
      <c r="E181" s="5">
        <v>4.5</v>
      </c>
      <c r="F181" t="s">
        <v>12</v>
      </c>
    </row>
    <row r="182" spans="1:6" x14ac:dyDescent="0.25">
      <c r="A182">
        <v>2015</v>
      </c>
      <c r="B182" s="1">
        <v>6</v>
      </c>
      <c r="C182" s="2">
        <v>42156</v>
      </c>
      <c r="D182" s="4">
        <v>4.42</v>
      </c>
      <c r="E182" s="5">
        <v>4.5</v>
      </c>
      <c r="F182" t="s">
        <v>12</v>
      </c>
    </row>
    <row r="183" spans="1:6" x14ac:dyDescent="0.25">
      <c r="A183">
        <v>2015</v>
      </c>
      <c r="B183" s="1">
        <v>7</v>
      </c>
      <c r="C183" s="2">
        <v>42186</v>
      </c>
      <c r="D183" s="4">
        <v>4.46</v>
      </c>
      <c r="E183" s="5">
        <v>4.5</v>
      </c>
      <c r="F183" t="s">
        <v>12</v>
      </c>
    </row>
    <row r="184" spans="1:6" x14ac:dyDescent="0.25">
      <c r="A184">
        <v>2015</v>
      </c>
      <c r="B184" s="1">
        <v>8</v>
      </c>
      <c r="C184" s="2">
        <v>42217</v>
      </c>
      <c r="D184" s="4">
        <v>4.74</v>
      </c>
      <c r="E184" s="5">
        <v>4.5</v>
      </c>
      <c r="F184" t="s">
        <v>12</v>
      </c>
    </row>
    <row r="185" spans="1:6" x14ac:dyDescent="0.25">
      <c r="A185">
        <v>2015</v>
      </c>
      <c r="B185" s="1">
        <v>9</v>
      </c>
      <c r="C185" s="2">
        <v>42248</v>
      </c>
      <c r="D185" s="4">
        <v>5.35</v>
      </c>
      <c r="E185" s="5">
        <v>4.5</v>
      </c>
      <c r="F185" t="s">
        <v>12</v>
      </c>
    </row>
    <row r="186" spans="1:6" x14ac:dyDescent="0.25">
      <c r="A186">
        <v>2015</v>
      </c>
      <c r="B186" s="1">
        <v>10</v>
      </c>
      <c r="C186" s="2">
        <v>42278</v>
      </c>
      <c r="D186" s="4">
        <v>5.89</v>
      </c>
      <c r="E186" s="5">
        <v>4.75</v>
      </c>
      <c r="F186" t="s">
        <v>12</v>
      </c>
    </row>
    <row r="187" spans="1:6" x14ac:dyDescent="0.25">
      <c r="A187">
        <v>2015</v>
      </c>
      <c r="B187" s="1">
        <v>11</v>
      </c>
      <c r="C187" s="2">
        <v>42309</v>
      </c>
      <c r="D187" s="4">
        <v>6.39</v>
      </c>
      <c r="E187" s="5">
        <v>4.75</v>
      </c>
      <c r="F187" t="s">
        <v>12</v>
      </c>
    </row>
    <row r="188" spans="1:6" x14ac:dyDescent="0.25">
      <c r="A188">
        <v>2015</v>
      </c>
      <c r="B188" s="1">
        <v>12</v>
      </c>
      <c r="C188" s="2">
        <v>42339</v>
      </c>
      <c r="D188" s="4">
        <v>6.77</v>
      </c>
      <c r="E188" s="5">
        <v>5.5</v>
      </c>
      <c r="F188" t="s">
        <v>12</v>
      </c>
    </row>
    <row r="189" spans="1:6" x14ac:dyDescent="0.25">
      <c r="A189">
        <v>2016</v>
      </c>
      <c r="B189" s="1">
        <v>1</v>
      </c>
      <c r="C189" s="2">
        <v>42370</v>
      </c>
      <c r="D189" s="4">
        <v>7.45</v>
      </c>
      <c r="E189" s="5">
        <v>5.75</v>
      </c>
      <c r="F189" t="s">
        <v>12</v>
      </c>
    </row>
    <row r="190" spans="1:6" x14ac:dyDescent="0.25">
      <c r="A190">
        <v>2016</v>
      </c>
      <c r="B190" s="1">
        <v>2</v>
      </c>
      <c r="C190" s="2">
        <v>42401</v>
      </c>
      <c r="D190" s="4">
        <v>7.59</v>
      </c>
      <c r="E190" s="5">
        <v>6</v>
      </c>
      <c r="F190" t="s">
        <v>12</v>
      </c>
    </row>
    <row r="191" spans="1:6" x14ac:dyDescent="0.25">
      <c r="A191">
        <v>2016</v>
      </c>
      <c r="B191" s="1">
        <v>3</v>
      </c>
      <c r="C191" s="2">
        <v>42430</v>
      </c>
      <c r="D191" s="4">
        <v>7.98</v>
      </c>
      <c r="E191" s="5">
        <v>6.25</v>
      </c>
      <c r="F191" t="s">
        <v>12</v>
      </c>
    </row>
    <row r="192" spans="1:6" x14ac:dyDescent="0.25">
      <c r="A192">
        <v>2016</v>
      </c>
      <c r="B192" s="1">
        <v>4</v>
      </c>
      <c r="C192" s="2">
        <v>42461</v>
      </c>
      <c r="D192" s="4">
        <v>7.93</v>
      </c>
      <c r="E192" s="5">
        <v>6.5</v>
      </c>
      <c r="F192" t="s">
        <v>12</v>
      </c>
    </row>
    <row r="193" spans="1:6" x14ac:dyDescent="0.25">
      <c r="A193">
        <v>2016</v>
      </c>
      <c r="B193" s="1">
        <v>5</v>
      </c>
      <c r="C193" s="2">
        <v>42491</v>
      </c>
      <c r="D193" s="4">
        <v>8.1999999999999993</v>
      </c>
      <c r="E193" s="5">
        <v>6.5</v>
      </c>
      <c r="F193" t="s">
        <v>12</v>
      </c>
    </row>
    <row r="194" spans="1:6" x14ac:dyDescent="0.25">
      <c r="A194">
        <v>2016</v>
      </c>
      <c r="B194" s="1">
        <v>6</v>
      </c>
      <c r="C194" s="2">
        <v>42522</v>
      </c>
      <c r="D194" s="4">
        <v>8.6</v>
      </c>
      <c r="E194" s="5">
        <v>7.25</v>
      </c>
      <c r="F194" t="s">
        <v>12</v>
      </c>
    </row>
    <row r="195" spans="1:6" x14ac:dyDescent="0.25">
      <c r="A195">
        <v>2016</v>
      </c>
      <c r="B195" s="1">
        <v>7</v>
      </c>
      <c r="C195" s="2">
        <v>42552</v>
      </c>
      <c r="D195" s="4">
        <v>8.9700000000000006</v>
      </c>
      <c r="E195" s="5">
        <v>7.5</v>
      </c>
      <c r="F195" t="s">
        <v>12</v>
      </c>
    </row>
    <row r="196" spans="1:6" x14ac:dyDescent="0.25">
      <c r="A196">
        <v>2016</v>
      </c>
      <c r="B196" s="1">
        <v>8</v>
      </c>
      <c r="C196" s="2">
        <v>42583</v>
      </c>
      <c r="D196" s="4">
        <v>8.1</v>
      </c>
      <c r="E196" s="5">
        <v>7.75</v>
      </c>
      <c r="F196" t="s">
        <v>13</v>
      </c>
    </row>
    <row r="197" spans="1:6" x14ac:dyDescent="0.25">
      <c r="A197">
        <v>2016</v>
      </c>
      <c r="B197" s="1">
        <v>9</v>
      </c>
      <c r="C197" s="2">
        <v>42614</v>
      </c>
      <c r="D197" s="4">
        <v>7.27</v>
      </c>
      <c r="E197" s="5">
        <v>7.75</v>
      </c>
      <c r="F197" t="s">
        <v>13</v>
      </c>
    </row>
    <row r="198" spans="1:6" x14ac:dyDescent="0.25">
      <c r="A198">
        <v>2016</v>
      </c>
      <c r="B198" s="1">
        <v>10</v>
      </c>
      <c r="C198" s="2">
        <v>42644</v>
      </c>
      <c r="D198" s="4">
        <v>6.48</v>
      </c>
      <c r="E198" s="5">
        <v>7.75</v>
      </c>
      <c r="F198" t="s">
        <v>13</v>
      </c>
    </row>
    <row r="199" spans="1:6" x14ac:dyDescent="0.25">
      <c r="A199">
        <v>2016</v>
      </c>
      <c r="B199" s="1">
        <v>11</v>
      </c>
      <c r="C199" s="2">
        <v>42675</v>
      </c>
      <c r="D199" s="4">
        <v>5.96</v>
      </c>
      <c r="E199" s="5">
        <v>7.75</v>
      </c>
      <c r="F199" t="s">
        <v>13</v>
      </c>
    </row>
    <row r="200" spans="1:6" x14ac:dyDescent="0.25">
      <c r="A200">
        <v>2016</v>
      </c>
      <c r="B200" s="1">
        <v>12</v>
      </c>
      <c r="C200" s="2">
        <v>42705</v>
      </c>
      <c r="D200" s="4">
        <v>5.75</v>
      </c>
      <c r="E200" s="5">
        <v>7.75</v>
      </c>
      <c r="F200" t="s">
        <v>13</v>
      </c>
    </row>
    <row r="201" spans="1:6" x14ac:dyDescent="0.25">
      <c r="A201">
        <v>2017</v>
      </c>
      <c r="B201" s="1">
        <v>1</v>
      </c>
      <c r="C201" s="2">
        <v>42736</v>
      </c>
      <c r="D201" s="4">
        <v>5.47</v>
      </c>
      <c r="E201" s="5">
        <v>7.5</v>
      </c>
      <c r="F201" t="s">
        <v>13</v>
      </c>
    </row>
    <row r="202" spans="1:6" x14ac:dyDescent="0.25">
      <c r="A202">
        <v>2017</v>
      </c>
      <c r="B202" s="1">
        <v>2</v>
      </c>
      <c r="C202" s="2">
        <v>42767</v>
      </c>
      <c r="D202" s="4">
        <v>5.18</v>
      </c>
      <c r="E202" s="5">
        <v>7.5</v>
      </c>
      <c r="F202" t="s">
        <v>13</v>
      </c>
    </row>
    <row r="203" spans="1:6" x14ac:dyDescent="0.25">
      <c r="A203">
        <v>2017</v>
      </c>
      <c r="B203" s="1">
        <v>3</v>
      </c>
      <c r="C203" s="2">
        <v>42795</v>
      </c>
      <c r="D203" s="4">
        <v>4.6900000000000004</v>
      </c>
      <c r="E203" s="5">
        <v>7.25</v>
      </c>
      <c r="F203" t="s">
        <v>13</v>
      </c>
    </row>
    <row r="204" spans="1:6" x14ac:dyDescent="0.25">
      <c r="A204">
        <v>2017</v>
      </c>
      <c r="B204" s="1">
        <v>4</v>
      </c>
      <c r="C204" s="2">
        <v>42826</v>
      </c>
      <c r="D204" s="4">
        <v>4.66</v>
      </c>
      <c r="E204" s="5">
        <v>7</v>
      </c>
      <c r="F204" t="s">
        <v>13</v>
      </c>
    </row>
    <row r="205" spans="1:6" x14ac:dyDescent="0.25">
      <c r="A205">
        <v>2017</v>
      </c>
      <c r="B205" s="1">
        <v>5</v>
      </c>
      <c r="C205" s="2">
        <v>42856</v>
      </c>
      <c r="D205" s="4">
        <v>4.37</v>
      </c>
      <c r="E205" s="5">
        <v>7</v>
      </c>
      <c r="F205" t="s">
        <v>13</v>
      </c>
    </row>
    <row r="206" spans="1:6" x14ac:dyDescent="0.25">
      <c r="A206">
        <v>2017</v>
      </c>
      <c r="B206" s="1">
        <v>6</v>
      </c>
      <c r="C206" s="2">
        <v>42887</v>
      </c>
      <c r="D206" s="4">
        <v>3.99</v>
      </c>
      <c r="E206" s="5">
        <v>6.25</v>
      </c>
      <c r="F206" t="s">
        <v>13</v>
      </c>
    </row>
    <row r="207" spans="1:6" x14ac:dyDescent="0.25">
      <c r="A207">
        <v>2017</v>
      </c>
      <c r="B207" s="1">
        <v>7</v>
      </c>
      <c r="C207" s="2">
        <v>42917</v>
      </c>
      <c r="D207" s="4">
        <v>3.4</v>
      </c>
      <c r="E207" s="5">
        <v>6.25</v>
      </c>
      <c r="F207" t="s">
        <v>13</v>
      </c>
    </row>
    <row r="208" spans="1:6" x14ac:dyDescent="0.25">
      <c r="A208">
        <v>2017</v>
      </c>
      <c r="B208" s="1">
        <v>8</v>
      </c>
      <c r="C208" s="2">
        <v>42948</v>
      </c>
      <c r="D208" s="4">
        <v>3.87</v>
      </c>
      <c r="E208" s="5">
        <v>5.5</v>
      </c>
      <c r="F208" t="s">
        <v>13</v>
      </c>
    </row>
    <row r="209" spans="1:6" x14ac:dyDescent="0.25">
      <c r="A209">
        <v>2017</v>
      </c>
      <c r="B209" s="1">
        <v>9</v>
      </c>
      <c r="C209" s="2">
        <v>42979</v>
      </c>
      <c r="D209" s="4">
        <v>3.97</v>
      </c>
      <c r="E209" s="5">
        <v>5.25</v>
      </c>
      <c r="F209" t="s">
        <v>13</v>
      </c>
    </row>
    <row r="210" spans="1:6" x14ac:dyDescent="0.25">
      <c r="A210">
        <v>2017</v>
      </c>
      <c r="B210" s="1">
        <v>10</v>
      </c>
      <c r="C210" s="2">
        <v>43009</v>
      </c>
      <c r="D210" s="4">
        <v>4.05</v>
      </c>
      <c r="E210" s="5">
        <v>5.25</v>
      </c>
      <c r="F210" t="s">
        <v>13</v>
      </c>
    </row>
    <row r="211" spans="1:6" x14ac:dyDescent="0.25">
      <c r="A211">
        <v>2017</v>
      </c>
      <c r="B211" s="1">
        <v>11</v>
      </c>
      <c r="C211" s="2">
        <v>43040</v>
      </c>
      <c r="D211" s="4">
        <v>4.12</v>
      </c>
      <c r="E211" s="5">
        <v>5</v>
      </c>
      <c r="F211" t="s">
        <v>13</v>
      </c>
    </row>
    <row r="212" spans="1:6" x14ac:dyDescent="0.25">
      <c r="A212">
        <v>2017</v>
      </c>
      <c r="B212" s="1">
        <v>12</v>
      </c>
      <c r="C212" s="2">
        <v>43070</v>
      </c>
      <c r="D212" s="4">
        <v>4.09</v>
      </c>
      <c r="E212" s="5">
        <v>4.75</v>
      </c>
      <c r="F212" t="s">
        <v>13</v>
      </c>
    </row>
    <row r="213" spans="1:6" x14ac:dyDescent="0.25">
      <c r="A213">
        <v>2018</v>
      </c>
      <c r="B213" s="1">
        <v>1</v>
      </c>
      <c r="C213" s="2">
        <v>43101</v>
      </c>
      <c r="D213" s="4">
        <v>3.68</v>
      </c>
      <c r="E213" s="5">
        <v>4.75</v>
      </c>
      <c r="F213" t="s">
        <v>13</v>
      </c>
    </row>
    <row r="214" spans="1:6" x14ac:dyDescent="0.25">
      <c r="A214">
        <v>2018</v>
      </c>
      <c r="B214" s="1">
        <v>2</v>
      </c>
      <c r="C214" s="2">
        <v>43132</v>
      </c>
      <c r="D214" s="4">
        <v>3.37</v>
      </c>
      <c r="E214" s="5">
        <v>4.5</v>
      </c>
      <c r="F214" t="s">
        <v>13</v>
      </c>
    </row>
    <row r="215" spans="1:6" x14ac:dyDescent="0.25">
      <c r="A215">
        <v>2018</v>
      </c>
      <c r="B215" s="1">
        <v>3</v>
      </c>
      <c r="C215" s="2">
        <v>43160</v>
      </c>
      <c r="D215" s="4">
        <v>3.14</v>
      </c>
      <c r="E215" s="5">
        <v>4.5</v>
      </c>
      <c r="F215" t="s">
        <v>13</v>
      </c>
    </row>
    <row r="216" spans="1:6" x14ac:dyDescent="0.25">
      <c r="A216">
        <v>2018</v>
      </c>
      <c r="B216" s="1">
        <v>4</v>
      </c>
      <c r="C216" s="2">
        <v>43191</v>
      </c>
      <c r="D216" s="4">
        <v>3.13</v>
      </c>
      <c r="E216" s="5">
        <v>4.5</v>
      </c>
      <c r="F216" t="s">
        <v>13</v>
      </c>
    </row>
    <row r="217" spans="1:6" x14ac:dyDescent="0.25">
      <c r="A217">
        <v>2018</v>
      </c>
      <c r="B217" s="1">
        <v>5</v>
      </c>
      <c r="C217" s="2">
        <v>43221</v>
      </c>
      <c r="D217" s="4">
        <v>3.16</v>
      </c>
      <c r="E217" s="5">
        <v>4.25</v>
      </c>
      <c r="F217" t="s">
        <v>13</v>
      </c>
    </row>
    <row r="218" spans="1:6" x14ac:dyDescent="0.25">
      <c r="A218">
        <v>2018</v>
      </c>
      <c r="B218" s="1">
        <v>6</v>
      </c>
      <c r="C218" s="2">
        <v>43252</v>
      </c>
      <c r="D218" s="4">
        <v>3.2</v>
      </c>
      <c r="E218" s="5">
        <v>4.25</v>
      </c>
      <c r="F218" t="s">
        <v>13</v>
      </c>
    </row>
    <row r="219" spans="1:6" x14ac:dyDescent="0.25">
      <c r="A219">
        <v>2018</v>
      </c>
      <c r="B219" s="1">
        <v>7</v>
      </c>
      <c r="C219" s="2">
        <v>43282</v>
      </c>
      <c r="D219" s="4">
        <v>3.12</v>
      </c>
      <c r="E219" s="5">
        <v>4.25</v>
      </c>
      <c r="F219" t="s">
        <v>13</v>
      </c>
    </row>
    <row r="220" spans="1:6" x14ac:dyDescent="0.25">
      <c r="A220">
        <v>2018</v>
      </c>
      <c r="B220" s="1">
        <v>8</v>
      </c>
      <c r="C220" s="2">
        <v>43313</v>
      </c>
      <c r="D220" s="4">
        <v>3.1</v>
      </c>
      <c r="E220" s="5">
        <v>4.25</v>
      </c>
      <c r="F220" t="s">
        <v>13</v>
      </c>
    </row>
    <row r="221" spans="1:6" x14ac:dyDescent="0.25">
      <c r="A221">
        <v>2018</v>
      </c>
      <c r="B221" s="1">
        <v>9</v>
      </c>
      <c r="C221" s="2">
        <v>43344</v>
      </c>
      <c r="D221" s="4">
        <v>3.23</v>
      </c>
      <c r="E221" s="5">
        <v>4.25</v>
      </c>
      <c r="F221" t="s">
        <v>13</v>
      </c>
    </row>
    <row r="222" spans="1:6" x14ac:dyDescent="0.25">
      <c r="A222">
        <v>2018</v>
      </c>
      <c r="B222" s="1">
        <v>10</v>
      </c>
      <c r="C222" s="2">
        <v>43374</v>
      </c>
      <c r="D222" s="4">
        <v>3.33</v>
      </c>
      <c r="E222" s="5">
        <v>4.25</v>
      </c>
      <c r="F222" t="s">
        <v>13</v>
      </c>
    </row>
    <row r="223" spans="1:6" x14ac:dyDescent="0.25">
      <c r="A223">
        <v>2018</v>
      </c>
      <c r="B223" s="1">
        <v>11</v>
      </c>
      <c r="C223" s="2">
        <v>43405</v>
      </c>
      <c r="D223" s="4">
        <v>3.27</v>
      </c>
      <c r="E223" s="5">
        <v>4.25</v>
      </c>
      <c r="F223" t="s">
        <v>13</v>
      </c>
    </row>
    <row r="224" spans="1:6" x14ac:dyDescent="0.25">
      <c r="A224">
        <v>2018</v>
      </c>
      <c r="B224" s="1">
        <v>12</v>
      </c>
      <c r="C224" s="2">
        <v>43435</v>
      </c>
      <c r="D224" s="4">
        <v>3.18</v>
      </c>
      <c r="E224" s="5">
        <v>4.25</v>
      </c>
      <c r="F224" t="s">
        <v>13</v>
      </c>
    </row>
    <row r="225" spans="1:6" x14ac:dyDescent="0.25">
      <c r="A225">
        <v>2019</v>
      </c>
      <c r="B225" s="1">
        <v>1</v>
      </c>
      <c r="C225" s="2">
        <v>43466</v>
      </c>
      <c r="D225" s="4">
        <v>3.15</v>
      </c>
      <c r="E225" s="5">
        <v>4.25</v>
      </c>
      <c r="F225" t="s">
        <v>13</v>
      </c>
    </row>
    <row r="226" spans="1:6" x14ac:dyDescent="0.25">
      <c r="A226">
        <v>2019</v>
      </c>
      <c r="B226" s="1">
        <v>2</v>
      </c>
      <c r="C226" s="2">
        <v>43497</v>
      </c>
      <c r="D226" s="4">
        <v>3.01</v>
      </c>
      <c r="E226" s="5">
        <v>4.25</v>
      </c>
      <c r="F226" t="s">
        <v>13</v>
      </c>
    </row>
    <row r="227" spans="1:6" x14ac:dyDescent="0.25">
      <c r="A227">
        <v>2019</v>
      </c>
      <c r="B227" s="1">
        <v>3</v>
      </c>
      <c r="C227" s="2">
        <v>43525</v>
      </c>
      <c r="D227" s="4">
        <v>3.21</v>
      </c>
      <c r="E227" s="5">
        <v>4.25</v>
      </c>
      <c r="F227" t="s">
        <v>13</v>
      </c>
    </row>
    <row r="228" spans="1:6" x14ac:dyDescent="0.25">
      <c r="A228">
        <v>2019</v>
      </c>
      <c r="B228" s="1">
        <v>4</v>
      </c>
      <c r="C228" s="2">
        <v>43556</v>
      </c>
      <c r="D228" s="4">
        <v>3.25</v>
      </c>
      <c r="E228" s="5">
        <v>4.25</v>
      </c>
      <c r="F228" t="s">
        <v>13</v>
      </c>
    </row>
    <row r="229" spans="1:6" x14ac:dyDescent="0.25">
      <c r="A229">
        <v>2019</v>
      </c>
      <c r="B229" s="1">
        <v>5</v>
      </c>
      <c r="C229" s="2">
        <v>43586</v>
      </c>
      <c r="D229" s="4">
        <v>3.31</v>
      </c>
      <c r="E229" s="5">
        <v>4.25</v>
      </c>
      <c r="F229" t="s">
        <v>13</v>
      </c>
    </row>
    <row r="230" spans="1:6" x14ac:dyDescent="0.25">
      <c r="A230">
        <v>2019</v>
      </c>
      <c r="B230" s="1">
        <v>6</v>
      </c>
      <c r="C230" s="2">
        <v>43617</v>
      </c>
      <c r="D230" s="4">
        <v>3.43</v>
      </c>
      <c r="E230" s="5">
        <v>4.25</v>
      </c>
      <c r="F230" t="s">
        <v>13</v>
      </c>
    </row>
    <row r="231" spans="1:6" x14ac:dyDescent="0.25">
      <c r="A231">
        <v>2019</v>
      </c>
      <c r="B231" s="1">
        <v>7</v>
      </c>
      <c r="C231" s="2">
        <v>43647</v>
      </c>
      <c r="D231" s="4">
        <v>3.79</v>
      </c>
      <c r="E231" s="5">
        <v>4.25</v>
      </c>
      <c r="F231" t="s">
        <v>13</v>
      </c>
    </row>
    <row r="232" spans="1:6" x14ac:dyDescent="0.25">
      <c r="A232">
        <v>2019</v>
      </c>
      <c r="B232" s="1">
        <v>8</v>
      </c>
      <c r="C232" s="2">
        <v>43678</v>
      </c>
      <c r="D232" s="4">
        <v>3.75</v>
      </c>
      <c r="E232" s="5">
        <v>4.25</v>
      </c>
      <c r="F232" t="s">
        <v>13</v>
      </c>
    </row>
    <row r="233" spans="1:6" x14ac:dyDescent="0.25">
      <c r="A233">
        <v>2019</v>
      </c>
      <c r="B233" s="1">
        <v>9</v>
      </c>
      <c r="C233" s="2">
        <v>43709</v>
      </c>
      <c r="D233" s="4">
        <v>3.82</v>
      </c>
      <c r="E233" s="5">
        <v>4.25</v>
      </c>
      <c r="F233" t="s">
        <v>13</v>
      </c>
    </row>
    <row r="234" spans="1:6" x14ac:dyDescent="0.25">
      <c r="A234">
        <v>2019</v>
      </c>
      <c r="B234" s="1">
        <v>10</v>
      </c>
      <c r="C234" s="2">
        <v>43739</v>
      </c>
      <c r="D234" s="4">
        <v>3.86</v>
      </c>
      <c r="E234" s="5">
        <v>4.25</v>
      </c>
      <c r="F234" t="s">
        <v>13</v>
      </c>
    </row>
    <row r="235" spans="1:6" x14ac:dyDescent="0.25">
      <c r="A235">
        <v>2019</v>
      </c>
      <c r="B235" s="1">
        <v>11</v>
      </c>
      <c r="C235" s="2">
        <v>43770</v>
      </c>
      <c r="D235" s="4">
        <v>3.84</v>
      </c>
      <c r="E235" s="5">
        <v>4.25</v>
      </c>
      <c r="F235" t="s">
        <v>13</v>
      </c>
    </row>
    <row r="236" spans="1:6" x14ac:dyDescent="0.25">
      <c r="A236">
        <v>2019</v>
      </c>
      <c r="B236" s="1">
        <v>12</v>
      </c>
      <c r="C236" s="2">
        <v>43800</v>
      </c>
      <c r="D236" s="4">
        <v>3.8</v>
      </c>
      <c r="E236" s="5">
        <v>4.25</v>
      </c>
      <c r="F236" t="s">
        <v>13</v>
      </c>
    </row>
    <row r="237" spans="1:6" x14ac:dyDescent="0.25">
      <c r="A237">
        <v>2020</v>
      </c>
      <c r="B237" s="1">
        <v>1</v>
      </c>
      <c r="C237" s="2">
        <v>43831</v>
      </c>
      <c r="D237" s="4">
        <v>3.62</v>
      </c>
      <c r="E237" s="5">
        <v>4.25</v>
      </c>
      <c r="F237" t="s">
        <v>13</v>
      </c>
    </row>
    <row r="238" spans="1:6" x14ac:dyDescent="0.25">
      <c r="A238">
        <v>2020</v>
      </c>
      <c r="B238" s="1">
        <v>2</v>
      </c>
      <c r="C238" s="2">
        <v>43862</v>
      </c>
      <c r="D238" s="4">
        <v>3.72</v>
      </c>
      <c r="E238" s="5">
        <v>4.25</v>
      </c>
      <c r="F238" t="s">
        <v>13</v>
      </c>
    </row>
    <row r="239" spans="1:6" x14ac:dyDescent="0.25">
      <c r="A239">
        <v>2020</v>
      </c>
      <c r="B239" s="1">
        <v>3</v>
      </c>
      <c r="C239" s="2">
        <v>43891</v>
      </c>
      <c r="D239" s="4">
        <v>3.86</v>
      </c>
      <c r="E239" s="5">
        <v>4.25</v>
      </c>
      <c r="F239" t="s">
        <v>13</v>
      </c>
    </row>
    <row r="240" spans="1:6" x14ac:dyDescent="0.25">
      <c r="A240">
        <v>2020</v>
      </c>
      <c r="B240" s="1">
        <v>4</v>
      </c>
      <c r="C240" s="2">
        <v>43922</v>
      </c>
      <c r="D240" s="4">
        <v>3.51</v>
      </c>
      <c r="E240" s="5">
        <v>3.75</v>
      </c>
      <c r="F240" t="s">
        <v>13</v>
      </c>
    </row>
    <row r="241" spans="1:6" x14ac:dyDescent="0.25">
      <c r="A241">
        <v>2020</v>
      </c>
      <c r="B241" s="1">
        <v>5</v>
      </c>
      <c r="C241" s="2">
        <v>43952</v>
      </c>
      <c r="D241" s="4">
        <v>2.85</v>
      </c>
      <c r="E241" s="5">
        <v>3.75</v>
      </c>
      <c r="F241" t="s">
        <v>13</v>
      </c>
    </row>
    <row r="242" spans="1:6" x14ac:dyDescent="0.25">
      <c r="A242">
        <v>2020</v>
      </c>
      <c r="B242" s="1">
        <v>6</v>
      </c>
      <c r="C242" s="2">
        <v>43983</v>
      </c>
      <c r="D242" s="4">
        <v>2.19</v>
      </c>
      <c r="E242" s="5">
        <v>2.75</v>
      </c>
      <c r="F242" t="s">
        <v>13</v>
      </c>
    </row>
    <row r="243" spans="1:6" x14ac:dyDescent="0.25">
      <c r="A243">
        <v>2020</v>
      </c>
      <c r="B243" s="1">
        <v>7</v>
      </c>
      <c r="C243" s="2">
        <v>44013</v>
      </c>
      <c r="D243" s="4">
        <v>1.97</v>
      </c>
      <c r="E243" s="5">
        <v>2.5</v>
      </c>
      <c r="F243" t="s">
        <v>13</v>
      </c>
    </row>
    <row r="244" spans="1:6" x14ac:dyDescent="0.25">
      <c r="A244">
        <v>2020</v>
      </c>
      <c r="B244" s="1">
        <v>8</v>
      </c>
      <c r="C244" s="2">
        <v>44044</v>
      </c>
      <c r="D244" s="4">
        <v>1.88</v>
      </c>
      <c r="E244" s="5">
        <v>2.5</v>
      </c>
      <c r="F244" t="s">
        <v>13</v>
      </c>
    </row>
    <row r="245" spans="1:6" x14ac:dyDescent="0.25">
      <c r="A245">
        <v>2020</v>
      </c>
      <c r="B245" s="1">
        <v>9</v>
      </c>
      <c r="C245" s="2">
        <v>44075</v>
      </c>
      <c r="D245" s="4">
        <v>1.97</v>
      </c>
      <c r="E245" s="5">
        <v>2</v>
      </c>
      <c r="F245" t="s">
        <v>13</v>
      </c>
    </row>
    <row r="246" spans="1:6" x14ac:dyDescent="0.25">
      <c r="A246">
        <v>2020</v>
      </c>
      <c r="B246" s="1">
        <v>10</v>
      </c>
      <c r="C246" s="2">
        <v>44105</v>
      </c>
      <c r="D246" s="4">
        <v>1.75</v>
      </c>
      <c r="E246" s="5">
        <v>1.75</v>
      </c>
      <c r="F246" t="s">
        <v>13</v>
      </c>
    </row>
    <row r="247" spans="1:6" x14ac:dyDescent="0.25">
      <c r="A247">
        <v>2020</v>
      </c>
      <c r="B247" s="1">
        <v>11</v>
      </c>
      <c r="C247" s="2">
        <v>44136</v>
      </c>
      <c r="D247" s="4">
        <v>1.49</v>
      </c>
      <c r="E247" s="5">
        <v>1.75</v>
      </c>
      <c r="F247" t="s">
        <v>13</v>
      </c>
    </row>
    <row r="248" spans="1:6" x14ac:dyDescent="0.25">
      <c r="A248">
        <v>2020</v>
      </c>
      <c r="B248" s="1">
        <v>12</v>
      </c>
      <c r="C248" s="2">
        <v>44166</v>
      </c>
      <c r="D248" s="4">
        <v>1.61</v>
      </c>
      <c r="E248" s="5">
        <v>1.75</v>
      </c>
      <c r="F248" t="s">
        <v>13</v>
      </c>
    </row>
    <row r="249" spans="1:6" x14ac:dyDescent="0.25">
      <c r="A249">
        <v>2021</v>
      </c>
      <c r="B249" s="1">
        <v>1</v>
      </c>
      <c r="C249" s="2">
        <v>44197</v>
      </c>
      <c r="D249" s="4">
        <v>1.6</v>
      </c>
      <c r="E249" s="5">
        <v>1.75</v>
      </c>
      <c r="F249" t="s">
        <v>13</v>
      </c>
    </row>
    <row r="250" spans="1:6" x14ac:dyDescent="0.25">
      <c r="A250">
        <v>2021</v>
      </c>
      <c r="B250" s="1">
        <v>2</v>
      </c>
      <c r="C250" s="2">
        <v>44228</v>
      </c>
      <c r="D250" s="4">
        <v>1.56</v>
      </c>
      <c r="E250" s="5">
        <v>1.75</v>
      </c>
      <c r="F250" t="s">
        <v>13</v>
      </c>
    </row>
    <row r="251" spans="1:6" x14ac:dyDescent="0.25">
      <c r="A251">
        <v>2021</v>
      </c>
      <c r="B251" s="1">
        <v>3</v>
      </c>
      <c r="C251" s="2">
        <v>44256</v>
      </c>
      <c r="D251" s="4">
        <v>1.51</v>
      </c>
      <c r="E251" s="5">
        <v>1.75</v>
      </c>
      <c r="F251" t="s">
        <v>13</v>
      </c>
    </row>
    <row r="252" spans="1:6" x14ac:dyDescent="0.25">
      <c r="A252">
        <v>2021</v>
      </c>
      <c r="B252" s="1">
        <v>4</v>
      </c>
      <c r="C252" s="2">
        <v>44287</v>
      </c>
      <c r="D252" s="4">
        <v>1.95</v>
      </c>
      <c r="E252" s="5">
        <v>1.75</v>
      </c>
      <c r="F252" t="s">
        <v>13</v>
      </c>
    </row>
    <row r="253" spans="1:6" x14ac:dyDescent="0.25">
      <c r="A253">
        <v>2021</v>
      </c>
      <c r="B253" s="1">
        <v>5</v>
      </c>
      <c r="C253" s="2">
        <v>44317</v>
      </c>
      <c r="D253" s="4">
        <v>3.3</v>
      </c>
      <c r="E253" s="5">
        <v>1.75</v>
      </c>
      <c r="F253" t="s">
        <v>14</v>
      </c>
    </row>
    <row r="254" spans="1:6" x14ac:dyDescent="0.25">
      <c r="A254">
        <v>2021</v>
      </c>
      <c r="B254" s="1">
        <v>6</v>
      </c>
      <c r="C254" s="2">
        <v>44348</v>
      </c>
      <c r="D254" s="4">
        <v>3.63</v>
      </c>
      <c r="E254" s="5">
        <v>1.75</v>
      </c>
      <c r="F254" t="s">
        <v>14</v>
      </c>
    </row>
    <row r="255" spans="1:6" x14ac:dyDescent="0.25">
      <c r="A255">
        <v>2021</v>
      </c>
      <c r="B255" s="1">
        <v>7</v>
      </c>
      <c r="C255" s="2">
        <v>44378</v>
      </c>
      <c r="D255" s="4">
        <v>3.97</v>
      </c>
      <c r="E255" s="5">
        <v>1.75</v>
      </c>
      <c r="F255" t="s">
        <v>14</v>
      </c>
    </row>
    <row r="256" spans="1:6" x14ac:dyDescent="0.25">
      <c r="A256">
        <v>2021</v>
      </c>
      <c r="B256" s="1">
        <v>8</v>
      </c>
      <c r="C256" s="2">
        <v>44409</v>
      </c>
      <c r="D256" s="4">
        <v>4.4400000000000004</v>
      </c>
      <c r="E256" s="5">
        <v>1.75</v>
      </c>
      <c r="F256" t="s">
        <v>14</v>
      </c>
    </row>
    <row r="257" spans="1:6" x14ac:dyDescent="0.25">
      <c r="A257">
        <v>2021</v>
      </c>
      <c r="B257" s="1">
        <v>9</v>
      </c>
      <c r="C257" s="2">
        <v>44440</v>
      </c>
      <c r="D257" s="4">
        <v>4.51</v>
      </c>
      <c r="E257" s="5">
        <v>1.75</v>
      </c>
      <c r="F257" t="s">
        <v>14</v>
      </c>
    </row>
    <row r="258" spans="1:6" x14ac:dyDescent="0.25">
      <c r="A258">
        <v>2021</v>
      </c>
      <c r="B258" s="1">
        <v>10</v>
      </c>
      <c r="C258" s="2">
        <v>44470</v>
      </c>
      <c r="D258" s="4">
        <v>4.58</v>
      </c>
      <c r="E258" s="5">
        <v>2</v>
      </c>
      <c r="F258" t="s">
        <v>14</v>
      </c>
    </row>
    <row r="259" spans="1:6" x14ac:dyDescent="0.25">
      <c r="A259">
        <v>2021</v>
      </c>
      <c r="B259" s="1">
        <v>11</v>
      </c>
      <c r="C259" s="2">
        <v>44501</v>
      </c>
      <c r="D259" s="4">
        <v>5.26</v>
      </c>
      <c r="E259" s="5">
        <v>2</v>
      </c>
      <c r="F259" t="s">
        <v>14</v>
      </c>
    </row>
    <row r="260" spans="1:6" x14ac:dyDescent="0.25">
      <c r="A260">
        <v>2021</v>
      </c>
      <c r="B260" s="1">
        <v>12</v>
      </c>
      <c r="C260" s="2">
        <v>44531</v>
      </c>
      <c r="D260" s="4">
        <v>5.62</v>
      </c>
      <c r="E260" s="5">
        <v>2.5</v>
      </c>
      <c r="F260" t="s">
        <v>14</v>
      </c>
    </row>
    <row r="261" spans="1:6" x14ac:dyDescent="0.25">
      <c r="A261">
        <v>2022</v>
      </c>
      <c r="B261" s="1">
        <v>1</v>
      </c>
      <c r="C261" s="2">
        <v>44562</v>
      </c>
      <c r="D261" s="4">
        <v>6.94</v>
      </c>
      <c r="E261" s="5">
        <v>3</v>
      </c>
      <c r="F261" t="s">
        <v>14</v>
      </c>
    </row>
    <row r="262" spans="1:6" x14ac:dyDescent="0.25">
      <c r="A262">
        <v>2022</v>
      </c>
      <c r="B262" s="1">
        <v>2</v>
      </c>
      <c r="C262" s="2">
        <v>44593</v>
      </c>
      <c r="D262" s="4">
        <v>8.01</v>
      </c>
      <c r="E262" s="5">
        <v>4</v>
      </c>
      <c r="F262" t="s">
        <v>14</v>
      </c>
    </row>
    <row r="263" spans="1:6" x14ac:dyDescent="0.25">
      <c r="A263">
        <v>2022</v>
      </c>
      <c r="B263" s="1">
        <v>3</v>
      </c>
      <c r="C263" s="2">
        <v>44621</v>
      </c>
      <c r="D263" s="4">
        <v>8.5299999999999994</v>
      </c>
      <c r="E263" s="5">
        <v>4</v>
      </c>
      <c r="F263" t="s">
        <v>14</v>
      </c>
    </row>
    <row r="264" spans="1:6" x14ac:dyDescent="0.25">
      <c r="A264">
        <v>2022</v>
      </c>
      <c r="B264" s="1">
        <v>4</v>
      </c>
      <c r="C264" s="2">
        <v>44652</v>
      </c>
      <c r="D264" s="4">
        <v>9.23</v>
      </c>
      <c r="E264" s="5">
        <v>5</v>
      </c>
      <c r="F264" t="s">
        <v>14</v>
      </c>
    </row>
    <row r="265" spans="1:6" x14ac:dyDescent="0.25">
      <c r="A265">
        <v>2022</v>
      </c>
      <c r="B265" s="1">
        <v>5</v>
      </c>
      <c r="C265" s="2">
        <v>44682</v>
      </c>
      <c r="D265" s="4">
        <v>9.07</v>
      </c>
      <c r="E265" s="5">
        <v>5</v>
      </c>
      <c r="F265" t="s">
        <v>14</v>
      </c>
    </row>
    <row r="266" spans="1:6" x14ac:dyDescent="0.25">
      <c r="A266">
        <v>2022</v>
      </c>
      <c r="B266" s="1">
        <v>6</v>
      </c>
      <c r="C266" s="2">
        <v>44713</v>
      </c>
      <c r="D266" s="4">
        <v>9.67</v>
      </c>
      <c r="E266" s="5">
        <v>6</v>
      </c>
      <c r="F266" t="s">
        <v>14</v>
      </c>
    </row>
    <row r="267" spans="1:6" x14ac:dyDescent="0.25">
      <c r="A267">
        <v>2022</v>
      </c>
      <c r="B267" s="1">
        <v>7</v>
      </c>
      <c r="C267" s="2">
        <v>44743</v>
      </c>
      <c r="D267" s="4">
        <v>10.210000000000001</v>
      </c>
      <c r="E267" s="5">
        <v>7.5</v>
      </c>
      <c r="F267" t="s">
        <v>14</v>
      </c>
    </row>
    <row r="268" spans="1:6" x14ac:dyDescent="0.25">
      <c r="A268">
        <v>2022</v>
      </c>
      <c r="B268" s="1">
        <v>8</v>
      </c>
      <c r="C268" s="2">
        <v>44774</v>
      </c>
      <c r="D268" s="4">
        <v>10.84</v>
      </c>
      <c r="E268" s="5">
        <v>9</v>
      </c>
      <c r="F268" t="s">
        <v>14</v>
      </c>
    </row>
    <row r="269" spans="1:6" x14ac:dyDescent="0.25">
      <c r="A269">
        <v>2022</v>
      </c>
      <c r="B269" s="1">
        <v>9</v>
      </c>
      <c r="C269" s="2">
        <v>44805</v>
      </c>
      <c r="D269" s="4">
        <v>11.44</v>
      </c>
      <c r="E269" s="5">
        <v>9</v>
      </c>
      <c r="F269" t="s">
        <v>14</v>
      </c>
    </row>
    <row r="270" spans="1:6" x14ac:dyDescent="0.25">
      <c r="A270">
        <v>2022</v>
      </c>
      <c r="B270" s="1">
        <v>10</v>
      </c>
      <c r="C270" s="2">
        <v>44835</v>
      </c>
      <c r="D270" s="4">
        <v>12.22</v>
      </c>
      <c r="E270" s="5">
        <v>10</v>
      </c>
      <c r="F270" t="s">
        <v>14</v>
      </c>
    </row>
    <row r="271" spans="1:6" x14ac:dyDescent="0.25">
      <c r="A271">
        <v>2022</v>
      </c>
      <c r="B271" s="1">
        <v>11</v>
      </c>
      <c r="C271" s="2">
        <v>44866</v>
      </c>
      <c r="D271" s="4">
        <v>12.53</v>
      </c>
      <c r="E271" s="5">
        <v>11</v>
      </c>
      <c r="F271" t="s">
        <v>14</v>
      </c>
    </row>
    <row r="272" spans="1:6" x14ac:dyDescent="0.25">
      <c r="A272">
        <v>2022</v>
      </c>
      <c r="B272" s="1">
        <v>12</v>
      </c>
      <c r="C272" s="2">
        <v>44896</v>
      </c>
      <c r="D272" s="4">
        <v>13.12</v>
      </c>
      <c r="E272" s="5">
        <v>11</v>
      </c>
      <c r="F272" t="s">
        <v>14</v>
      </c>
    </row>
    <row r="273" spans="1:7" x14ac:dyDescent="0.25">
      <c r="A273">
        <v>2023</v>
      </c>
      <c r="B273" s="1">
        <v>1</v>
      </c>
      <c r="C273" s="2">
        <v>44927</v>
      </c>
      <c r="D273" s="4">
        <v>13.25</v>
      </c>
      <c r="E273" s="5">
        <v>12</v>
      </c>
      <c r="F273" t="s">
        <v>14</v>
      </c>
    </row>
    <row r="274" spans="1:7" x14ac:dyDescent="0.25">
      <c r="A274">
        <v>2023</v>
      </c>
      <c r="B274" s="1">
        <v>2</v>
      </c>
      <c r="C274" s="2">
        <v>44958</v>
      </c>
      <c r="D274" s="4">
        <v>13.28</v>
      </c>
      <c r="E274" s="5">
        <v>12.75</v>
      </c>
      <c r="F274" t="s">
        <v>14</v>
      </c>
    </row>
    <row r="275" spans="1:7" x14ac:dyDescent="0.25">
      <c r="A275">
        <v>2023</v>
      </c>
      <c r="B275" s="1">
        <v>3</v>
      </c>
      <c r="C275" s="2">
        <v>44986</v>
      </c>
      <c r="D275" s="4">
        <v>13.34</v>
      </c>
      <c r="E275" s="5">
        <v>12.75</v>
      </c>
      <c r="F275" t="s">
        <v>14</v>
      </c>
    </row>
    <row r="276" spans="1:7" x14ac:dyDescent="0.25">
      <c r="A276">
        <v>2023</v>
      </c>
      <c r="B276" s="1">
        <v>4</v>
      </c>
      <c r="C276" s="2">
        <v>45017</v>
      </c>
      <c r="D276" s="4">
        <v>12.82</v>
      </c>
      <c r="E276" s="5">
        <v>13</v>
      </c>
      <c r="F276" t="s">
        <v>15</v>
      </c>
    </row>
    <row r="277" spans="1:7" x14ac:dyDescent="0.25">
      <c r="A277">
        <v>2023</v>
      </c>
      <c r="B277" s="1">
        <v>5</v>
      </c>
      <c r="C277" s="2">
        <v>45047</v>
      </c>
      <c r="D277" s="4">
        <v>12.36</v>
      </c>
      <c r="E277" s="5">
        <v>13</v>
      </c>
      <c r="F277" t="s">
        <v>15</v>
      </c>
    </row>
    <row r="278" spans="1:7" x14ac:dyDescent="0.25">
      <c r="A278">
        <v>2023</v>
      </c>
      <c r="B278" s="1">
        <v>6</v>
      </c>
      <c r="C278" s="2">
        <v>45078</v>
      </c>
      <c r="D278" s="4">
        <v>12.13</v>
      </c>
      <c r="E278" s="5">
        <v>13.25</v>
      </c>
      <c r="F278" t="s">
        <v>15</v>
      </c>
    </row>
    <row r="279" spans="1:7" x14ac:dyDescent="0.25">
      <c r="A279">
        <v>2023</v>
      </c>
      <c r="B279" s="1">
        <v>7</v>
      </c>
      <c r="C279" s="2">
        <v>45108</v>
      </c>
      <c r="D279" s="4">
        <v>11.78</v>
      </c>
      <c r="E279" s="5">
        <v>13.25</v>
      </c>
      <c r="F279" t="s">
        <v>15</v>
      </c>
    </row>
    <row r="280" spans="1:7" x14ac:dyDescent="0.25">
      <c r="A280">
        <v>2023</v>
      </c>
      <c r="B280" s="1">
        <v>8</v>
      </c>
      <c r="C280" s="2">
        <v>45139</v>
      </c>
      <c r="D280" s="4">
        <v>11.43</v>
      </c>
      <c r="E280" s="5">
        <v>13.25</v>
      </c>
      <c r="F280" t="s">
        <v>15</v>
      </c>
    </row>
    <row r="281" spans="1:7" x14ac:dyDescent="0.25">
      <c r="A281">
        <v>2023</v>
      </c>
      <c r="B281" s="1">
        <v>9</v>
      </c>
      <c r="C281" s="2">
        <v>45170</v>
      </c>
      <c r="D281" s="4">
        <v>10.99</v>
      </c>
      <c r="E281" s="5">
        <v>13.25</v>
      </c>
      <c r="F281" t="s">
        <v>15</v>
      </c>
    </row>
    <row r="282" spans="1:7" x14ac:dyDescent="0.25">
      <c r="A282">
        <v>2023</v>
      </c>
      <c r="B282" s="1">
        <v>10</v>
      </c>
      <c r="C282" s="2">
        <v>45200</v>
      </c>
      <c r="D282" s="4">
        <v>10.48</v>
      </c>
      <c r="E282" s="5">
        <v>13.25</v>
      </c>
      <c r="F282" t="s">
        <v>15</v>
      </c>
    </row>
    <row r="283" spans="1:7" x14ac:dyDescent="0.25">
      <c r="A283">
        <v>2023</v>
      </c>
      <c r="B283" s="1">
        <v>11</v>
      </c>
      <c r="C283" s="2">
        <v>45231</v>
      </c>
      <c r="D283" s="4">
        <v>10.15</v>
      </c>
      <c r="E283" s="5">
        <v>13.25</v>
      </c>
      <c r="F283" t="s">
        <v>15</v>
      </c>
    </row>
    <row r="284" spans="1:7" x14ac:dyDescent="0.25">
      <c r="A284">
        <v>2023</v>
      </c>
      <c r="B284" s="1">
        <v>12</v>
      </c>
      <c r="C284" s="2">
        <v>45261</v>
      </c>
      <c r="D284" s="4">
        <v>9.2799999999999994</v>
      </c>
      <c r="E284" s="5">
        <v>13.25</v>
      </c>
      <c r="F284" t="s">
        <v>15</v>
      </c>
    </row>
    <row r="285" spans="1:7" x14ac:dyDescent="0.25">
      <c r="A285">
        <v>2024</v>
      </c>
      <c r="B285" s="1">
        <v>1</v>
      </c>
      <c r="C285" s="2">
        <v>45292</v>
      </c>
      <c r="D285" s="4">
        <v>8.35</v>
      </c>
      <c r="E285" s="4">
        <v>13</v>
      </c>
      <c r="F285" t="s">
        <v>15</v>
      </c>
      <c r="G285" s="43">
        <f>+E284-E285</f>
        <v>0.25</v>
      </c>
    </row>
    <row r="286" spans="1:7" x14ac:dyDescent="0.25">
      <c r="A286">
        <v>2024</v>
      </c>
      <c r="B286" s="1">
        <v>2</v>
      </c>
      <c r="C286" s="2">
        <v>45323</v>
      </c>
      <c r="D286" s="4">
        <v>7.74</v>
      </c>
      <c r="E286" s="43">
        <v>12.75</v>
      </c>
      <c r="F286" t="s">
        <v>15</v>
      </c>
      <c r="G286" s="43">
        <f>+E285-E286</f>
        <v>0.25</v>
      </c>
    </row>
    <row r="287" spans="1:7" x14ac:dyDescent="0.25">
      <c r="A287">
        <v>2024</v>
      </c>
      <c r="B287" s="1">
        <v>3</v>
      </c>
      <c r="C287" s="2">
        <v>45352</v>
      </c>
      <c r="D287" s="4">
        <v>7.36</v>
      </c>
      <c r="E287" s="43">
        <v>12.75</v>
      </c>
      <c r="F287" t="s">
        <v>15</v>
      </c>
      <c r="G287" s="43">
        <f t="shared" ref="G287:G301" si="5">+E286-E287</f>
        <v>0</v>
      </c>
    </row>
    <row r="288" spans="1:7" x14ac:dyDescent="0.25">
      <c r="A288">
        <v>2024</v>
      </c>
      <c r="B288" s="1">
        <v>4</v>
      </c>
      <c r="C288" s="2">
        <v>45383</v>
      </c>
      <c r="D288" s="4">
        <v>7.16</v>
      </c>
      <c r="E288" s="43">
        <v>12.25</v>
      </c>
      <c r="F288" t="s">
        <v>15</v>
      </c>
      <c r="G288" s="43">
        <f t="shared" si="5"/>
        <v>0.5</v>
      </c>
    </row>
    <row r="289" spans="1:7" x14ac:dyDescent="0.25">
      <c r="A289">
        <v>2024</v>
      </c>
      <c r="B289" s="1">
        <v>5</v>
      </c>
      <c r="C289" s="2">
        <v>45413</v>
      </c>
      <c r="D289" s="4">
        <v>7.16</v>
      </c>
      <c r="E289" s="4">
        <v>12.25</v>
      </c>
      <c r="F289" t="s">
        <v>15</v>
      </c>
      <c r="G289" s="43">
        <f t="shared" si="5"/>
        <v>0</v>
      </c>
    </row>
    <row r="290" spans="1:7" x14ac:dyDescent="0.25">
      <c r="A290">
        <v>2024</v>
      </c>
      <c r="B290" s="1">
        <v>6</v>
      </c>
      <c r="C290" s="2">
        <v>45444</v>
      </c>
      <c r="D290" s="4">
        <v>7.18</v>
      </c>
      <c r="E290" s="4">
        <v>11.75</v>
      </c>
      <c r="F290" t="s">
        <v>15</v>
      </c>
      <c r="G290" s="43">
        <f t="shared" si="5"/>
        <v>0.5</v>
      </c>
    </row>
    <row r="291" spans="1:7" x14ac:dyDescent="0.25">
      <c r="A291">
        <v>2024</v>
      </c>
      <c r="B291" s="1">
        <v>7</v>
      </c>
      <c r="C291" s="2">
        <v>45474</v>
      </c>
      <c r="D291" s="4">
        <v>6.86</v>
      </c>
      <c r="E291" s="4">
        <v>11.25</v>
      </c>
      <c r="F291" t="s">
        <v>15</v>
      </c>
      <c r="G291" s="43">
        <f t="shared" si="5"/>
        <v>0.5</v>
      </c>
    </row>
    <row r="292" spans="1:7" x14ac:dyDescent="0.25">
      <c r="A292">
        <v>2024</v>
      </c>
      <c r="B292" s="1">
        <v>8</v>
      </c>
      <c r="C292" s="2">
        <v>45505</v>
      </c>
      <c r="D292" s="4">
        <v>6.12</v>
      </c>
      <c r="E292" s="4">
        <v>10.75</v>
      </c>
      <c r="F292" t="s">
        <v>15</v>
      </c>
      <c r="G292" s="43">
        <f t="shared" si="5"/>
        <v>0.5</v>
      </c>
    </row>
    <row r="293" spans="1:7" x14ac:dyDescent="0.25">
      <c r="A293">
        <v>2024</v>
      </c>
      <c r="B293" s="1">
        <v>9</v>
      </c>
      <c r="C293" s="2">
        <v>45536</v>
      </c>
      <c r="D293" s="4">
        <v>5.81</v>
      </c>
      <c r="E293" s="4">
        <v>10.25</v>
      </c>
      <c r="F293" t="s">
        <v>15</v>
      </c>
      <c r="G293" s="43">
        <f t="shared" si="5"/>
        <v>0.5</v>
      </c>
    </row>
    <row r="294" spans="1:7" x14ac:dyDescent="0.25">
      <c r="A294">
        <v>2024</v>
      </c>
      <c r="B294" s="1">
        <v>10</v>
      </c>
      <c r="C294" s="2">
        <v>45566</v>
      </c>
      <c r="D294" s="4">
        <v>5.41</v>
      </c>
      <c r="E294" s="4">
        <v>9.75</v>
      </c>
      <c r="F294" t="s">
        <v>15</v>
      </c>
      <c r="G294" s="43">
        <f t="shared" si="5"/>
        <v>0.5</v>
      </c>
    </row>
    <row r="295" spans="1:7" x14ac:dyDescent="0.25">
      <c r="A295">
        <v>2024</v>
      </c>
      <c r="B295" s="1">
        <v>11</v>
      </c>
      <c r="C295" s="2">
        <v>45597</v>
      </c>
      <c r="D295" s="4">
        <v>5.2</v>
      </c>
      <c r="E295" s="4">
        <v>9.75</v>
      </c>
      <c r="F295" t="s">
        <v>15</v>
      </c>
      <c r="G295" s="43">
        <f t="shared" si="5"/>
        <v>0</v>
      </c>
    </row>
    <row r="296" spans="1:7" x14ac:dyDescent="0.25">
      <c r="A296">
        <v>2024</v>
      </c>
      <c r="B296" s="1">
        <v>12</v>
      </c>
      <c r="C296" s="2">
        <v>45627</v>
      </c>
      <c r="D296" s="4">
        <v>5.2</v>
      </c>
      <c r="E296" s="4">
        <v>9.5</v>
      </c>
      <c r="F296" t="s">
        <v>15</v>
      </c>
      <c r="G296" s="43">
        <f>+E295-E296</f>
        <v>0.25</v>
      </c>
    </row>
    <row r="297" spans="1:7" x14ac:dyDescent="0.25">
      <c r="A297">
        <v>2025</v>
      </c>
      <c r="B297" s="1">
        <v>1</v>
      </c>
      <c r="C297" s="2">
        <v>45658</v>
      </c>
      <c r="D297" s="4">
        <v>5.22</v>
      </c>
      <c r="E297" s="4">
        <v>9.5</v>
      </c>
      <c r="F297" t="s">
        <v>15</v>
      </c>
      <c r="G297" s="43">
        <f t="shared" si="5"/>
        <v>0</v>
      </c>
    </row>
    <row r="298" spans="1:7" x14ac:dyDescent="0.25">
      <c r="A298">
        <v>2025</v>
      </c>
      <c r="B298" s="1">
        <v>2</v>
      </c>
      <c r="C298" s="2">
        <v>45689</v>
      </c>
      <c r="D298" s="4">
        <v>5.28</v>
      </c>
      <c r="E298" s="4">
        <v>9.5</v>
      </c>
      <c r="F298" t="s">
        <v>15</v>
      </c>
      <c r="G298" s="43">
        <f t="shared" si="5"/>
        <v>0</v>
      </c>
    </row>
    <row r="299" spans="1:7" x14ac:dyDescent="0.25">
      <c r="A299">
        <v>2025</v>
      </c>
      <c r="B299" s="1">
        <v>3</v>
      </c>
      <c r="C299" s="2">
        <v>45717</v>
      </c>
      <c r="D299" s="4">
        <v>5.09</v>
      </c>
      <c r="E299" s="4">
        <v>9.5</v>
      </c>
      <c r="F299" t="s">
        <v>15</v>
      </c>
      <c r="G299" s="43">
        <f t="shared" si="5"/>
        <v>0</v>
      </c>
    </row>
    <row r="300" spans="1:7" x14ac:dyDescent="0.25">
      <c r="A300">
        <v>2025</v>
      </c>
      <c r="B300" s="1">
        <v>4</v>
      </c>
      <c r="C300" s="2">
        <v>45748</v>
      </c>
      <c r="D300" s="4">
        <v>5.16</v>
      </c>
      <c r="E300" s="4">
        <v>9.5</v>
      </c>
      <c r="F300" t="s">
        <v>15</v>
      </c>
      <c r="G300" s="43">
        <f t="shared" si="5"/>
        <v>0</v>
      </c>
    </row>
    <row r="301" spans="1:7" x14ac:dyDescent="0.25">
      <c r="C301" s="2">
        <v>45778</v>
      </c>
      <c r="D301" s="4">
        <v>5.05</v>
      </c>
      <c r="E301" s="4">
        <v>9.25</v>
      </c>
      <c r="F301" t="s">
        <v>15</v>
      </c>
      <c r="G301" s="43">
        <f t="shared" si="5"/>
        <v>0.25</v>
      </c>
    </row>
    <row r="302" spans="1:7" x14ac:dyDescent="0.25">
      <c r="C302" s="2">
        <v>45809</v>
      </c>
      <c r="D302" s="4">
        <v>4.82</v>
      </c>
      <c r="E302" s="4">
        <v>9.25</v>
      </c>
      <c r="F302" t="s">
        <v>15</v>
      </c>
    </row>
    <row r="303" spans="1:7" x14ac:dyDescent="0.25">
      <c r="C303" s="2">
        <v>45839</v>
      </c>
      <c r="D303" s="4">
        <v>4.9000000000000004</v>
      </c>
      <c r="E303" s="4">
        <v>9.25</v>
      </c>
      <c r="F303" t="s">
        <v>15</v>
      </c>
      <c r="G303" s="48"/>
    </row>
    <row r="304" spans="1:7" x14ac:dyDescent="0.25">
      <c r="C304" s="2">
        <v>45870</v>
      </c>
      <c r="D304" s="4">
        <v>5.0999999999999996</v>
      </c>
      <c r="E304" s="4">
        <v>9.25</v>
      </c>
      <c r="F304" t="s">
        <v>15</v>
      </c>
    </row>
    <row r="305" spans="3:5" x14ac:dyDescent="0.25">
      <c r="C305" s="2">
        <v>45901</v>
      </c>
      <c r="D305" s="4">
        <v>5.18</v>
      </c>
      <c r="E305" s="4">
        <v>9.25</v>
      </c>
    </row>
    <row r="306" spans="3:5" x14ac:dyDescent="0.25">
      <c r="C306" s="2">
        <v>45931</v>
      </c>
      <c r="D306" s="4">
        <v>5.51</v>
      </c>
      <c r="E306" s="4">
        <v>9.25</v>
      </c>
    </row>
    <row r="307" spans="3:5" x14ac:dyDescent="0.25">
      <c r="C307" s="2">
        <v>45962</v>
      </c>
      <c r="D307" s="4">
        <v>5.3</v>
      </c>
      <c r="E307" s="4">
        <v>9.25</v>
      </c>
    </row>
    <row r="308" spans="3:5" x14ac:dyDescent="0.25">
      <c r="C308" s="2">
        <v>45992</v>
      </c>
      <c r="D308" s="4">
        <v>5.0999999999999996</v>
      </c>
      <c r="E308" s="4">
        <v>9.25</v>
      </c>
    </row>
  </sheetData>
  <autoFilter ref="A1:F293" xr:uid="{D7A47BE7-A8CB-4D48-8109-BC936C1E6EB5}"/>
  <mergeCells count="1">
    <mergeCell ref="P6:S8"/>
  </mergeCells>
  <phoneticPr fontId="3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53A7-1D6D-4CB6-8E9A-CE52F3433680}">
  <dimension ref="A1:C308"/>
  <sheetViews>
    <sheetView tabSelected="1" workbookViewId="0">
      <selection sqref="A1:C308"/>
    </sheetView>
  </sheetViews>
  <sheetFormatPr baseColWidth="10" defaultRowHeight="15" x14ac:dyDescent="0.25"/>
  <sheetData>
    <row r="1" spans="1:3" x14ac:dyDescent="0.25">
      <c r="A1" t="s">
        <v>1</v>
      </c>
      <c r="B1" t="s">
        <v>18</v>
      </c>
      <c r="C1" t="s">
        <v>3</v>
      </c>
    </row>
    <row r="2" spans="1:3" x14ac:dyDescent="0.25">
      <c r="A2" s="2">
        <v>36678</v>
      </c>
      <c r="B2" s="4">
        <v>9.68</v>
      </c>
      <c r="C2" s="5">
        <v>12</v>
      </c>
    </row>
    <row r="3" spans="1:3" x14ac:dyDescent="0.25">
      <c r="A3" s="2">
        <v>36708</v>
      </c>
      <c r="B3" s="4">
        <v>9.2899999999999991</v>
      </c>
      <c r="C3" s="5">
        <v>12</v>
      </c>
    </row>
    <row r="4" spans="1:3" x14ac:dyDescent="0.25">
      <c r="A4" s="2">
        <v>36739</v>
      </c>
      <c r="B4" s="4">
        <v>9.1</v>
      </c>
      <c r="C4" s="5">
        <v>12</v>
      </c>
    </row>
    <row r="5" spans="1:3" x14ac:dyDescent="0.25">
      <c r="A5" s="2">
        <v>36770</v>
      </c>
      <c r="B5" s="4">
        <v>9.1999999999999993</v>
      </c>
      <c r="C5" s="5">
        <v>12</v>
      </c>
    </row>
    <row r="6" spans="1:3" x14ac:dyDescent="0.25">
      <c r="A6" s="2">
        <v>36800</v>
      </c>
      <c r="B6" s="4">
        <v>8.99</v>
      </c>
      <c r="C6" s="5">
        <v>12</v>
      </c>
    </row>
    <row r="7" spans="1:3" x14ac:dyDescent="0.25">
      <c r="A7" s="2">
        <v>36831</v>
      </c>
      <c r="B7" s="4">
        <v>8.82</v>
      </c>
      <c r="C7" s="5">
        <v>12</v>
      </c>
    </row>
    <row r="8" spans="1:3" x14ac:dyDescent="0.25">
      <c r="A8" s="2">
        <v>36861</v>
      </c>
      <c r="B8" s="4">
        <v>8.75</v>
      </c>
      <c r="C8" s="5">
        <v>12</v>
      </c>
    </row>
    <row r="9" spans="1:3" x14ac:dyDescent="0.25">
      <c r="A9" s="2">
        <v>36892</v>
      </c>
      <c r="B9" s="4">
        <v>8.49</v>
      </c>
      <c r="C9" s="5">
        <v>12</v>
      </c>
    </row>
    <row r="10" spans="1:3" x14ac:dyDescent="0.25">
      <c r="A10" s="2">
        <v>36923</v>
      </c>
      <c r="B10" s="4">
        <v>8.06</v>
      </c>
      <c r="C10" s="5">
        <v>12</v>
      </c>
    </row>
    <row r="11" spans="1:3" x14ac:dyDescent="0.25">
      <c r="A11" s="2">
        <v>36951</v>
      </c>
      <c r="B11" s="4">
        <v>7.81</v>
      </c>
      <c r="C11" s="5">
        <v>12</v>
      </c>
    </row>
    <row r="12" spans="1:3" x14ac:dyDescent="0.25">
      <c r="A12" s="2">
        <v>36982</v>
      </c>
      <c r="B12" s="4">
        <v>7.98</v>
      </c>
      <c r="C12" s="5">
        <v>11.5</v>
      </c>
    </row>
    <row r="13" spans="1:3" x14ac:dyDescent="0.25">
      <c r="A13" s="2">
        <v>37012</v>
      </c>
      <c r="B13" s="4">
        <v>7.87</v>
      </c>
      <c r="C13" s="5">
        <v>11.5</v>
      </c>
    </row>
    <row r="14" spans="1:3" x14ac:dyDescent="0.25">
      <c r="A14" s="2">
        <v>37043</v>
      </c>
      <c r="B14" s="4">
        <v>7.93</v>
      </c>
      <c r="C14" s="5">
        <v>11.5</v>
      </c>
    </row>
    <row r="15" spans="1:3" x14ac:dyDescent="0.25">
      <c r="A15" s="2">
        <v>37073</v>
      </c>
      <c r="B15" s="4">
        <v>8.09</v>
      </c>
      <c r="C15" s="5">
        <v>11.5</v>
      </c>
    </row>
    <row r="16" spans="1:3" x14ac:dyDescent="0.25">
      <c r="A16" s="2">
        <v>37104</v>
      </c>
      <c r="B16" s="4">
        <v>8.0299999999999994</v>
      </c>
      <c r="C16" s="5">
        <v>11</v>
      </c>
    </row>
    <row r="17" spans="1:3" x14ac:dyDescent="0.25">
      <c r="A17" s="2">
        <v>37135</v>
      </c>
      <c r="B17" s="4">
        <v>7.97</v>
      </c>
      <c r="C17" s="5">
        <v>10</v>
      </c>
    </row>
    <row r="18" spans="1:3" x14ac:dyDescent="0.25">
      <c r="A18" s="2">
        <v>37165</v>
      </c>
      <c r="B18" s="4">
        <v>8.01</v>
      </c>
      <c r="C18" s="5">
        <v>9.5</v>
      </c>
    </row>
    <row r="19" spans="1:3" x14ac:dyDescent="0.25">
      <c r="A19" s="2">
        <v>37196</v>
      </c>
      <c r="B19" s="4">
        <v>7.78</v>
      </c>
      <c r="C19" s="5">
        <v>9.25</v>
      </c>
    </row>
    <row r="20" spans="1:3" x14ac:dyDescent="0.25">
      <c r="A20" s="2">
        <v>37226</v>
      </c>
      <c r="B20" s="4">
        <v>7.65</v>
      </c>
      <c r="C20" s="5">
        <v>8.75</v>
      </c>
    </row>
    <row r="21" spans="1:3" x14ac:dyDescent="0.25">
      <c r="A21" s="2">
        <v>37257</v>
      </c>
      <c r="B21" s="4">
        <v>7.37</v>
      </c>
      <c r="C21" s="5">
        <v>8.5</v>
      </c>
    </row>
    <row r="22" spans="1:3" x14ac:dyDescent="0.25">
      <c r="A22" s="2">
        <v>37288</v>
      </c>
      <c r="B22" s="4">
        <v>6.7</v>
      </c>
      <c r="C22" s="5">
        <v>8</v>
      </c>
    </row>
    <row r="23" spans="1:3" x14ac:dyDescent="0.25">
      <c r="A23" s="2">
        <v>37316</v>
      </c>
      <c r="B23" s="4">
        <v>5.89</v>
      </c>
      <c r="C23" s="5">
        <v>8</v>
      </c>
    </row>
    <row r="24" spans="1:3" x14ac:dyDescent="0.25">
      <c r="A24" s="2">
        <v>37347</v>
      </c>
      <c r="B24" s="4">
        <v>5.65</v>
      </c>
      <c r="C24" s="5">
        <v>7.25</v>
      </c>
    </row>
    <row r="25" spans="1:3" x14ac:dyDescent="0.25">
      <c r="A25" s="2">
        <v>37377</v>
      </c>
      <c r="B25" s="4">
        <v>5.84</v>
      </c>
      <c r="C25" s="5">
        <v>6.25</v>
      </c>
    </row>
    <row r="26" spans="1:3" x14ac:dyDescent="0.25">
      <c r="A26" s="2">
        <v>37408</v>
      </c>
      <c r="B26" s="4">
        <v>6.25</v>
      </c>
      <c r="C26" s="5">
        <v>5.75</v>
      </c>
    </row>
    <row r="27" spans="1:3" x14ac:dyDescent="0.25">
      <c r="A27" s="2">
        <v>37438</v>
      </c>
      <c r="B27" s="4">
        <v>6.16</v>
      </c>
      <c r="C27" s="5">
        <v>5.25</v>
      </c>
    </row>
    <row r="28" spans="1:3" x14ac:dyDescent="0.25">
      <c r="A28" s="2">
        <v>37469</v>
      </c>
      <c r="B28" s="4">
        <v>5.98</v>
      </c>
      <c r="C28" s="5">
        <v>5.25</v>
      </c>
    </row>
    <row r="29" spans="1:3" x14ac:dyDescent="0.25">
      <c r="A29" s="2">
        <v>37500</v>
      </c>
      <c r="B29" s="4">
        <v>5.97</v>
      </c>
      <c r="C29" s="5">
        <v>5.25</v>
      </c>
    </row>
    <row r="30" spans="1:3" x14ac:dyDescent="0.25">
      <c r="A30" s="2">
        <v>37530</v>
      </c>
      <c r="B30" s="4">
        <v>6.37</v>
      </c>
      <c r="C30" s="5">
        <v>5.25</v>
      </c>
    </row>
    <row r="31" spans="1:3" x14ac:dyDescent="0.25">
      <c r="A31" s="2">
        <v>37561</v>
      </c>
      <c r="B31" s="4">
        <v>7.07</v>
      </c>
      <c r="C31" s="5">
        <v>5.25</v>
      </c>
    </row>
    <row r="32" spans="1:3" x14ac:dyDescent="0.25">
      <c r="A32" s="2">
        <v>37591</v>
      </c>
      <c r="B32" s="4">
        <v>6.99</v>
      </c>
      <c r="C32" s="5">
        <v>5.25</v>
      </c>
    </row>
    <row r="33" spans="1:3" x14ac:dyDescent="0.25">
      <c r="A33" s="2">
        <v>37622</v>
      </c>
      <c r="B33" s="4">
        <v>7.39</v>
      </c>
      <c r="C33" s="5">
        <v>5.25</v>
      </c>
    </row>
    <row r="34" spans="1:3" x14ac:dyDescent="0.25">
      <c r="A34" s="2">
        <v>37653</v>
      </c>
      <c r="B34" s="4">
        <v>7.24</v>
      </c>
      <c r="C34" s="5">
        <v>6.25</v>
      </c>
    </row>
    <row r="35" spans="1:3" x14ac:dyDescent="0.25">
      <c r="A35" s="2">
        <v>37681</v>
      </c>
      <c r="B35" s="4">
        <v>7.6</v>
      </c>
      <c r="C35" s="5">
        <v>6.25</v>
      </c>
    </row>
    <row r="36" spans="1:3" x14ac:dyDescent="0.25">
      <c r="A36" s="2">
        <v>37712</v>
      </c>
      <c r="B36" s="4">
        <v>7.85</v>
      </c>
      <c r="C36" s="5">
        <v>6.25</v>
      </c>
    </row>
    <row r="37" spans="1:3" x14ac:dyDescent="0.25">
      <c r="A37" s="2">
        <v>37742</v>
      </c>
      <c r="B37" s="4">
        <v>7.73</v>
      </c>
      <c r="C37" s="5">
        <v>7.25</v>
      </c>
    </row>
    <row r="38" spans="1:3" x14ac:dyDescent="0.25">
      <c r="A38" s="2">
        <v>37773</v>
      </c>
      <c r="B38" s="4">
        <v>7.21</v>
      </c>
      <c r="C38" s="5">
        <v>7.25</v>
      </c>
    </row>
    <row r="39" spans="1:3" x14ac:dyDescent="0.25">
      <c r="A39" s="2">
        <v>37803</v>
      </c>
      <c r="B39" s="4">
        <v>7.04</v>
      </c>
      <c r="C39" s="5">
        <v>7.25</v>
      </c>
    </row>
    <row r="40" spans="1:3" x14ac:dyDescent="0.25">
      <c r="A40" s="2">
        <v>37834</v>
      </c>
      <c r="B40" s="4">
        <v>7.26</v>
      </c>
      <c r="C40" s="5">
        <v>7.25</v>
      </c>
    </row>
    <row r="41" spans="1:3" x14ac:dyDescent="0.25">
      <c r="A41" s="2">
        <v>37865</v>
      </c>
      <c r="B41" s="4">
        <v>7.11</v>
      </c>
      <c r="C41" s="5">
        <v>7.25</v>
      </c>
    </row>
    <row r="42" spans="1:3" x14ac:dyDescent="0.25">
      <c r="A42" s="2">
        <v>37895</v>
      </c>
      <c r="B42" s="4">
        <v>6.58</v>
      </c>
      <c r="C42" s="5">
        <v>7.25</v>
      </c>
    </row>
    <row r="43" spans="1:3" x14ac:dyDescent="0.25">
      <c r="A43" s="2">
        <v>37926</v>
      </c>
      <c r="B43" s="4">
        <v>6.13</v>
      </c>
      <c r="C43" s="5">
        <v>7.25</v>
      </c>
    </row>
    <row r="44" spans="1:3" x14ac:dyDescent="0.25">
      <c r="A44" s="2">
        <v>37956</v>
      </c>
      <c r="B44" s="4">
        <v>6.49</v>
      </c>
      <c r="C44" s="5">
        <v>7.25</v>
      </c>
    </row>
    <row r="45" spans="1:3" x14ac:dyDescent="0.25">
      <c r="A45" s="2">
        <v>37987</v>
      </c>
      <c r="B45" s="4">
        <v>6.19</v>
      </c>
      <c r="C45" s="5">
        <v>7.25</v>
      </c>
    </row>
    <row r="46" spans="1:3" x14ac:dyDescent="0.25">
      <c r="A46" s="2">
        <v>38018</v>
      </c>
      <c r="B46" s="4">
        <v>6.28</v>
      </c>
      <c r="C46" s="5">
        <v>7.25</v>
      </c>
    </row>
    <row r="47" spans="1:3" x14ac:dyDescent="0.25">
      <c r="A47" s="2">
        <v>38047</v>
      </c>
      <c r="B47" s="4">
        <v>6.21</v>
      </c>
      <c r="C47" s="5">
        <v>7</v>
      </c>
    </row>
    <row r="48" spans="1:3" x14ac:dyDescent="0.25">
      <c r="A48" s="2">
        <v>38078</v>
      </c>
      <c r="B48" s="4">
        <v>5.49</v>
      </c>
      <c r="C48" s="5">
        <v>6.75</v>
      </c>
    </row>
    <row r="49" spans="1:3" x14ac:dyDescent="0.25">
      <c r="A49" s="2">
        <v>38108</v>
      </c>
      <c r="B49" s="4">
        <v>5.37</v>
      </c>
      <c r="C49" s="5">
        <v>6.75</v>
      </c>
    </row>
    <row r="50" spans="1:3" x14ac:dyDescent="0.25">
      <c r="A50" s="2">
        <v>38139</v>
      </c>
      <c r="B50" s="4">
        <v>6.07</v>
      </c>
      <c r="C50" s="5">
        <v>6.75</v>
      </c>
    </row>
    <row r="51" spans="1:3" x14ac:dyDescent="0.25">
      <c r="A51" s="2">
        <v>38169</v>
      </c>
      <c r="B51" s="4">
        <v>6.19</v>
      </c>
      <c r="C51" s="5">
        <v>6.75</v>
      </c>
    </row>
    <row r="52" spans="1:3" x14ac:dyDescent="0.25">
      <c r="A52" s="2">
        <v>38200</v>
      </c>
      <c r="B52" s="4">
        <v>5.89</v>
      </c>
      <c r="C52" s="5">
        <v>6.75</v>
      </c>
    </row>
    <row r="53" spans="1:3" x14ac:dyDescent="0.25">
      <c r="A53" s="2">
        <v>38231</v>
      </c>
      <c r="B53" s="4">
        <v>5.97</v>
      </c>
      <c r="C53" s="5">
        <v>6.75</v>
      </c>
    </row>
    <row r="54" spans="1:3" x14ac:dyDescent="0.25">
      <c r="A54" s="2">
        <v>38261</v>
      </c>
      <c r="B54" s="4">
        <v>5.9</v>
      </c>
      <c r="C54" s="5">
        <v>6.75</v>
      </c>
    </row>
    <row r="55" spans="1:3" x14ac:dyDescent="0.25">
      <c r="A55" s="2">
        <v>38292</v>
      </c>
      <c r="B55" s="4">
        <v>5.82</v>
      </c>
      <c r="C55" s="5">
        <v>6.75</v>
      </c>
    </row>
    <row r="56" spans="1:3" x14ac:dyDescent="0.25">
      <c r="A56" s="2">
        <v>38322</v>
      </c>
      <c r="B56" s="4">
        <v>5.5</v>
      </c>
      <c r="C56" s="5">
        <v>6.75</v>
      </c>
    </row>
    <row r="57" spans="1:3" x14ac:dyDescent="0.25">
      <c r="A57" s="2">
        <v>38353</v>
      </c>
      <c r="B57" s="4">
        <v>5.43</v>
      </c>
      <c r="C57" s="5">
        <v>6.5</v>
      </c>
    </row>
    <row r="58" spans="1:3" x14ac:dyDescent="0.25">
      <c r="A58" s="2">
        <v>38384</v>
      </c>
      <c r="B58" s="4">
        <v>5.25</v>
      </c>
      <c r="C58" s="5">
        <v>6.5</v>
      </c>
    </row>
    <row r="59" spans="1:3" x14ac:dyDescent="0.25">
      <c r="A59" s="2">
        <v>38412</v>
      </c>
      <c r="B59" s="4">
        <v>5.03</v>
      </c>
      <c r="C59" s="5">
        <v>6.5</v>
      </c>
    </row>
    <row r="60" spans="1:3" x14ac:dyDescent="0.25">
      <c r="A60" s="2">
        <v>38443</v>
      </c>
      <c r="B60" s="4">
        <v>5.01</v>
      </c>
      <c r="C60" s="5">
        <v>6.5</v>
      </c>
    </row>
    <row r="61" spans="1:3" x14ac:dyDescent="0.25">
      <c r="A61" s="2">
        <v>38473</v>
      </c>
      <c r="B61" s="4">
        <v>5.04</v>
      </c>
      <c r="C61" s="5">
        <v>6.5</v>
      </c>
    </row>
    <row r="62" spans="1:3" x14ac:dyDescent="0.25">
      <c r="A62" s="2">
        <v>38504</v>
      </c>
      <c r="B62" s="4">
        <v>4.83</v>
      </c>
      <c r="C62" s="5">
        <v>6.5</v>
      </c>
    </row>
    <row r="63" spans="1:3" x14ac:dyDescent="0.25">
      <c r="A63" s="2">
        <v>38534</v>
      </c>
      <c r="B63" s="4">
        <v>4.91</v>
      </c>
      <c r="C63" s="5">
        <v>6.5</v>
      </c>
    </row>
    <row r="64" spans="1:3" x14ac:dyDescent="0.25">
      <c r="A64" s="2">
        <v>38565</v>
      </c>
      <c r="B64" s="4">
        <v>4.88</v>
      </c>
      <c r="C64" s="5">
        <v>6.5</v>
      </c>
    </row>
    <row r="65" spans="1:3" x14ac:dyDescent="0.25">
      <c r="A65" s="2">
        <v>38596</v>
      </c>
      <c r="B65" s="4">
        <v>5.0199999999999996</v>
      </c>
      <c r="C65" s="5">
        <v>6.5</v>
      </c>
    </row>
    <row r="66" spans="1:3" x14ac:dyDescent="0.25">
      <c r="A66" s="2">
        <v>38626</v>
      </c>
      <c r="B66" s="4">
        <v>5.27</v>
      </c>
      <c r="C66" s="5">
        <v>6</v>
      </c>
    </row>
    <row r="67" spans="1:3" x14ac:dyDescent="0.25">
      <c r="A67" s="2">
        <v>38657</v>
      </c>
      <c r="B67" s="4">
        <v>5.0999999999999996</v>
      </c>
      <c r="C67" s="5">
        <v>6</v>
      </c>
    </row>
    <row r="68" spans="1:3" x14ac:dyDescent="0.25">
      <c r="A68" s="2">
        <v>38687</v>
      </c>
      <c r="B68" s="4">
        <v>4.8499999999999996</v>
      </c>
      <c r="C68" s="5">
        <v>6</v>
      </c>
    </row>
    <row r="69" spans="1:3" x14ac:dyDescent="0.25">
      <c r="A69" s="2">
        <v>38718</v>
      </c>
      <c r="B69" s="4">
        <v>4.5599999999999996</v>
      </c>
      <c r="C69" s="5">
        <v>6</v>
      </c>
    </row>
    <row r="70" spans="1:3" x14ac:dyDescent="0.25">
      <c r="A70" s="2">
        <v>38749</v>
      </c>
      <c r="B70" s="4">
        <v>4.1900000000000004</v>
      </c>
      <c r="C70" s="5">
        <v>6</v>
      </c>
    </row>
    <row r="71" spans="1:3" x14ac:dyDescent="0.25">
      <c r="A71" s="2">
        <v>38777</v>
      </c>
      <c r="B71" s="4">
        <v>4.1100000000000003</v>
      </c>
      <c r="C71" s="5">
        <v>6</v>
      </c>
    </row>
    <row r="72" spans="1:3" x14ac:dyDescent="0.25">
      <c r="A72" s="2">
        <v>38808</v>
      </c>
      <c r="B72" s="4">
        <v>4.12</v>
      </c>
      <c r="C72" s="5">
        <v>6</v>
      </c>
    </row>
    <row r="73" spans="1:3" x14ac:dyDescent="0.25">
      <c r="A73" s="2">
        <v>38838</v>
      </c>
      <c r="B73" s="4">
        <v>4.04</v>
      </c>
      <c r="C73" s="5">
        <v>6</v>
      </c>
    </row>
    <row r="74" spans="1:3" x14ac:dyDescent="0.25">
      <c r="A74" s="2">
        <v>38869</v>
      </c>
      <c r="B74" s="4">
        <v>3.94</v>
      </c>
      <c r="C74" s="5">
        <v>6.25</v>
      </c>
    </row>
    <row r="75" spans="1:3" x14ac:dyDescent="0.25">
      <c r="A75" s="2">
        <v>38899</v>
      </c>
      <c r="B75" s="4">
        <v>4.32</v>
      </c>
      <c r="C75" s="5">
        <v>6.5</v>
      </c>
    </row>
    <row r="76" spans="1:3" x14ac:dyDescent="0.25">
      <c r="A76" s="2">
        <v>38930</v>
      </c>
      <c r="B76" s="4">
        <v>4.72</v>
      </c>
      <c r="C76" s="5">
        <v>6.5</v>
      </c>
    </row>
    <row r="77" spans="1:3" x14ac:dyDescent="0.25">
      <c r="A77" s="2">
        <v>38961</v>
      </c>
      <c r="B77" s="4">
        <v>4.58</v>
      </c>
      <c r="C77" s="5">
        <v>6.75</v>
      </c>
    </row>
    <row r="78" spans="1:3" x14ac:dyDescent="0.25">
      <c r="A78" s="2">
        <v>38991</v>
      </c>
      <c r="B78" s="4">
        <v>4.1900000000000004</v>
      </c>
      <c r="C78" s="5">
        <v>6.75</v>
      </c>
    </row>
    <row r="79" spans="1:3" x14ac:dyDescent="0.25">
      <c r="A79" s="2">
        <v>39022</v>
      </c>
      <c r="B79" s="4">
        <v>4.3099999999999996</v>
      </c>
      <c r="C79" s="5">
        <v>7.25</v>
      </c>
    </row>
    <row r="80" spans="1:3" x14ac:dyDescent="0.25">
      <c r="A80" s="2">
        <v>39052</v>
      </c>
      <c r="B80" s="4">
        <v>4.4800000000000004</v>
      </c>
      <c r="C80" s="5">
        <v>7.25</v>
      </c>
    </row>
    <row r="81" spans="1:3" x14ac:dyDescent="0.25">
      <c r="A81" s="2">
        <v>39083</v>
      </c>
      <c r="B81" s="4">
        <v>4.71</v>
      </c>
      <c r="C81" s="5">
        <v>7.5</v>
      </c>
    </row>
    <row r="82" spans="1:3" x14ac:dyDescent="0.25">
      <c r="A82" s="2">
        <v>39114</v>
      </c>
      <c r="B82" s="4">
        <v>5.25</v>
      </c>
      <c r="C82" s="5">
        <v>7.75</v>
      </c>
    </row>
    <row r="83" spans="1:3" x14ac:dyDescent="0.25">
      <c r="A83" s="2">
        <v>39142</v>
      </c>
      <c r="B83" s="4">
        <v>5.78</v>
      </c>
      <c r="C83" s="5">
        <v>8</v>
      </c>
    </row>
    <row r="84" spans="1:3" x14ac:dyDescent="0.25">
      <c r="A84" s="2">
        <v>39173</v>
      </c>
      <c r="B84" s="4">
        <v>6.26</v>
      </c>
      <c r="C84" s="5">
        <v>8.25</v>
      </c>
    </row>
    <row r="85" spans="1:3" x14ac:dyDescent="0.25">
      <c r="A85" s="2">
        <v>39203</v>
      </c>
      <c r="B85" s="4">
        <v>6.23</v>
      </c>
      <c r="C85" s="5">
        <v>8.25</v>
      </c>
    </row>
    <row r="86" spans="1:3" x14ac:dyDescent="0.25">
      <c r="A86" s="2">
        <v>39234</v>
      </c>
      <c r="B86" s="4">
        <v>6.03</v>
      </c>
      <c r="C86" s="5">
        <v>8.75</v>
      </c>
    </row>
    <row r="87" spans="1:3" x14ac:dyDescent="0.25">
      <c r="A87" s="2">
        <v>39264</v>
      </c>
      <c r="B87" s="4">
        <v>5.77</v>
      </c>
      <c r="C87" s="5">
        <v>9</v>
      </c>
    </row>
    <row r="88" spans="1:3" x14ac:dyDescent="0.25">
      <c r="A88" s="2">
        <v>39295</v>
      </c>
      <c r="B88" s="4">
        <v>5.22</v>
      </c>
      <c r="C88" s="5">
        <v>9.25</v>
      </c>
    </row>
    <row r="89" spans="1:3" x14ac:dyDescent="0.25">
      <c r="A89" s="2">
        <v>39326</v>
      </c>
      <c r="B89" s="4">
        <v>5.01</v>
      </c>
      <c r="C89" s="5">
        <v>9.25</v>
      </c>
    </row>
    <row r="90" spans="1:3" x14ac:dyDescent="0.25">
      <c r="A90" s="2">
        <v>39356</v>
      </c>
      <c r="B90" s="4">
        <v>5.16</v>
      </c>
      <c r="C90" s="5">
        <v>9.25</v>
      </c>
    </row>
    <row r="91" spans="1:3" x14ac:dyDescent="0.25">
      <c r="A91" s="2">
        <v>39387</v>
      </c>
      <c r="B91" s="4">
        <v>5.41</v>
      </c>
      <c r="C91" s="5">
        <v>9.25</v>
      </c>
    </row>
    <row r="92" spans="1:3" x14ac:dyDescent="0.25">
      <c r="A92" s="2">
        <v>39417</v>
      </c>
      <c r="B92" s="4">
        <v>5.69</v>
      </c>
      <c r="C92" s="5">
        <v>9.5</v>
      </c>
    </row>
    <row r="93" spans="1:3" x14ac:dyDescent="0.25">
      <c r="A93" s="2">
        <v>39448</v>
      </c>
      <c r="B93" s="4">
        <v>6</v>
      </c>
      <c r="C93" s="5">
        <v>9.5</v>
      </c>
    </row>
    <row r="94" spans="1:3" x14ac:dyDescent="0.25">
      <c r="A94" s="2">
        <v>39479</v>
      </c>
      <c r="B94" s="4">
        <v>6.35</v>
      </c>
      <c r="C94" s="5">
        <v>9.5</v>
      </c>
    </row>
    <row r="95" spans="1:3" x14ac:dyDescent="0.25">
      <c r="A95" s="2">
        <v>39508</v>
      </c>
      <c r="B95" s="4">
        <v>5.93</v>
      </c>
      <c r="C95" s="5">
        <v>9.75</v>
      </c>
    </row>
    <row r="96" spans="1:3" x14ac:dyDescent="0.25">
      <c r="A96" s="2">
        <v>39539</v>
      </c>
      <c r="B96" s="4">
        <v>5.73</v>
      </c>
      <c r="C96" s="5">
        <v>9.75</v>
      </c>
    </row>
    <row r="97" spans="1:3" x14ac:dyDescent="0.25">
      <c r="A97" s="2">
        <v>39569</v>
      </c>
      <c r="B97" s="4">
        <v>6.39</v>
      </c>
      <c r="C97" s="5">
        <v>9.75</v>
      </c>
    </row>
    <row r="98" spans="1:3" x14ac:dyDescent="0.25">
      <c r="A98" s="2">
        <v>39600</v>
      </c>
      <c r="B98" s="4">
        <v>7.18</v>
      </c>
      <c r="C98" s="5">
        <v>9.75</v>
      </c>
    </row>
    <row r="99" spans="1:3" x14ac:dyDescent="0.25">
      <c r="A99" s="2">
        <v>39630</v>
      </c>
      <c r="B99" s="4">
        <v>7.52</v>
      </c>
      <c r="C99" s="5">
        <v>9.75</v>
      </c>
    </row>
    <row r="100" spans="1:3" x14ac:dyDescent="0.25">
      <c r="A100" s="2">
        <v>39661</v>
      </c>
      <c r="B100" s="4">
        <v>7.87</v>
      </c>
      <c r="C100" s="5">
        <v>10</v>
      </c>
    </row>
    <row r="101" spans="1:3" x14ac:dyDescent="0.25">
      <c r="A101" s="2">
        <v>39692</v>
      </c>
      <c r="B101" s="4">
        <v>7.57</v>
      </c>
      <c r="C101" s="5">
        <v>10</v>
      </c>
    </row>
    <row r="102" spans="1:3" x14ac:dyDescent="0.25">
      <c r="A102" s="2">
        <v>39722</v>
      </c>
      <c r="B102" s="4">
        <v>7.94</v>
      </c>
      <c r="C102" s="5">
        <v>10</v>
      </c>
    </row>
    <row r="103" spans="1:3" x14ac:dyDescent="0.25">
      <c r="A103" s="2">
        <v>39753</v>
      </c>
      <c r="B103" s="4">
        <v>7.73</v>
      </c>
      <c r="C103" s="5">
        <v>10</v>
      </c>
    </row>
    <row r="104" spans="1:3" x14ac:dyDescent="0.25">
      <c r="A104" s="2">
        <v>39783</v>
      </c>
      <c r="B104" s="4">
        <v>7.67</v>
      </c>
      <c r="C104" s="5">
        <v>10</v>
      </c>
    </row>
    <row r="105" spans="1:3" x14ac:dyDescent="0.25">
      <c r="A105" s="2">
        <v>39814</v>
      </c>
      <c r="B105" s="4">
        <v>7.18</v>
      </c>
      <c r="C105" s="5">
        <v>9.5</v>
      </c>
    </row>
    <row r="106" spans="1:3" x14ac:dyDescent="0.25">
      <c r="A106" s="2">
        <v>39845</v>
      </c>
      <c r="B106" s="4">
        <v>6.47</v>
      </c>
      <c r="C106" s="5">
        <v>9.5</v>
      </c>
    </row>
    <row r="107" spans="1:3" x14ac:dyDescent="0.25">
      <c r="A107" s="2">
        <v>39873</v>
      </c>
      <c r="B107" s="4">
        <v>6.14</v>
      </c>
      <c r="C107" s="5">
        <v>9</v>
      </c>
    </row>
    <row r="108" spans="1:3" x14ac:dyDescent="0.25">
      <c r="A108" s="2">
        <v>39904</v>
      </c>
      <c r="B108" s="4">
        <v>5.73</v>
      </c>
      <c r="C108" s="5">
        <v>7</v>
      </c>
    </row>
    <row r="109" spans="1:3" x14ac:dyDescent="0.25">
      <c r="A109" s="2">
        <v>39934</v>
      </c>
      <c r="B109" s="4">
        <v>4.7699999999999996</v>
      </c>
      <c r="C109" s="5">
        <v>7</v>
      </c>
    </row>
    <row r="110" spans="1:3" x14ac:dyDescent="0.25">
      <c r="A110" s="2">
        <v>39965</v>
      </c>
      <c r="B110" s="4">
        <v>3.81</v>
      </c>
      <c r="C110" s="5">
        <v>5</v>
      </c>
    </row>
    <row r="111" spans="1:3" x14ac:dyDescent="0.25">
      <c r="A111" s="2">
        <v>39995</v>
      </c>
      <c r="B111" s="4">
        <v>3.28</v>
      </c>
      <c r="C111" s="5">
        <v>4.5</v>
      </c>
    </row>
    <row r="112" spans="1:3" x14ac:dyDescent="0.25">
      <c r="A112" s="2">
        <v>40026</v>
      </c>
      <c r="B112" s="4">
        <v>3.13</v>
      </c>
      <c r="C112" s="5">
        <v>4.5</v>
      </c>
    </row>
    <row r="113" spans="1:3" x14ac:dyDescent="0.25">
      <c r="A113" s="2">
        <v>40057</v>
      </c>
      <c r="B113" s="4">
        <v>3.21</v>
      </c>
      <c r="C113" s="5">
        <v>4.5</v>
      </c>
    </row>
    <row r="114" spans="1:3" x14ac:dyDescent="0.25">
      <c r="A114" s="2">
        <v>40087</v>
      </c>
      <c r="B114" s="4">
        <v>2.72</v>
      </c>
      <c r="C114" s="5">
        <v>4</v>
      </c>
    </row>
    <row r="115" spans="1:3" x14ac:dyDescent="0.25">
      <c r="A115" s="2">
        <v>40118</v>
      </c>
      <c r="B115" s="4">
        <v>2.37</v>
      </c>
      <c r="C115" s="5">
        <v>4</v>
      </c>
    </row>
    <row r="116" spans="1:3" x14ac:dyDescent="0.25">
      <c r="A116" s="2">
        <v>40148</v>
      </c>
      <c r="B116" s="4">
        <v>2</v>
      </c>
      <c r="C116" s="5">
        <v>3.5</v>
      </c>
    </row>
    <row r="117" spans="1:3" x14ac:dyDescent="0.25">
      <c r="A117" s="2">
        <v>40179</v>
      </c>
      <c r="B117" s="4">
        <v>2.1</v>
      </c>
      <c r="C117" s="5">
        <v>3.5</v>
      </c>
    </row>
    <row r="118" spans="1:3" x14ac:dyDescent="0.25">
      <c r="A118" s="2">
        <v>40210</v>
      </c>
      <c r="B118" s="4">
        <v>2.09</v>
      </c>
      <c r="C118" s="5">
        <v>3.5</v>
      </c>
    </row>
    <row r="119" spans="1:3" x14ac:dyDescent="0.25">
      <c r="A119" s="2">
        <v>40238</v>
      </c>
      <c r="B119" s="4">
        <v>1.84</v>
      </c>
      <c r="C119" s="5">
        <v>3.5</v>
      </c>
    </row>
    <row r="120" spans="1:3" x14ac:dyDescent="0.25">
      <c r="A120" s="2">
        <v>40269</v>
      </c>
      <c r="B120" s="4">
        <v>1.98</v>
      </c>
      <c r="C120" s="5">
        <v>3.5</v>
      </c>
    </row>
    <row r="121" spans="1:3" x14ac:dyDescent="0.25">
      <c r="A121" s="2">
        <v>40299</v>
      </c>
      <c r="B121" s="4">
        <v>2.0699999999999998</v>
      </c>
      <c r="C121" s="5">
        <v>3.5</v>
      </c>
    </row>
    <row r="122" spans="1:3" x14ac:dyDescent="0.25">
      <c r="A122" s="2">
        <v>40330</v>
      </c>
      <c r="B122" s="4">
        <v>2.25</v>
      </c>
      <c r="C122" s="5">
        <v>3</v>
      </c>
    </row>
    <row r="123" spans="1:3" x14ac:dyDescent="0.25">
      <c r="A123" s="2">
        <v>40360</v>
      </c>
      <c r="B123" s="4">
        <v>2.2400000000000002</v>
      </c>
      <c r="C123" s="5">
        <v>3</v>
      </c>
    </row>
    <row r="124" spans="1:3" x14ac:dyDescent="0.25">
      <c r="A124" s="2">
        <v>40391</v>
      </c>
      <c r="B124" s="4">
        <v>2.31</v>
      </c>
      <c r="C124" s="5">
        <v>3</v>
      </c>
    </row>
    <row r="125" spans="1:3" x14ac:dyDescent="0.25">
      <c r="A125" s="2">
        <v>40422</v>
      </c>
      <c r="B125" s="4">
        <v>2.2799999999999998</v>
      </c>
      <c r="C125" s="5">
        <v>3</v>
      </c>
    </row>
    <row r="126" spans="1:3" x14ac:dyDescent="0.25">
      <c r="A126" s="2">
        <v>40452</v>
      </c>
      <c r="B126" s="4">
        <v>2.33</v>
      </c>
      <c r="C126" s="5">
        <v>3</v>
      </c>
    </row>
    <row r="127" spans="1:3" x14ac:dyDescent="0.25">
      <c r="A127" s="2">
        <v>40483</v>
      </c>
      <c r="B127" s="4">
        <v>2.59</v>
      </c>
      <c r="C127" s="5">
        <v>3</v>
      </c>
    </row>
    <row r="128" spans="1:3" x14ac:dyDescent="0.25">
      <c r="A128" s="2">
        <v>40513</v>
      </c>
      <c r="B128" s="4">
        <v>3.17</v>
      </c>
      <c r="C128" s="5">
        <v>3</v>
      </c>
    </row>
    <row r="129" spans="1:3" x14ac:dyDescent="0.25">
      <c r="A129" s="2">
        <v>40544</v>
      </c>
      <c r="B129" s="4">
        <v>3.4</v>
      </c>
      <c r="C129" s="5">
        <v>3</v>
      </c>
    </row>
    <row r="130" spans="1:3" x14ac:dyDescent="0.25">
      <c r="A130" s="2">
        <v>40575</v>
      </c>
      <c r="B130" s="4">
        <v>3.17</v>
      </c>
      <c r="C130" s="5">
        <v>3</v>
      </c>
    </row>
    <row r="131" spans="1:3" x14ac:dyDescent="0.25">
      <c r="A131" s="2">
        <v>40603</v>
      </c>
      <c r="B131" s="4">
        <v>3.19</v>
      </c>
      <c r="C131" s="5">
        <v>3.25</v>
      </c>
    </row>
    <row r="132" spans="1:3" x14ac:dyDescent="0.25">
      <c r="A132" s="2">
        <v>40634</v>
      </c>
      <c r="B132" s="4">
        <v>2.84</v>
      </c>
      <c r="C132" s="5">
        <v>3.5</v>
      </c>
    </row>
    <row r="133" spans="1:3" x14ac:dyDescent="0.25">
      <c r="A133" s="2">
        <v>40664</v>
      </c>
      <c r="B133" s="4">
        <v>3.02</v>
      </c>
      <c r="C133" s="5">
        <v>3.5</v>
      </c>
    </row>
    <row r="134" spans="1:3" x14ac:dyDescent="0.25">
      <c r="A134" s="2">
        <v>40695</v>
      </c>
      <c r="B134" s="4">
        <v>3.23</v>
      </c>
      <c r="C134" s="5">
        <v>4</v>
      </c>
    </row>
    <row r="135" spans="1:3" x14ac:dyDescent="0.25">
      <c r="A135" s="2">
        <v>40725</v>
      </c>
      <c r="B135" s="4">
        <v>3.42</v>
      </c>
      <c r="C135" s="5">
        <v>4.25</v>
      </c>
    </row>
    <row r="136" spans="1:3" x14ac:dyDescent="0.25">
      <c r="A136" s="2">
        <v>40756</v>
      </c>
      <c r="B136" s="4">
        <v>3.27</v>
      </c>
      <c r="C136" s="5">
        <v>4.5</v>
      </c>
    </row>
    <row r="137" spans="1:3" x14ac:dyDescent="0.25">
      <c r="A137" s="2">
        <v>40787</v>
      </c>
      <c r="B137" s="4">
        <v>3.73</v>
      </c>
      <c r="C137" s="5">
        <v>4.5</v>
      </c>
    </row>
    <row r="138" spans="1:3" x14ac:dyDescent="0.25">
      <c r="A138" s="2">
        <v>40817</v>
      </c>
      <c r="B138" s="4">
        <v>4.0199999999999996</v>
      </c>
      <c r="C138" s="5">
        <v>4.5</v>
      </c>
    </row>
    <row r="139" spans="1:3" x14ac:dyDescent="0.25">
      <c r="A139" s="2">
        <v>40848</v>
      </c>
      <c r="B139" s="4">
        <v>3.96</v>
      </c>
      <c r="C139" s="5">
        <v>4.5</v>
      </c>
    </row>
    <row r="140" spans="1:3" x14ac:dyDescent="0.25">
      <c r="A140" s="2">
        <v>40878</v>
      </c>
      <c r="B140" s="4">
        <v>3.73</v>
      </c>
      <c r="C140" s="5">
        <v>4.75</v>
      </c>
    </row>
    <row r="141" spans="1:3" x14ac:dyDescent="0.25">
      <c r="A141" s="2">
        <v>40909</v>
      </c>
      <c r="B141" s="4">
        <v>3.54</v>
      </c>
      <c r="C141" s="5">
        <v>4.75</v>
      </c>
    </row>
    <row r="142" spans="1:3" x14ac:dyDescent="0.25">
      <c r="A142" s="2">
        <v>40940</v>
      </c>
      <c r="B142" s="4">
        <v>3.55</v>
      </c>
      <c r="C142" s="5">
        <v>5</v>
      </c>
    </row>
    <row r="143" spans="1:3" x14ac:dyDescent="0.25">
      <c r="A143" s="2">
        <v>40969</v>
      </c>
      <c r="B143" s="4">
        <v>3.4</v>
      </c>
      <c r="C143" s="5">
        <v>5.25</v>
      </c>
    </row>
    <row r="144" spans="1:3" x14ac:dyDescent="0.25">
      <c r="A144" s="2">
        <v>41000</v>
      </c>
      <c r="B144" s="4">
        <v>3.43</v>
      </c>
      <c r="C144" s="5">
        <v>5.25</v>
      </c>
    </row>
    <row r="145" spans="1:3" x14ac:dyDescent="0.25">
      <c r="A145" s="2">
        <v>41030</v>
      </c>
      <c r="B145" s="4">
        <v>3.44</v>
      </c>
      <c r="C145" s="5">
        <v>5.25</v>
      </c>
    </row>
    <row r="146" spans="1:3" x14ac:dyDescent="0.25">
      <c r="A146" s="2">
        <v>41061</v>
      </c>
      <c r="B146" s="4">
        <v>3.2</v>
      </c>
      <c r="C146" s="5">
        <v>5.25</v>
      </c>
    </row>
    <row r="147" spans="1:3" x14ac:dyDescent="0.25">
      <c r="A147" s="2">
        <v>41091</v>
      </c>
      <c r="B147" s="4">
        <v>3.03</v>
      </c>
      <c r="C147" s="5">
        <v>5.25</v>
      </c>
    </row>
    <row r="148" spans="1:3" x14ac:dyDescent="0.25">
      <c r="A148" s="2">
        <v>41122</v>
      </c>
      <c r="B148" s="4">
        <v>3.11</v>
      </c>
      <c r="C148" s="5">
        <v>5</v>
      </c>
    </row>
    <row r="149" spans="1:3" x14ac:dyDescent="0.25">
      <c r="A149" s="2">
        <v>41153</v>
      </c>
      <c r="B149" s="4">
        <v>3.08</v>
      </c>
      <c r="C149" s="5">
        <v>4.75</v>
      </c>
    </row>
    <row r="150" spans="1:3" x14ac:dyDescent="0.25">
      <c r="A150" s="2">
        <v>41183</v>
      </c>
      <c r="B150" s="4">
        <v>3.06</v>
      </c>
      <c r="C150" s="5">
        <v>4.75</v>
      </c>
    </row>
    <row r="151" spans="1:3" x14ac:dyDescent="0.25">
      <c r="A151" s="2">
        <v>41214</v>
      </c>
      <c r="B151" s="4">
        <v>2.77</v>
      </c>
      <c r="C151" s="5">
        <v>4.75</v>
      </c>
    </row>
    <row r="152" spans="1:3" x14ac:dyDescent="0.25">
      <c r="A152" s="2">
        <v>41244</v>
      </c>
      <c r="B152" s="4">
        <v>2.44</v>
      </c>
      <c r="C152" s="5">
        <v>4.5</v>
      </c>
    </row>
    <row r="153" spans="1:3" x14ac:dyDescent="0.25">
      <c r="A153" s="2">
        <v>41275</v>
      </c>
      <c r="B153" s="4">
        <v>2</v>
      </c>
      <c r="C153" s="5">
        <v>4.25</v>
      </c>
    </row>
    <row r="154" spans="1:3" x14ac:dyDescent="0.25">
      <c r="A154" s="2">
        <v>41306</v>
      </c>
      <c r="B154" s="4">
        <v>1.83</v>
      </c>
      <c r="C154" s="5">
        <v>4</v>
      </c>
    </row>
    <row r="155" spans="1:3" x14ac:dyDescent="0.25">
      <c r="A155" s="2">
        <v>41334</v>
      </c>
      <c r="B155" s="4">
        <v>1.91</v>
      </c>
      <c r="C155" s="5">
        <v>3.75</v>
      </c>
    </row>
    <row r="156" spans="1:3" x14ac:dyDescent="0.25">
      <c r="A156" s="2">
        <v>41365</v>
      </c>
      <c r="B156" s="4">
        <v>2.02</v>
      </c>
      <c r="C156" s="5">
        <v>3.25</v>
      </c>
    </row>
    <row r="157" spans="1:3" x14ac:dyDescent="0.25">
      <c r="A157" s="2">
        <v>41395</v>
      </c>
      <c r="B157" s="4">
        <v>2</v>
      </c>
      <c r="C157" s="5">
        <v>3.25</v>
      </c>
    </row>
    <row r="158" spans="1:3" x14ac:dyDescent="0.25">
      <c r="A158" s="2">
        <v>41426</v>
      </c>
      <c r="B158" s="4">
        <v>2.16</v>
      </c>
      <c r="C158" s="5">
        <v>3.25</v>
      </c>
    </row>
    <row r="159" spans="1:3" x14ac:dyDescent="0.25">
      <c r="A159" s="2">
        <v>41456</v>
      </c>
      <c r="B159" s="4">
        <v>2.2200000000000002</v>
      </c>
      <c r="C159" s="5">
        <v>3.25</v>
      </c>
    </row>
    <row r="160" spans="1:3" x14ac:dyDescent="0.25">
      <c r="A160" s="2">
        <v>41487</v>
      </c>
      <c r="B160" s="4">
        <v>2.27</v>
      </c>
      <c r="C160" s="5">
        <v>3.25</v>
      </c>
    </row>
    <row r="161" spans="1:3" x14ac:dyDescent="0.25">
      <c r="A161" s="2">
        <v>41518</v>
      </c>
      <c r="B161" s="4">
        <v>2.27</v>
      </c>
      <c r="C161" s="5">
        <v>3.25</v>
      </c>
    </row>
    <row r="162" spans="1:3" x14ac:dyDescent="0.25">
      <c r="A162" s="2">
        <v>41548</v>
      </c>
      <c r="B162" s="4">
        <v>1.84</v>
      </c>
      <c r="C162" s="5">
        <v>3.25</v>
      </c>
    </row>
    <row r="163" spans="1:3" x14ac:dyDescent="0.25">
      <c r="A163" s="2">
        <v>41579</v>
      </c>
      <c r="B163" s="4">
        <v>1.76</v>
      </c>
      <c r="C163" s="5">
        <v>3.25</v>
      </c>
    </row>
    <row r="164" spans="1:3" x14ac:dyDescent="0.25">
      <c r="A164" s="2">
        <v>41609</v>
      </c>
      <c r="B164" s="4">
        <v>1.94</v>
      </c>
      <c r="C164" s="5">
        <v>3.25</v>
      </c>
    </row>
    <row r="165" spans="1:3" x14ac:dyDescent="0.25">
      <c r="A165" s="2">
        <v>41640</v>
      </c>
      <c r="B165" s="4">
        <v>2.13</v>
      </c>
      <c r="C165" s="5">
        <v>3.25</v>
      </c>
    </row>
    <row r="166" spans="1:3" x14ac:dyDescent="0.25">
      <c r="A166" s="2">
        <v>41671</v>
      </c>
      <c r="B166" s="4">
        <v>2.3199999999999998</v>
      </c>
      <c r="C166" s="5">
        <v>3.25</v>
      </c>
    </row>
    <row r="167" spans="1:3" x14ac:dyDescent="0.25">
      <c r="A167" s="2">
        <v>41699</v>
      </c>
      <c r="B167" s="4">
        <v>2.5099999999999998</v>
      </c>
      <c r="C167" s="5">
        <v>3.25</v>
      </c>
    </row>
    <row r="168" spans="1:3" x14ac:dyDescent="0.25">
      <c r="A168" s="2">
        <v>41730</v>
      </c>
      <c r="B168" s="4">
        <v>2.72</v>
      </c>
      <c r="C168" s="5">
        <v>3.25</v>
      </c>
    </row>
    <row r="169" spans="1:3" x14ac:dyDescent="0.25">
      <c r="A169" s="2">
        <v>41760</v>
      </c>
      <c r="B169" s="4">
        <v>2.93</v>
      </c>
      <c r="C169" s="5">
        <v>3.5</v>
      </c>
    </row>
    <row r="170" spans="1:3" x14ac:dyDescent="0.25">
      <c r="A170" s="2">
        <v>41791</v>
      </c>
      <c r="B170" s="4">
        <v>2.79</v>
      </c>
      <c r="C170" s="5">
        <v>3.5</v>
      </c>
    </row>
    <row r="171" spans="1:3" x14ac:dyDescent="0.25">
      <c r="A171" s="2">
        <v>41821</v>
      </c>
      <c r="B171" s="4">
        <v>2.89</v>
      </c>
      <c r="C171" s="5">
        <v>4</v>
      </c>
    </row>
    <row r="172" spans="1:3" x14ac:dyDescent="0.25">
      <c r="A172" s="2">
        <v>41852</v>
      </c>
      <c r="B172" s="4">
        <v>3.02</v>
      </c>
      <c r="C172" s="5">
        <v>4.25</v>
      </c>
    </row>
    <row r="173" spans="1:3" x14ac:dyDescent="0.25">
      <c r="A173" s="2">
        <v>41883</v>
      </c>
      <c r="B173" s="4">
        <v>2.86</v>
      </c>
      <c r="C173" s="5">
        <v>4.5</v>
      </c>
    </row>
    <row r="174" spans="1:3" x14ac:dyDescent="0.25">
      <c r="A174" s="2">
        <v>41913</v>
      </c>
      <c r="B174" s="4">
        <v>3.29</v>
      </c>
      <c r="C174" s="5">
        <v>4.5</v>
      </c>
    </row>
    <row r="175" spans="1:3" x14ac:dyDescent="0.25">
      <c r="A175" s="2">
        <v>41944</v>
      </c>
      <c r="B175" s="4">
        <v>3.65</v>
      </c>
      <c r="C175" s="5">
        <v>4.5</v>
      </c>
    </row>
    <row r="176" spans="1:3" x14ac:dyDescent="0.25">
      <c r="A176" s="2">
        <v>41974</v>
      </c>
      <c r="B176" s="4">
        <v>3.66</v>
      </c>
      <c r="C176" s="5">
        <v>4.5</v>
      </c>
    </row>
    <row r="177" spans="1:3" x14ac:dyDescent="0.25">
      <c r="A177" s="2">
        <v>42005</v>
      </c>
      <c r="B177" s="4">
        <v>3.82</v>
      </c>
      <c r="C177" s="5">
        <v>4.5</v>
      </c>
    </row>
    <row r="178" spans="1:3" x14ac:dyDescent="0.25">
      <c r="A178" s="2">
        <v>42036</v>
      </c>
      <c r="B178" s="4">
        <v>4.3600000000000003</v>
      </c>
      <c r="C178" s="5">
        <v>4.5</v>
      </c>
    </row>
    <row r="179" spans="1:3" x14ac:dyDescent="0.25">
      <c r="A179" s="2">
        <v>42064</v>
      </c>
      <c r="B179" s="4">
        <v>4.5599999999999996</v>
      </c>
      <c r="C179" s="5">
        <v>4.5</v>
      </c>
    </row>
    <row r="180" spans="1:3" x14ac:dyDescent="0.25">
      <c r="A180" s="2">
        <v>42095</v>
      </c>
      <c r="B180" s="4">
        <v>4.6399999999999997</v>
      </c>
      <c r="C180" s="5">
        <v>4.5</v>
      </c>
    </row>
    <row r="181" spans="1:3" x14ac:dyDescent="0.25">
      <c r="A181" s="2">
        <v>42125</v>
      </c>
      <c r="B181" s="4">
        <v>4.41</v>
      </c>
      <c r="C181" s="5">
        <v>4.5</v>
      </c>
    </row>
    <row r="182" spans="1:3" x14ac:dyDescent="0.25">
      <c r="A182" s="2">
        <v>42156</v>
      </c>
      <c r="B182" s="4">
        <v>4.42</v>
      </c>
      <c r="C182" s="5">
        <v>4.5</v>
      </c>
    </row>
    <row r="183" spans="1:3" x14ac:dyDescent="0.25">
      <c r="A183" s="2">
        <v>42186</v>
      </c>
      <c r="B183" s="4">
        <v>4.46</v>
      </c>
      <c r="C183" s="5">
        <v>4.5</v>
      </c>
    </row>
    <row r="184" spans="1:3" x14ac:dyDescent="0.25">
      <c r="A184" s="2">
        <v>42217</v>
      </c>
      <c r="B184" s="4">
        <v>4.74</v>
      </c>
      <c r="C184" s="5">
        <v>4.5</v>
      </c>
    </row>
    <row r="185" spans="1:3" x14ac:dyDescent="0.25">
      <c r="A185" s="2">
        <v>42248</v>
      </c>
      <c r="B185" s="4">
        <v>5.35</v>
      </c>
      <c r="C185" s="5">
        <v>4.5</v>
      </c>
    </row>
    <row r="186" spans="1:3" x14ac:dyDescent="0.25">
      <c r="A186" s="2">
        <v>42278</v>
      </c>
      <c r="B186" s="4">
        <v>5.89</v>
      </c>
      <c r="C186" s="5">
        <v>4.75</v>
      </c>
    </row>
    <row r="187" spans="1:3" x14ac:dyDescent="0.25">
      <c r="A187" s="2">
        <v>42309</v>
      </c>
      <c r="B187" s="4">
        <v>6.39</v>
      </c>
      <c r="C187" s="5">
        <v>4.75</v>
      </c>
    </row>
    <row r="188" spans="1:3" x14ac:dyDescent="0.25">
      <c r="A188" s="2">
        <v>42339</v>
      </c>
      <c r="B188" s="4">
        <v>6.77</v>
      </c>
      <c r="C188" s="5">
        <v>5.5</v>
      </c>
    </row>
    <row r="189" spans="1:3" x14ac:dyDescent="0.25">
      <c r="A189" s="2">
        <v>42370</v>
      </c>
      <c r="B189" s="4">
        <v>7.45</v>
      </c>
      <c r="C189" s="5">
        <v>5.75</v>
      </c>
    </row>
    <row r="190" spans="1:3" x14ac:dyDescent="0.25">
      <c r="A190" s="2">
        <v>42401</v>
      </c>
      <c r="B190" s="4">
        <v>7.59</v>
      </c>
      <c r="C190" s="5">
        <v>6</v>
      </c>
    </row>
    <row r="191" spans="1:3" x14ac:dyDescent="0.25">
      <c r="A191" s="2">
        <v>42430</v>
      </c>
      <c r="B191" s="4">
        <v>7.98</v>
      </c>
      <c r="C191" s="5">
        <v>6.25</v>
      </c>
    </row>
    <row r="192" spans="1:3" x14ac:dyDescent="0.25">
      <c r="A192" s="2">
        <v>42461</v>
      </c>
      <c r="B192" s="4">
        <v>7.93</v>
      </c>
      <c r="C192" s="5">
        <v>6.5</v>
      </c>
    </row>
    <row r="193" spans="1:3" x14ac:dyDescent="0.25">
      <c r="A193" s="2">
        <v>42491</v>
      </c>
      <c r="B193" s="4">
        <v>8.1999999999999993</v>
      </c>
      <c r="C193" s="5">
        <v>6.5</v>
      </c>
    </row>
    <row r="194" spans="1:3" x14ac:dyDescent="0.25">
      <c r="A194" s="2">
        <v>42522</v>
      </c>
      <c r="B194" s="4">
        <v>8.6</v>
      </c>
      <c r="C194" s="5">
        <v>7.25</v>
      </c>
    </row>
    <row r="195" spans="1:3" x14ac:dyDescent="0.25">
      <c r="A195" s="2">
        <v>42552</v>
      </c>
      <c r="B195" s="4">
        <v>8.9700000000000006</v>
      </c>
      <c r="C195" s="5">
        <v>7.5</v>
      </c>
    </row>
    <row r="196" spans="1:3" x14ac:dyDescent="0.25">
      <c r="A196" s="2">
        <v>42583</v>
      </c>
      <c r="B196" s="4">
        <v>8.1</v>
      </c>
      <c r="C196" s="5">
        <v>7.75</v>
      </c>
    </row>
    <row r="197" spans="1:3" x14ac:dyDescent="0.25">
      <c r="A197" s="2">
        <v>42614</v>
      </c>
      <c r="B197" s="4">
        <v>7.27</v>
      </c>
      <c r="C197" s="5">
        <v>7.75</v>
      </c>
    </row>
    <row r="198" spans="1:3" x14ac:dyDescent="0.25">
      <c r="A198" s="2">
        <v>42644</v>
      </c>
      <c r="B198" s="4">
        <v>6.48</v>
      </c>
      <c r="C198" s="5">
        <v>7.75</v>
      </c>
    </row>
    <row r="199" spans="1:3" x14ac:dyDescent="0.25">
      <c r="A199" s="2">
        <v>42675</v>
      </c>
      <c r="B199" s="4">
        <v>5.96</v>
      </c>
      <c r="C199" s="5">
        <v>7.75</v>
      </c>
    </row>
    <row r="200" spans="1:3" x14ac:dyDescent="0.25">
      <c r="A200" s="2">
        <v>42705</v>
      </c>
      <c r="B200" s="4">
        <v>5.75</v>
      </c>
      <c r="C200" s="5">
        <v>7.75</v>
      </c>
    </row>
    <row r="201" spans="1:3" x14ac:dyDescent="0.25">
      <c r="A201" s="2">
        <v>42736</v>
      </c>
      <c r="B201" s="4">
        <v>5.47</v>
      </c>
      <c r="C201" s="5">
        <v>7.5</v>
      </c>
    </row>
    <row r="202" spans="1:3" x14ac:dyDescent="0.25">
      <c r="A202" s="2">
        <v>42767</v>
      </c>
      <c r="B202" s="4">
        <v>5.18</v>
      </c>
      <c r="C202" s="5">
        <v>7.5</v>
      </c>
    </row>
    <row r="203" spans="1:3" x14ac:dyDescent="0.25">
      <c r="A203" s="2">
        <v>42795</v>
      </c>
      <c r="B203" s="4">
        <v>4.6900000000000004</v>
      </c>
      <c r="C203" s="5">
        <v>7.25</v>
      </c>
    </row>
    <row r="204" spans="1:3" x14ac:dyDescent="0.25">
      <c r="A204" s="2">
        <v>42826</v>
      </c>
      <c r="B204" s="4">
        <v>4.66</v>
      </c>
      <c r="C204" s="5">
        <v>7</v>
      </c>
    </row>
    <row r="205" spans="1:3" x14ac:dyDescent="0.25">
      <c r="A205" s="2">
        <v>42856</v>
      </c>
      <c r="B205" s="4">
        <v>4.37</v>
      </c>
      <c r="C205" s="5">
        <v>7</v>
      </c>
    </row>
    <row r="206" spans="1:3" x14ac:dyDescent="0.25">
      <c r="A206" s="2">
        <v>42887</v>
      </c>
      <c r="B206" s="4">
        <v>3.99</v>
      </c>
      <c r="C206" s="5">
        <v>6.25</v>
      </c>
    </row>
    <row r="207" spans="1:3" x14ac:dyDescent="0.25">
      <c r="A207" s="2">
        <v>42917</v>
      </c>
      <c r="B207" s="4">
        <v>3.4</v>
      </c>
      <c r="C207" s="5">
        <v>6.25</v>
      </c>
    </row>
    <row r="208" spans="1:3" x14ac:dyDescent="0.25">
      <c r="A208" s="2">
        <v>42948</v>
      </c>
      <c r="B208" s="4">
        <v>3.87</v>
      </c>
      <c r="C208" s="5">
        <v>5.5</v>
      </c>
    </row>
    <row r="209" spans="1:3" x14ac:dyDescent="0.25">
      <c r="A209" s="2">
        <v>42979</v>
      </c>
      <c r="B209" s="4">
        <v>3.97</v>
      </c>
      <c r="C209" s="5">
        <v>5.25</v>
      </c>
    </row>
    <row r="210" spans="1:3" x14ac:dyDescent="0.25">
      <c r="A210" s="2">
        <v>43009</v>
      </c>
      <c r="B210" s="4">
        <v>4.05</v>
      </c>
      <c r="C210" s="5">
        <v>5.25</v>
      </c>
    </row>
    <row r="211" spans="1:3" x14ac:dyDescent="0.25">
      <c r="A211" s="2">
        <v>43040</v>
      </c>
      <c r="B211" s="4">
        <v>4.12</v>
      </c>
      <c r="C211" s="5">
        <v>5</v>
      </c>
    </row>
    <row r="212" spans="1:3" x14ac:dyDescent="0.25">
      <c r="A212" s="2">
        <v>43070</v>
      </c>
      <c r="B212" s="4">
        <v>4.09</v>
      </c>
      <c r="C212" s="5">
        <v>4.75</v>
      </c>
    </row>
    <row r="213" spans="1:3" x14ac:dyDescent="0.25">
      <c r="A213" s="2">
        <v>43101</v>
      </c>
      <c r="B213" s="4">
        <v>3.68</v>
      </c>
      <c r="C213" s="5">
        <v>4.75</v>
      </c>
    </row>
    <row r="214" spans="1:3" x14ac:dyDescent="0.25">
      <c r="A214" s="2">
        <v>43132</v>
      </c>
      <c r="B214" s="4">
        <v>3.37</v>
      </c>
      <c r="C214" s="5">
        <v>4.5</v>
      </c>
    </row>
    <row r="215" spans="1:3" x14ac:dyDescent="0.25">
      <c r="A215" s="2">
        <v>43160</v>
      </c>
      <c r="B215" s="4">
        <v>3.14</v>
      </c>
      <c r="C215" s="5">
        <v>4.5</v>
      </c>
    </row>
    <row r="216" spans="1:3" x14ac:dyDescent="0.25">
      <c r="A216" s="2">
        <v>43191</v>
      </c>
      <c r="B216" s="4">
        <v>3.13</v>
      </c>
      <c r="C216" s="5">
        <v>4.5</v>
      </c>
    </row>
    <row r="217" spans="1:3" x14ac:dyDescent="0.25">
      <c r="A217" s="2">
        <v>43221</v>
      </c>
      <c r="B217" s="4">
        <v>3.16</v>
      </c>
      <c r="C217" s="5">
        <v>4.25</v>
      </c>
    </row>
    <row r="218" spans="1:3" x14ac:dyDescent="0.25">
      <c r="A218" s="2">
        <v>43252</v>
      </c>
      <c r="B218" s="4">
        <v>3.2</v>
      </c>
      <c r="C218" s="5">
        <v>4.25</v>
      </c>
    </row>
    <row r="219" spans="1:3" x14ac:dyDescent="0.25">
      <c r="A219" s="2">
        <v>43282</v>
      </c>
      <c r="B219" s="4">
        <v>3.12</v>
      </c>
      <c r="C219" s="5">
        <v>4.25</v>
      </c>
    </row>
    <row r="220" spans="1:3" x14ac:dyDescent="0.25">
      <c r="A220" s="2">
        <v>43313</v>
      </c>
      <c r="B220" s="4">
        <v>3.1</v>
      </c>
      <c r="C220" s="5">
        <v>4.25</v>
      </c>
    </row>
    <row r="221" spans="1:3" x14ac:dyDescent="0.25">
      <c r="A221" s="2">
        <v>43344</v>
      </c>
      <c r="B221" s="4">
        <v>3.23</v>
      </c>
      <c r="C221" s="5">
        <v>4.25</v>
      </c>
    </row>
    <row r="222" spans="1:3" x14ac:dyDescent="0.25">
      <c r="A222" s="2">
        <v>43374</v>
      </c>
      <c r="B222" s="4">
        <v>3.33</v>
      </c>
      <c r="C222" s="5">
        <v>4.25</v>
      </c>
    </row>
    <row r="223" spans="1:3" x14ac:dyDescent="0.25">
      <c r="A223" s="2">
        <v>43405</v>
      </c>
      <c r="B223" s="4">
        <v>3.27</v>
      </c>
      <c r="C223" s="5">
        <v>4.25</v>
      </c>
    </row>
    <row r="224" spans="1:3" x14ac:dyDescent="0.25">
      <c r="A224" s="2">
        <v>43435</v>
      </c>
      <c r="B224" s="4">
        <v>3.18</v>
      </c>
      <c r="C224" s="5">
        <v>4.25</v>
      </c>
    </row>
    <row r="225" spans="1:3" x14ac:dyDescent="0.25">
      <c r="A225" s="2">
        <v>43466</v>
      </c>
      <c r="B225" s="4">
        <v>3.15</v>
      </c>
      <c r="C225" s="5">
        <v>4.25</v>
      </c>
    </row>
    <row r="226" spans="1:3" x14ac:dyDescent="0.25">
      <c r="A226" s="2">
        <v>43497</v>
      </c>
      <c r="B226" s="4">
        <v>3.01</v>
      </c>
      <c r="C226" s="5">
        <v>4.25</v>
      </c>
    </row>
    <row r="227" spans="1:3" x14ac:dyDescent="0.25">
      <c r="A227" s="2">
        <v>43525</v>
      </c>
      <c r="B227" s="4">
        <v>3.21</v>
      </c>
      <c r="C227" s="5">
        <v>4.25</v>
      </c>
    </row>
    <row r="228" spans="1:3" x14ac:dyDescent="0.25">
      <c r="A228" s="2">
        <v>43556</v>
      </c>
      <c r="B228" s="4">
        <v>3.25</v>
      </c>
      <c r="C228" s="5">
        <v>4.25</v>
      </c>
    </row>
    <row r="229" spans="1:3" x14ac:dyDescent="0.25">
      <c r="A229" s="2">
        <v>43586</v>
      </c>
      <c r="B229" s="4">
        <v>3.31</v>
      </c>
      <c r="C229" s="5">
        <v>4.25</v>
      </c>
    </row>
    <row r="230" spans="1:3" x14ac:dyDescent="0.25">
      <c r="A230" s="2">
        <v>43617</v>
      </c>
      <c r="B230" s="4">
        <v>3.43</v>
      </c>
      <c r="C230" s="5">
        <v>4.25</v>
      </c>
    </row>
    <row r="231" spans="1:3" x14ac:dyDescent="0.25">
      <c r="A231" s="2">
        <v>43647</v>
      </c>
      <c r="B231" s="4">
        <v>3.79</v>
      </c>
      <c r="C231" s="5">
        <v>4.25</v>
      </c>
    </row>
    <row r="232" spans="1:3" x14ac:dyDescent="0.25">
      <c r="A232" s="2">
        <v>43678</v>
      </c>
      <c r="B232" s="4">
        <v>3.75</v>
      </c>
      <c r="C232" s="5">
        <v>4.25</v>
      </c>
    </row>
    <row r="233" spans="1:3" x14ac:dyDescent="0.25">
      <c r="A233" s="2">
        <v>43709</v>
      </c>
      <c r="B233" s="4">
        <v>3.82</v>
      </c>
      <c r="C233" s="5">
        <v>4.25</v>
      </c>
    </row>
    <row r="234" spans="1:3" x14ac:dyDescent="0.25">
      <c r="A234" s="2">
        <v>43739</v>
      </c>
      <c r="B234" s="4">
        <v>3.86</v>
      </c>
      <c r="C234" s="5">
        <v>4.25</v>
      </c>
    </row>
    <row r="235" spans="1:3" x14ac:dyDescent="0.25">
      <c r="A235" s="2">
        <v>43770</v>
      </c>
      <c r="B235" s="4">
        <v>3.84</v>
      </c>
      <c r="C235" s="5">
        <v>4.25</v>
      </c>
    </row>
    <row r="236" spans="1:3" x14ac:dyDescent="0.25">
      <c r="A236" s="2">
        <v>43800</v>
      </c>
      <c r="B236" s="4">
        <v>3.8</v>
      </c>
      <c r="C236" s="5">
        <v>4.25</v>
      </c>
    </row>
    <row r="237" spans="1:3" x14ac:dyDescent="0.25">
      <c r="A237" s="2">
        <v>43831</v>
      </c>
      <c r="B237" s="4">
        <v>3.62</v>
      </c>
      <c r="C237" s="5">
        <v>4.25</v>
      </c>
    </row>
    <row r="238" spans="1:3" x14ac:dyDescent="0.25">
      <c r="A238" s="2">
        <v>43862</v>
      </c>
      <c r="B238" s="4">
        <v>3.72</v>
      </c>
      <c r="C238" s="5">
        <v>4.25</v>
      </c>
    </row>
    <row r="239" spans="1:3" x14ac:dyDescent="0.25">
      <c r="A239" s="2">
        <v>43891</v>
      </c>
      <c r="B239" s="4">
        <v>3.86</v>
      </c>
      <c r="C239" s="5">
        <v>4.25</v>
      </c>
    </row>
    <row r="240" spans="1:3" x14ac:dyDescent="0.25">
      <c r="A240" s="2">
        <v>43922</v>
      </c>
      <c r="B240" s="4">
        <v>3.51</v>
      </c>
      <c r="C240" s="5">
        <v>3.75</v>
      </c>
    </row>
    <row r="241" spans="1:3" x14ac:dyDescent="0.25">
      <c r="A241" s="2">
        <v>43952</v>
      </c>
      <c r="B241" s="4">
        <v>2.85</v>
      </c>
      <c r="C241" s="5">
        <v>3.75</v>
      </c>
    </row>
    <row r="242" spans="1:3" x14ac:dyDescent="0.25">
      <c r="A242" s="2">
        <v>43983</v>
      </c>
      <c r="B242" s="4">
        <v>2.19</v>
      </c>
      <c r="C242" s="5">
        <v>2.75</v>
      </c>
    </row>
    <row r="243" spans="1:3" x14ac:dyDescent="0.25">
      <c r="A243" s="2">
        <v>44013</v>
      </c>
      <c r="B243" s="4">
        <v>1.97</v>
      </c>
      <c r="C243" s="5">
        <v>2.5</v>
      </c>
    </row>
    <row r="244" spans="1:3" x14ac:dyDescent="0.25">
      <c r="A244" s="2">
        <v>44044</v>
      </c>
      <c r="B244" s="4">
        <v>1.88</v>
      </c>
      <c r="C244" s="5">
        <v>2.5</v>
      </c>
    </row>
    <row r="245" spans="1:3" x14ac:dyDescent="0.25">
      <c r="A245" s="2">
        <v>44075</v>
      </c>
      <c r="B245" s="4">
        <v>1.97</v>
      </c>
      <c r="C245" s="5">
        <v>2</v>
      </c>
    </row>
    <row r="246" spans="1:3" x14ac:dyDescent="0.25">
      <c r="A246" s="2">
        <v>44105</v>
      </c>
      <c r="B246" s="4">
        <v>1.75</v>
      </c>
      <c r="C246" s="5">
        <v>1.75</v>
      </c>
    </row>
    <row r="247" spans="1:3" x14ac:dyDescent="0.25">
      <c r="A247" s="2">
        <v>44136</v>
      </c>
      <c r="B247" s="4">
        <v>1.49</v>
      </c>
      <c r="C247" s="5">
        <v>1.75</v>
      </c>
    </row>
    <row r="248" spans="1:3" x14ac:dyDescent="0.25">
      <c r="A248" s="2">
        <v>44166</v>
      </c>
      <c r="B248" s="4">
        <v>1.61</v>
      </c>
      <c r="C248" s="5">
        <v>1.75</v>
      </c>
    </row>
    <row r="249" spans="1:3" x14ac:dyDescent="0.25">
      <c r="A249" s="2">
        <v>44197</v>
      </c>
      <c r="B249" s="4">
        <v>1.6</v>
      </c>
      <c r="C249" s="5">
        <v>1.75</v>
      </c>
    </row>
    <row r="250" spans="1:3" x14ac:dyDescent="0.25">
      <c r="A250" s="2">
        <v>44228</v>
      </c>
      <c r="B250" s="4">
        <v>1.56</v>
      </c>
      <c r="C250" s="5">
        <v>1.75</v>
      </c>
    </row>
    <row r="251" spans="1:3" x14ac:dyDescent="0.25">
      <c r="A251" s="2">
        <v>44256</v>
      </c>
      <c r="B251" s="4">
        <v>1.51</v>
      </c>
      <c r="C251" s="5">
        <v>1.75</v>
      </c>
    </row>
    <row r="252" spans="1:3" x14ac:dyDescent="0.25">
      <c r="A252" s="2">
        <v>44287</v>
      </c>
      <c r="B252" s="4">
        <v>1.95</v>
      </c>
      <c r="C252" s="5">
        <v>1.75</v>
      </c>
    </row>
    <row r="253" spans="1:3" x14ac:dyDescent="0.25">
      <c r="A253" s="2">
        <v>44317</v>
      </c>
      <c r="B253" s="4">
        <v>3.3</v>
      </c>
      <c r="C253" s="5">
        <v>1.75</v>
      </c>
    </row>
    <row r="254" spans="1:3" x14ac:dyDescent="0.25">
      <c r="A254" s="2">
        <v>44348</v>
      </c>
      <c r="B254" s="4">
        <v>3.63</v>
      </c>
      <c r="C254" s="5">
        <v>1.75</v>
      </c>
    </row>
    <row r="255" spans="1:3" x14ac:dyDescent="0.25">
      <c r="A255" s="2">
        <v>44378</v>
      </c>
      <c r="B255" s="4">
        <v>3.97</v>
      </c>
      <c r="C255" s="5">
        <v>1.75</v>
      </c>
    </row>
    <row r="256" spans="1:3" x14ac:dyDescent="0.25">
      <c r="A256" s="2">
        <v>44409</v>
      </c>
      <c r="B256" s="4">
        <v>4.4400000000000004</v>
      </c>
      <c r="C256" s="5">
        <v>1.75</v>
      </c>
    </row>
    <row r="257" spans="1:3" x14ac:dyDescent="0.25">
      <c r="A257" s="2">
        <v>44440</v>
      </c>
      <c r="B257" s="4">
        <v>4.51</v>
      </c>
      <c r="C257" s="5">
        <v>1.75</v>
      </c>
    </row>
    <row r="258" spans="1:3" x14ac:dyDescent="0.25">
      <c r="A258" s="2">
        <v>44470</v>
      </c>
      <c r="B258" s="4">
        <v>4.58</v>
      </c>
      <c r="C258" s="5">
        <v>2</v>
      </c>
    </row>
    <row r="259" spans="1:3" x14ac:dyDescent="0.25">
      <c r="A259" s="2">
        <v>44501</v>
      </c>
      <c r="B259" s="4">
        <v>5.26</v>
      </c>
      <c r="C259" s="5">
        <v>2</v>
      </c>
    </row>
    <row r="260" spans="1:3" x14ac:dyDescent="0.25">
      <c r="A260" s="2">
        <v>44531</v>
      </c>
      <c r="B260" s="4">
        <v>5.62</v>
      </c>
      <c r="C260" s="5">
        <v>2.5</v>
      </c>
    </row>
    <row r="261" spans="1:3" x14ac:dyDescent="0.25">
      <c r="A261" s="2">
        <v>44562</v>
      </c>
      <c r="B261" s="4">
        <v>6.94</v>
      </c>
      <c r="C261" s="5">
        <v>3</v>
      </c>
    </row>
    <row r="262" spans="1:3" x14ac:dyDescent="0.25">
      <c r="A262" s="2">
        <v>44593</v>
      </c>
      <c r="B262" s="4">
        <v>8.01</v>
      </c>
      <c r="C262" s="5">
        <v>4</v>
      </c>
    </row>
    <row r="263" spans="1:3" x14ac:dyDescent="0.25">
      <c r="A263" s="2">
        <v>44621</v>
      </c>
      <c r="B263" s="4">
        <v>8.5299999999999994</v>
      </c>
      <c r="C263" s="5">
        <v>4</v>
      </c>
    </row>
    <row r="264" spans="1:3" x14ac:dyDescent="0.25">
      <c r="A264" s="2">
        <v>44652</v>
      </c>
      <c r="B264" s="4">
        <v>9.23</v>
      </c>
      <c r="C264" s="5">
        <v>5</v>
      </c>
    </row>
    <row r="265" spans="1:3" x14ac:dyDescent="0.25">
      <c r="A265" s="2">
        <v>44682</v>
      </c>
      <c r="B265" s="4">
        <v>9.07</v>
      </c>
      <c r="C265" s="5">
        <v>5</v>
      </c>
    </row>
    <row r="266" spans="1:3" x14ac:dyDescent="0.25">
      <c r="A266" s="2">
        <v>44713</v>
      </c>
      <c r="B266" s="4">
        <v>9.67</v>
      </c>
      <c r="C266" s="5">
        <v>6</v>
      </c>
    </row>
    <row r="267" spans="1:3" x14ac:dyDescent="0.25">
      <c r="A267" s="2">
        <v>44743</v>
      </c>
      <c r="B267" s="4">
        <v>10.210000000000001</v>
      </c>
      <c r="C267" s="5">
        <v>7.5</v>
      </c>
    </row>
    <row r="268" spans="1:3" x14ac:dyDescent="0.25">
      <c r="A268" s="2">
        <v>44774</v>
      </c>
      <c r="B268" s="4">
        <v>10.84</v>
      </c>
      <c r="C268" s="5">
        <v>9</v>
      </c>
    </row>
    <row r="269" spans="1:3" x14ac:dyDescent="0.25">
      <c r="A269" s="2">
        <v>44805</v>
      </c>
      <c r="B269" s="4">
        <v>11.44</v>
      </c>
      <c r="C269" s="5">
        <v>9</v>
      </c>
    </row>
    <row r="270" spans="1:3" x14ac:dyDescent="0.25">
      <c r="A270" s="2">
        <v>44835</v>
      </c>
      <c r="B270" s="4">
        <v>12.22</v>
      </c>
      <c r="C270" s="5">
        <v>10</v>
      </c>
    </row>
    <row r="271" spans="1:3" x14ac:dyDescent="0.25">
      <c r="A271" s="2">
        <v>44866</v>
      </c>
      <c r="B271" s="4">
        <v>12.53</v>
      </c>
      <c r="C271" s="5">
        <v>11</v>
      </c>
    </row>
    <row r="272" spans="1:3" x14ac:dyDescent="0.25">
      <c r="A272" s="2">
        <v>44896</v>
      </c>
      <c r="B272" s="4">
        <v>13.12</v>
      </c>
      <c r="C272" s="5">
        <v>11</v>
      </c>
    </row>
    <row r="273" spans="1:3" x14ac:dyDescent="0.25">
      <c r="A273" s="2">
        <v>44927</v>
      </c>
      <c r="B273" s="4">
        <v>13.25</v>
      </c>
      <c r="C273" s="5">
        <v>12</v>
      </c>
    </row>
    <row r="274" spans="1:3" x14ac:dyDescent="0.25">
      <c r="A274" s="2">
        <v>44958</v>
      </c>
      <c r="B274" s="4">
        <v>13.28</v>
      </c>
      <c r="C274" s="5">
        <v>12.75</v>
      </c>
    </row>
    <row r="275" spans="1:3" x14ac:dyDescent="0.25">
      <c r="A275" s="2">
        <v>44986</v>
      </c>
      <c r="B275" s="4">
        <v>13.34</v>
      </c>
      <c r="C275" s="5">
        <v>12.75</v>
      </c>
    </row>
    <row r="276" spans="1:3" x14ac:dyDescent="0.25">
      <c r="A276" s="2">
        <v>45017</v>
      </c>
      <c r="B276" s="4">
        <v>12.82</v>
      </c>
      <c r="C276" s="5">
        <v>13</v>
      </c>
    </row>
    <row r="277" spans="1:3" x14ac:dyDescent="0.25">
      <c r="A277" s="2">
        <v>45047</v>
      </c>
      <c r="B277" s="4">
        <v>12.36</v>
      </c>
      <c r="C277" s="5">
        <v>13</v>
      </c>
    </row>
    <row r="278" spans="1:3" x14ac:dyDescent="0.25">
      <c r="A278" s="2">
        <v>45078</v>
      </c>
      <c r="B278" s="4">
        <v>12.13</v>
      </c>
      <c r="C278" s="5">
        <v>13.25</v>
      </c>
    </row>
    <row r="279" spans="1:3" x14ac:dyDescent="0.25">
      <c r="A279" s="2">
        <v>45108</v>
      </c>
      <c r="B279" s="4">
        <v>11.78</v>
      </c>
      <c r="C279" s="5">
        <v>13.25</v>
      </c>
    </row>
    <row r="280" spans="1:3" x14ac:dyDescent="0.25">
      <c r="A280" s="2">
        <v>45139</v>
      </c>
      <c r="B280" s="4">
        <v>11.43</v>
      </c>
      <c r="C280" s="5">
        <v>13.25</v>
      </c>
    </row>
    <row r="281" spans="1:3" x14ac:dyDescent="0.25">
      <c r="A281" s="2">
        <v>45170</v>
      </c>
      <c r="B281" s="4">
        <v>10.99</v>
      </c>
      <c r="C281" s="5">
        <v>13.25</v>
      </c>
    </row>
    <row r="282" spans="1:3" x14ac:dyDescent="0.25">
      <c r="A282" s="2">
        <v>45200</v>
      </c>
      <c r="B282" s="4">
        <v>10.48</v>
      </c>
      <c r="C282" s="5">
        <v>13.25</v>
      </c>
    </row>
    <row r="283" spans="1:3" x14ac:dyDescent="0.25">
      <c r="A283" s="2">
        <v>45231</v>
      </c>
      <c r="B283" s="4">
        <v>10.15</v>
      </c>
      <c r="C283" s="5">
        <v>13.25</v>
      </c>
    </row>
    <row r="284" spans="1:3" x14ac:dyDescent="0.25">
      <c r="A284" s="2">
        <v>45261</v>
      </c>
      <c r="B284" s="4">
        <v>9.2799999999999994</v>
      </c>
      <c r="C284" s="5">
        <v>13.25</v>
      </c>
    </row>
    <row r="285" spans="1:3" x14ac:dyDescent="0.25">
      <c r="A285" s="2">
        <v>45292</v>
      </c>
      <c r="B285" s="4">
        <v>8.35</v>
      </c>
      <c r="C285" s="4">
        <v>13</v>
      </c>
    </row>
    <row r="286" spans="1:3" x14ac:dyDescent="0.25">
      <c r="A286" s="2">
        <v>45323</v>
      </c>
      <c r="B286" s="4">
        <v>7.74</v>
      </c>
      <c r="C286" s="43">
        <v>12.75</v>
      </c>
    </row>
    <row r="287" spans="1:3" x14ac:dyDescent="0.25">
      <c r="A287" s="2">
        <v>45352</v>
      </c>
      <c r="B287" s="4">
        <v>7.36</v>
      </c>
      <c r="C287" s="43">
        <v>12.75</v>
      </c>
    </row>
    <row r="288" spans="1:3" x14ac:dyDescent="0.25">
      <c r="A288" s="2">
        <v>45383</v>
      </c>
      <c r="B288" s="4">
        <v>7.16</v>
      </c>
      <c r="C288" s="43">
        <v>12.25</v>
      </c>
    </row>
    <row r="289" spans="1:3" x14ac:dyDescent="0.25">
      <c r="A289" s="2">
        <v>45413</v>
      </c>
      <c r="B289" s="4">
        <v>7.16</v>
      </c>
      <c r="C289" s="4">
        <v>12.25</v>
      </c>
    </row>
    <row r="290" spans="1:3" x14ac:dyDescent="0.25">
      <c r="A290" s="2">
        <v>45444</v>
      </c>
      <c r="B290" s="4">
        <v>7.18</v>
      </c>
      <c r="C290" s="4">
        <v>11.75</v>
      </c>
    </row>
    <row r="291" spans="1:3" x14ac:dyDescent="0.25">
      <c r="A291" s="2">
        <v>45474</v>
      </c>
      <c r="B291" s="4">
        <v>6.86</v>
      </c>
      <c r="C291" s="4">
        <v>11.25</v>
      </c>
    </row>
    <row r="292" spans="1:3" x14ac:dyDescent="0.25">
      <c r="A292" s="2">
        <v>45505</v>
      </c>
      <c r="B292" s="4">
        <v>6.12</v>
      </c>
      <c r="C292" s="4">
        <v>10.75</v>
      </c>
    </row>
    <row r="293" spans="1:3" x14ac:dyDescent="0.25">
      <c r="A293" s="2">
        <v>45536</v>
      </c>
      <c r="B293" s="4">
        <v>5.81</v>
      </c>
      <c r="C293" s="4">
        <v>10.25</v>
      </c>
    </row>
    <row r="294" spans="1:3" x14ac:dyDescent="0.25">
      <c r="A294" s="2">
        <v>45566</v>
      </c>
      <c r="B294" s="4">
        <v>5.41</v>
      </c>
      <c r="C294" s="4">
        <v>9.75</v>
      </c>
    </row>
    <row r="295" spans="1:3" x14ac:dyDescent="0.25">
      <c r="A295" s="2">
        <v>45597</v>
      </c>
      <c r="B295" s="4">
        <v>5.2</v>
      </c>
      <c r="C295" s="4">
        <v>9.75</v>
      </c>
    </row>
    <row r="296" spans="1:3" x14ac:dyDescent="0.25">
      <c r="A296" s="2">
        <v>45627</v>
      </c>
      <c r="B296" s="4">
        <v>5.2</v>
      </c>
      <c r="C296" s="4">
        <v>9.5</v>
      </c>
    </row>
    <row r="297" spans="1:3" x14ac:dyDescent="0.25">
      <c r="A297" s="2">
        <v>45658</v>
      </c>
      <c r="B297" s="4">
        <v>5.22</v>
      </c>
      <c r="C297" s="4">
        <v>9.5</v>
      </c>
    </row>
    <row r="298" spans="1:3" x14ac:dyDescent="0.25">
      <c r="A298" s="2">
        <v>45689</v>
      </c>
      <c r="B298" s="4">
        <v>5.28</v>
      </c>
      <c r="C298" s="4">
        <v>9.5</v>
      </c>
    </row>
    <row r="299" spans="1:3" x14ac:dyDescent="0.25">
      <c r="A299" s="2">
        <v>45717</v>
      </c>
      <c r="B299" s="4">
        <v>5.09</v>
      </c>
      <c r="C299" s="4">
        <v>9.5</v>
      </c>
    </row>
    <row r="300" spans="1:3" x14ac:dyDescent="0.25">
      <c r="A300" s="2">
        <v>45748</v>
      </c>
      <c r="B300" s="4">
        <v>5.16</v>
      </c>
      <c r="C300" s="4">
        <v>9.5</v>
      </c>
    </row>
    <row r="301" spans="1:3" x14ac:dyDescent="0.25">
      <c r="A301" s="2">
        <v>45778</v>
      </c>
      <c r="B301" s="4">
        <v>5.05</v>
      </c>
      <c r="C301" s="4">
        <v>9.25</v>
      </c>
    </row>
    <row r="302" spans="1:3" x14ac:dyDescent="0.25">
      <c r="A302" s="2">
        <v>45809</v>
      </c>
      <c r="B302" s="4">
        <v>4.82</v>
      </c>
      <c r="C302" s="4">
        <v>9.25</v>
      </c>
    </row>
    <row r="303" spans="1:3" x14ac:dyDescent="0.25">
      <c r="A303" s="2">
        <v>45839</v>
      </c>
      <c r="B303" s="4">
        <v>4.9000000000000004</v>
      </c>
      <c r="C303" s="4">
        <v>9.25</v>
      </c>
    </row>
    <row r="304" spans="1:3" x14ac:dyDescent="0.25">
      <c r="A304" s="2">
        <v>45870</v>
      </c>
      <c r="B304" s="4">
        <v>5.0999999999999996</v>
      </c>
      <c r="C304" s="4">
        <v>9.25</v>
      </c>
    </row>
    <row r="305" spans="1:3" x14ac:dyDescent="0.25">
      <c r="A305" s="2">
        <v>45901</v>
      </c>
      <c r="B305" s="4">
        <v>5.18</v>
      </c>
      <c r="C305" s="4">
        <v>9.25</v>
      </c>
    </row>
    <row r="306" spans="1:3" x14ac:dyDescent="0.25">
      <c r="A306" s="2">
        <v>45931</v>
      </c>
      <c r="B306" s="4">
        <v>5.51</v>
      </c>
      <c r="C306" s="4">
        <v>9.25</v>
      </c>
    </row>
    <row r="307" spans="1:3" x14ac:dyDescent="0.25">
      <c r="A307" s="2">
        <v>45962</v>
      </c>
      <c r="B307" s="4">
        <v>5.3</v>
      </c>
      <c r="C307" s="4">
        <v>9.25</v>
      </c>
    </row>
    <row r="308" spans="1:3" x14ac:dyDescent="0.25">
      <c r="A308" s="2">
        <v>45992</v>
      </c>
      <c r="B308" s="4">
        <v>5.0999999999999996</v>
      </c>
      <c r="C308" s="4">
        <v>9.25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1B09-0864-4085-B92C-8573E1ABDF98}">
  <dimension ref="A1:F13"/>
  <sheetViews>
    <sheetView workbookViewId="0">
      <selection activeCell="F12" sqref="F12"/>
    </sheetView>
  </sheetViews>
  <sheetFormatPr baseColWidth="10" defaultRowHeight="15" x14ac:dyDescent="0.25"/>
  <cols>
    <col min="1" max="1" width="12.5703125" customWidth="1"/>
    <col min="2" max="2" width="21.7109375" customWidth="1"/>
    <col min="5" max="5" width="13.42578125" customWidth="1"/>
    <col min="6" max="6" width="25" customWidth="1"/>
  </cols>
  <sheetData>
    <row r="1" spans="1:6" ht="28.5" customHeight="1" x14ac:dyDescent="0.25">
      <c r="A1" s="7" t="s">
        <v>1</v>
      </c>
      <c r="B1" s="36" t="s">
        <v>26</v>
      </c>
      <c r="C1" s="36" t="s">
        <v>27</v>
      </c>
      <c r="D1" s="36" t="s">
        <v>28</v>
      </c>
      <c r="E1" s="36" t="s">
        <v>29</v>
      </c>
      <c r="F1" s="42" t="s">
        <v>25</v>
      </c>
    </row>
    <row r="2" spans="1:6" x14ac:dyDescent="0.25">
      <c r="A2" s="2">
        <v>45565</v>
      </c>
      <c r="B2" s="37">
        <v>5.62E-2</v>
      </c>
      <c r="C2" s="38">
        <v>0.02</v>
      </c>
      <c r="D2" s="39">
        <f>+'Datos recursos'!K2-'Promedio ciclos'!D12/100</f>
        <v>2.3755811160116047E-3</v>
      </c>
      <c r="E2" s="38">
        <v>0.02</v>
      </c>
      <c r="F2" s="41">
        <f t="shared" ref="F2:F12" si="0">+B2+C2+D2+E2</f>
        <v>9.8575581116011612E-2</v>
      </c>
    </row>
    <row r="3" spans="1:6" x14ac:dyDescent="0.25">
      <c r="A3" s="2">
        <v>45596</v>
      </c>
      <c r="B3" s="37">
        <v>5.6000000000000001E-2</v>
      </c>
      <c r="C3" s="38">
        <v>0.02</v>
      </c>
      <c r="D3" s="39">
        <f>+'Datos recursos'!K3-'Promedio ciclos'!D13/100</f>
        <v>3.1947061832054563E-3</v>
      </c>
      <c r="E3" s="38">
        <v>0.02</v>
      </c>
      <c r="F3" s="41">
        <f t="shared" si="0"/>
        <v>9.9194706183205458E-2</v>
      </c>
    </row>
    <row r="4" spans="1:6" x14ac:dyDescent="0.25">
      <c r="A4" s="2">
        <f>+A3+30</f>
        <v>45626</v>
      </c>
      <c r="B4" s="37">
        <v>5.5860876695564575E-2</v>
      </c>
      <c r="C4" s="38">
        <v>0.02</v>
      </c>
      <c r="D4" s="39">
        <f>+'Datos recursos'!K4-'Promedio ciclos'!D14/100</f>
        <v>1.8435314825710619E-3</v>
      </c>
      <c r="E4" s="38">
        <v>0.02</v>
      </c>
      <c r="F4" s="41">
        <f t="shared" si="0"/>
        <v>9.7704408178135638E-2</v>
      </c>
    </row>
    <row r="5" spans="1:6" x14ac:dyDescent="0.25">
      <c r="A5" s="2">
        <f>+A4+31</f>
        <v>45657</v>
      </c>
      <c r="B5" s="37">
        <v>5.5705530375218248E-2</v>
      </c>
      <c r="C5" s="38">
        <v>0.02</v>
      </c>
      <c r="D5" s="39">
        <f>+'Datos recursos'!K5-'Promedio ciclos'!D15/100</f>
        <v>6.6450458572947374E-3</v>
      </c>
      <c r="E5" s="38">
        <v>0.02</v>
      </c>
      <c r="F5" s="41">
        <f t="shared" si="0"/>
        <v>0.10235057623251299</v>
      </c>
    </row>
    <row r="6" spans="1:6" x14ac:dyDescent="0.25">
      <c r="A6" s="2">
        <v>45688</v>
      </c>
      <c r="B6" s="37">
        <v>5.5705530375218248E-2</v>
      </c>
      <c r="C6" s="38">
        <v>0.02</v>
      </c>
      <c r="D6" s="39">
        <f>+'Datos recursos'!K6-'Promedio ciclos'!D16/100</f>
        <v>8.2671843760903779E-3</v>
      </c>
      <c r="E6" s="38">
        <v>0.02</v>
      </c>
      <c r="F6" s="41">
        <f t="shared" si="0"/>
        <v>0.10397271475130863</v>
      </c>
    </row>
    <row r="7" spans="1:6" x14ac:dyDescent="0.25">
      <c r="A7" s="2">
        <v>45716</v>
      </c>
      <c r="B7" s="37">
        <v>5.5439315430742452E-2</v>
      </c>
      <c r="C7" s="38">
        <v>0.02</v>
      </c>
      <c r="D7" s="39">
        <f>+'Datos recursos'!K7-'Promedio ciclos'!D17/100</f>
        <v>8.9528910508303028E-3</v>
      </c>
      <c r="E7" s="38">
        <v>0.02</v>
      </c>
      <c r="F7" s="41">
        <f t="shared" si="0"/>
        <v>0.10439220648157276</v>
      </c>
    </row>
    <row r="8" spans="1:6" x14ac:dyDescent="0.25">
      <c r="A8" s="2">
        <v>45747</v>
      </c>
      <c r="B8" s="37">
        <v>5.5316785786473671E-2</v>
      </c>
      <c r="C8" s="38">
        <v>0.02</v>
      </c>
      <c r="D8" s="39">
        <f>+'Datos recursos'!K8-'Promedio ciclos'!D18/100</f>
        <v>1.1525580133479638E-2</v>
      </c>
      <c r="E8" s="38">
        <v>0.02</v>
      </c>
      <c r="F8" s="41">
        <f t="shared" si="0"/>
        <v>0.10684236591995332</v>
      </c>
    </row>
    <row r="9" spans="1:6" x14ac:dyDescent="0.25">
      <c r="A9" s="2">
        <v>45777</v>
      </c>
      <c r="B9" s="37">
        <v>5.5206603968291849E-2</v>
      </c>
      <c r="C9" s="38">
        <v>0.02</v>
      </c>
      <c r="D9" s="39">
        <f>+'Datos recursos'!K9-'Promedio ciclos'!D19/100</f>
        <v>1.199026527037203E-2</v>
      </c>
      <c r="E9" s="38">
        <v>0.02</v>
      </c>
      <c r="F9" s="41">
        <f t="shared" si="0"/>
        <v>0.10719686923866388</v>
      </c>
    </row>
    <row r="10" spans="1:6" x14ac:dyDescent="0.25">
      <c r="A10" s="2">
        <v>45808</v>
      </c>
      <c r="B10" s="37">
        <v>5.5101051520739401E-2</v>
      </c>
      <c r="C10" s="38">
        <v>0.02</v>
      </c>
      <c r="D10" s="39">
        <f>+'Datos recursos'!K10-'Promedio ciclos'!D20/100</f>
        <v>1.301311314092353E-2</v>
      </c>
      <c r="E10" s="38">
        <v>0.02</v>
      </c>
      <c r="F10" s="41">
        <f t="shared" si="0"/>
        <v>0.10811416466166293</v>
      </c>
    </row>
    <row r="11" spans="1:6" x14ac:dyDescent="0.25">
      <c r="A11" s="2">
        <v>45838</v>
      </c>
      <c r="B11" s="37">
        <v>5.4995573665261546E-2</v>
      </c>
      <c r="C11" s="38">
        <v>0.02</v>
      </c>
      <c r="D11" s="39">
        <f>+'Datos recursos'!K11-'Promedio ciclos'!D21/100</f>
        <v>1.5772513786070516E-2</v>
      </c>
      <c r="E11" s="38">
        <v>0.02</v>
      </c>
      <c r="F11" s="41">
        <f t="shared" si="0"/>
        <v>0.11076808745133207</v>
      </c>
    </row>
    <row r="12" spans="1:6" x14ac:dyDescent="0.25">
      <c r="A12" s="2">
        <v>45869</v>
      </c>
      <c r="B12" s="37">
        <v>5.4900227344915224E-2</v>
      </c>
      <c r="C12" s="38">
        <v>0.02</v>
      </c>
      <c r="D12" s="39">
        <f>+'Datos recursos'!K12-'Promedio ciclos'!D22/100</f>
        <v>1.6082933547125727E-2</v>
      </c>
      <c r="E12" s="38">
        <v>0.02</v>
      </c>
      <c r="F12" s="50">
        <f t="shared" si="0"/>
        <v>0.11098316089204095</v>
      </c>
    </row>
    <row r="13" spans="1:6" x14ac:dyDescent="0.25">
      <c r="E13" s="4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3478-7FF2-469A-958C-2088254B7614}">
  <dimension ref="A1:G22"/>
  <sheetViews>
    <sheetView topLeftCell="A16" workbookViewId="0">
      <selection activeCell="I20" sqref="I20"/>
    </sheetView>
  </sheetViews>
  <sheetFormatPr baseColWidth="10" defaultRowHeight="15" x14ac:dyDescent="0.25"/>
  <cols>
    <col min="3" max="3" width="16.5703125" customWidth="1"/>
    <col min="4" max="4" width="26.42578125" customWidth="1"/>
    <col min="7" max="7" width="14.7109375" customWidth="1"/>
  </cols>
  <sheetData>
    <row r="1" spans="1:7" x14ac:dyDescent="0.25">
      <c r="A1" t="s">
        <v>1</v>
      </c>
      <c r="B1" s="16" t="s">
        <v>4</v>
      </c>
      <c r="C1" s="16" t="s">
        <v>19</v>
      </c>
      <c r="D1" s="16" t="s">
        <v>0</v>
      </c>
      <c r="E1" s="16" t="s">
        <v>3</v>
      </c>
      <c r="F1" s="16" t="s">
        <v>16</v>
      </c>
      <c r="G1" s="14" t="s">
        <v>22</v>
      </c>
    </row>
    <row r="2" spans="1:7" x14ac:dyDescent="0.25">
      <c r="B2" s="17" t="s">
        <v>5</v>
      </c>
      <c r="C2" s="17">
        <f>+COUNTIF(Hoja1!F:F,B2)</f>
        <v>21</v>
      </c>
      <c r="D2" s="18">
        <f>+AVERAGEIF(Hoja1!F:F,B2,Hoja1!D:D)</f>
        <v>8.2652380952380948</v>
      </c>
      <c r="E2" s="18">
        <f>+AVERAGEIF(Hoja1!F:F,B2,Hoja1!E:E)</f>
        <v>11</v>
      </c>
      <c r="F2" s="19">
        <f>+E2-D2</f>
        <v>2.7347619047619052</v>
      </c>
      <c r="G2" s="15">
        <f>+D2+2</f>
        <v>10.265238095238095</v>
      </c>
    </row>
    <row r="3" spans="1:7" x14ac:dyDescent="0.25">
      <c r="B3" s="17" t="s">
        <v>6</v>
      </c>
      <c r="C3" s="17">
        <f>+COUNTIF(Hoja1!F:F,B3)</f>
        <v>14</v>
      </c>
      <c r="D3" s="18">
        <f>+AVERAGEIF(Hoja1!F:F,B3,Hoja1!D:D)</f>
        <v>6.5892857142857126</v>
      </c>
      <c r="E3" s="18">
        <f>+AVERAGEIF(Hoja1!F:F,B3,Hoja1!E:E)</f>
        <v>5.9107142857142856</v>
      </c>
      <c r="F3" s="19">
        <f t="shared" ref="F3:F12" si="0">+E3-D3</f>
        <v>-0.67857142857142705</v>
      </c>
      <c r="G3" s="15">
        <f t="shared" ref="G3:G12" si="1">+D3+2</f>
        <v>8.5892857142857117</v>
      </c>
    </row>
    <row r="4" spans="1:7" x14ac:dyDescent="0.25">
      <c r="B4" s="17" t="s">
        <v>7</v>
      </c>
      <c r="C4" s="17">
        <f>+COUNTIF(Hoja1!F:F,B4)</f>
        <v>39</v>
      </c>
      <c r="D4" s="18">
        <f>+AVERAGEIF(Hoja1!F:F,B4,Hoja1!D:D)</f>
        <v>5.5469230769230773</v>
      </c>
      <c r="E4" s="18">
        <f>+AVERAGEIF(Hoja1!F:F,B4,Hoja1!E:E)</f>
        <v>6.6538461538461542</v>
      </c>
      <c r="F4" s="19">
        <f t="shared" si="0"/>
        <v>1.1069230769230769</v>
      </c>
      <c r="G4" s="15">
        <f t="shared" si="1"/>
        <v>7.5469230769230773</v>
      </c>
    </row>
    <row r="5" spans="1:7" x14ac:dyDescent="0.25">
      <c r="B5" s="17" t="s">
        <v>8</v>
      </c>
      <c r="C5" s="17">
        <f>+COUNTIF(Hoja1!F:F,B5)</f>
        <v>29</v>
      </c>
      <c r="D5" s="18">
        <f>+AVERAGEIF(Hoja1!F:F,B5,Hoja1!D:D)</f>
        <v>5.9544827586206885</v>
      </c>
      <c r="E5" s="18">
        <f>+AVERAGEIF(Hoja1!F:F,B5,Hoja1!E:E)</f>
        <v>8.8362068965517242</v>
      </c>
      <c r="F5" s="19">
        <f t="shared" si="0"/>
        <v>2.8817241379310357</v>
      </c>
      <c r="G5" s="15">
        <f t="shared" si="1"/>
        <v>7.9544827586206885</v>
      </c>
    </row>
    <row r="6" spans="1:7" x14ac:dyDescent="0.25">
      <c r="B6" s="17" t="s">
        <v>9</v>
      </c>
      <c r="C6" s="17">
        <f>+COUNTIF(Hoja1!F:F,B6)</f>
        <v>16</v>
      </c>
      <c r="D6" s="18">
        <f>+AVERAGEIF(Hoja1!F:F,B6,Hoja1!D:D)</f>
        <v>3.67625</v>
      </c>
      <c r="E6" s="18">
        <f>+AVERAGEIF(Hoja1!F:F,B6,Hoja1!E:E)</f>
        <v>5.375</v>
      </c>
      <c r="F6" s="19">
        <f t="shared" si="0"/>
        <v>1.69875</v>
      </c>
      <c r="G6" s="15">
        <f t="shared" si="1"/>
        <v>5.6762499999999996</v>
      </c>
    </row>
    <row r="7" spans="1:7" x14ac:dyDescent="0.25">
      <c r="B7" s="17" t="s">
        <v>10</v>
      </c>
      <c r="C7" s="17">
        <f>+COUNTIF(Hoja1!F:F,B7)</f>
        <v>18</v>
      </c>
      <c r="D7" s="18">
        <f>+AVERAGEIF(Hoja1!F:F,B7,Hoja1!D:D)</f>
        <v>2.9183333333333334</v>
      </c>
      <c r="E7" s="18">
        <f>+AVERAGEIF(Hoja1!F:F,B7,Hoja1!E:E)</f>
        <v>3.4722222222222223</v>
      </c>
      <c r="F7" s="19">
        <f t="shared" si="0"/>
        <v>0.55388888888888888</v>
      </c>
      <c r="G7" s="15">
        <f t="shared" si="1"/>
        <v>4.918333333333333</v>
      </c>
    </row>
    <row r="8" spans="1:7" x14ac:dyDescent="0.25">
      <c r="B8" s="17" t="s">
        <v>11</v>
      </c>
      <c r="C8" s="17">
        <f>+COUNTIF(Hoja1!F:F,B8)</f>
        <v>26</v>
      </c>
      <c r="D8" s="18">
        <f>+AVERAGEIF(Hoja1!F:F,B8,Hoja1!D:D)</f>
        <v>2.6907692307692312</v>
      </c>
      <c r="E8" s="18">
        <f>+AVERAGEIF(Hoja1!F:F,B8,Hoja1!E:E)</f>
        <v>4.240384615384615</v>
      </c>
      <c r="F8" s="19">
        <f t="shared" si="0"/>
        <v>1.5496153846153837</v>
      </c>
      <c r="G8" s="15">
        <f t="shared" si="1"/>
        <v>4.6907692307692308</v>
      </c>
    </row>
    <row r="9" spans="1:7" x14ac:dyDescent="0.25">
      <c r="B9" s="17" t="s">
        <v>12</v>
      </c>
      <c r="C9" s="17">
        <f>+COUNTIF(Hoja1!F:F,B9)</f>
        <v>31</v>
      </c>
      <c r="D9" s="18">
        <f>+AVERAGEIF(Hoja1!F:F,B9,Hoja1!D:D)</f>
        <v>4.8806451612903219</v>
      </c>
      <c r="E9" s="18">
        <f>+AVERAGEIF(Hoja1!F:F,B9,Hoja1!E:E)</f>
        <v>4.758064516129032</v>
      </c>
      <c r="F9" s="19">
        <f t="shared" si="0"/>
        <v>-0.12258064516128986</v>
      </c>
      <c r="G9" s="15">
        <f t="shared" si="1"/>
        <v>6.8806451612903219</v>
      </c>
    </row>
    <row r="10" spans="1:7" x14ac:dyDescent="0.25">
      <c r="B10" s="17" t="s">
        <v>13</v>
      </c>
      <c r="C10" s="17">
        <f>+COUNTIF(Hoja1!F:F,B10)</f>
        <v>57</v>
      </c>
      <c r="D10" s="18">
        <f>+AVERAGEIF(Hoja1!F:F,B10,Hoja1!D:D)</f>
        <v>3.5717543859649132</v>
      </c>
      <c r="E10" s="18">
        <f>+AVERAGEIF(Hoja1!F:F,B10,Hoja1!E:E)</f>
        <v>4.5394736842105265</v>
      </c>
      <c r="F10" s="19">
        <f t="shared" si="0"/>
        <v>0.96771929824561331</v>
      </c>
      <c r="G10" s="15">
        <f t="shared" si="1"/>
        <v>5.5717543859649137</v>
      </c>
    </row>
    <row r="11" spans="1:7" x14ac:dyDescent="0.25">
      <c r="B11" s="17" t="s">
        <v>14</v>
      </c>
      <c r="C11" s="17">
        <f>+COUNTIF(Hoja1!F:F,B11)</f>
        <v>23</v>
      </c>
      <c r="D11" s="18">
        <f>+AVERAGEIF(Hoja1!F:F,B11,Hoja1!D:D)</f>
        <v>8.5647826086956531</v>
      </c>
      <c r="E11" s="18">
        <f>+AVERAGEIF(Hoja1!F:F,B11,Hoja1!E:E)</f>
        <v>5.9673913043478262</v>
      </c>
      <c r="F11" s="19">
        <f t="shared" si="0"/>
        <v>-2.5973913043478269</v>
      </c>
      <c r="G11" s="15">
        <f t="shared" si="1"/>
        <v>10.564782608695653</v>
      </c>
    </row>
    <row r="12" spans="1:7" x14ac:dyDescent="0.25">
      <c r="A12" s="2">
        <v>45565</v>
      </c>
      <c r="B12" s="17" t="s">
        <v>15</v>
      </c>
      <c r="C12" s="17">
        <f>+COUNTIF(Hoja1!$F$2:F293,B12)</f>
        <v>18</v>
      </c>
      <c r="D12" s="18">
        <f>+AVERAGEIF(Hoja1!$F$2:F293,B12,Hoja1!D2:D293)</f>
        <v>9.1755555555555564</v>
      </c>
      <c r="E12" s="18">
        <f>+AVERAGEIF(Hoja1!$F$2:F293,B12,Hoja1!$E$2:E293)</f>
        <v>12.541666666666666</v>
      </c>
      <c r="F12" s="19">
        <f t="shared" si="0"/>
        <v>3.3661111111111097</v>
      </c>
      <c r="G12" s="15">
        <f t="shared" si="1"/>
        <v>11.175555555555556</v>
      </c>
    </row>
    <row r="13" spans="1:7" x14ac:dyDescent="0.25">
      <c r="A13" s="2">
        <v>45596</v>
      </c>
      <c r="B13" s="17" t="s">
        <v>15</v>
      </c>
      <c r="C13" s="17">
        <f>+COUNTIF(Hoja1!$F$2:F294,B13)</f>
        <v>19</v>
      </c>
      <c r="D13" s="18">
        <f>+AVERAGEIF(Hoja1!$F$2:F294,B13,Hoja1!$D$2:D294)</f>
        <v>8.977368421052633</v>
      </c>
      <c r="E13" s="18">
        <f>+AVERAGEIF(Hoja1!$F$2:F294,B13,Hoja1!$E$2:E294)</f>
        <v>12.394736842105264</v>
      </c>
      <c r="F13" s="19">
        <f t="shared" ref="F13" si="2">+E13-D13</f>
        <v>3.4173684210526307</v>
      </c>
      <c r="G13" s="15">
        <f t="shared" ref="G13" si="3">+D13+2</f>
        <v>10.977368421052633</v>
      </c>
    </row>
    <row r="14" spans="1:7" x14ac:dyDescent="0.25">
      <c r="A14" s="2">
        <f>+A13+30</f>
        <v>45626</v>
      </c>
      <c r="B14" s="17" t="s">
        <v>15</v>
      </c>
      <c r="C14" s="17">
        <f>+COUNTIF(Hoja1!$F$2:F295,B14)</f>
        <v>20</v>
      </c>
      <c r="D14" s="18">
        <f>+AVERAGEIF(Hoja1!$F$2:F295,B14,Hoja1!$D$2:D295)</f>
        <v>8.7885000000000009</v>
      </c>
      <c r="E14" s="18">
        <f>+AVERAGEIF(Hoja1!$F$2:F295,B14,Hoja1!$E$2:E295)</f>
        <v>12.262499999999999</v>
      </c>
      <c r="F14" s="19">
        <f t="shared" ref="F14:F15" si="4">+E14-D14</f>
        <v>3.4739999999999984</v>
      </c>
      <c r="G14" s="15">
        <f t="shared" ref="G14:G15" si="5">+D14+2</f>
        <v>10.788500000000001</v>
      </c>
    </row>
    <row r="15" spans="1:7" x14ac:dyDescent="0.25">
      <c r="A15" s="2">
        <f>+A14+31</f>
        <v>45657</v>
      </c>
      <c r="B15" s="17" t="s">
        <v>15</v>
      </c>
      <c r="C15" s="17">
        <f>+COUNTIF(Hoja1!$F$2:F296,B15)</f>
        <v>21</v>
      </c>
      <c r="D15" s="18">
        <f>+AVERAGEIF(Hoja1!$F$2:F296,B15,Hoja1!$D$2:D296)</f>
        <v>8.6176190476190477</v>
      </c>
      <c r="E15" s="18">
        <f>+AVERAGEIF(Hoja1!$F$2:F296,B15,Hoja1!$E$2:E296)</f>
        <v>12.130952380952381</v>
      </c>
      <c r="F15" s="19">
        <f t="shared" si="4"/>
        <v>3.5133333333333336</v>
      </c>
      <c r="G15" s="15">
        <f t="shared" si="5"/>
        <v>10.617619047619048</v>
      </c>
    </row>
    <row r="16" spans="1:7" x14ac:dyDescent="0.25">
      <c r="A16" s="2">
        <v>45688</v>
      </c>
      <c r="B16" s="17" t="s">
        <v>15</v>
      </c>
      <c r="C16" s="17">
        <f>+COUNTIF(Hoja1!$F$2:F297,B16)</f>
        <v>22</v>
      </c>
      <c r="D16" s="18">
        <f>+AVERAGEIF(Hoja1!$F$2:F297,B16,Hoja1!$D$2:D297)</f>
        <v>8.4631818181818179</v>
      </c>
      <c r="E16" s="18">
        <f>+AVERAGEIF(Hoja1!$F$2:F297,B16,Hoja1!$E$2:E297)</f>
        <v>12.011363636363637</v>
      </c>
      <c r="F16" s="19">
        <f t="shared" ref="F16" si="6">+E16-D16</f>
        <v>3.5481818181818188</v>
      </c>
      <c r="G16" s="15">
        <f t="shared" ref="G16" si="7">+D16+2</f>
        <v>10.463181818181818</v>
      </c>
    </row>
    <row r="17" spans="1:7" x14ac:dyDescent="0.25">
      <c r="A17" s="2">
        <v>45716</v>
      </c>
      <c r="B17" s="17" t="s">
        <v>15</v>
      </c>
      <c r="C17" s="17">
        <f>+COUNTIF(Hoja1!$F$2:F298,B17)</f>
        <v>23</v>
      </c>
      <c r="D17" s="18">
        <f>+AVERAGEIF(Hoja1!$F$2:F298,B17,Hoja1!$D$2:D298)</f>
        <v>8.3247826086956529</v>
      </c>
      <c r="E17" s="18">
        <f>+AVERAGEIF(Hoja1!$F$2:F298,B17,Hoja1!$E$2:E298)</f>
        <v>11.902173913043478</v>
      </c>
      <c r="F17" s="19">
        <f t="shared" ref="F17:F18" si="8">+E17-D17</f>
        <v>3.5773913043478256</v>
      </c>
      <c r="G17" s="15">
        <f t="shared" ref="G17:G18" si="9">+D17+2</f>
        <v>10.324782608695653</v>
      </c>
    </row>
    <row r="18" spans="1:7" x14ac:dyDescent="0.25">
      <c r="A18" s="2">
        <v>45747</v>
      </c>
      <c r="B18" s="17" t="s">
        <v>15</v>
      </c>
      <c r="C18" s="17">
        <f>+COUNTIF(Hoja1!$F$2:F299,B18)</f>
        <v>24</v>
      </c>
      <c r="D18" s="18">
        <f>+AVERAGEIF(Hoja1!$F$2:F299,B18,Hoja1!$D$2:D299)</f>
        <v>8.19</v>
      </c>
      <c r="E18" s="18">
        <f>+AVERAGEIF(Hoja1!$F$2:F299,B18,Hoja1!$E$2:E299)</f>
        <v>11.802083333333334</v>
      </c>
      <c r="F18" s="19">
        <f t="shared" si="8"/>
        <v>3.6120833333333344</v>
      </c>
      <c r="G18" s="15">
        <f t="shared" si="9"/>
        <v>10.19</v>
      </c>
    </row>
    <row r="19" spans="1:7" x14ac:dyDescent="0.25">
      <c r="A19" s="2">
        <v>45777</v>
      </c>
      <c r="B19" s="17" t="s">
        <v>15</v>
      </c>
      <c r="C19" s="17">
        <f>+COUNTIF(Hoja1!$F$2:F300,B19)</f>
        <v>25</v>
      </c>
      <c r="D19" s="18">
        <f>+AVERAGEIF(Hoja1!$F$2:F300,B19,Hoja1!$D$2:D300)</f>
        <v>8.0687999999999995</v>
      </c>
      <c r="E19" s="18">
        <f>+AVERAGEIF(Hoja1!$F$2:F300,B19,Hoja1!$E$2:E300)</f>
        <v>11.71</v>
      </c>
      <c r="F19" s="19">
        <f t="shared" ref="F19" si="10">+E19-D19</f>
        <v>3.6412000000000013</v>
      </c>
      <c r="G19" s="15">
        <f t="shared" ref="G19" si="11">+D19+2</f>
        <v>10.0688</v>
      </c>
    </row>
    <row r="20" spans="1:7" x14ac:dyDescent="0.25">
      <c r="A20" s="2">
        <v>45808</v>
      </c>
      <c r="B20" s="17" t="s">
        <v>15</v>
      </c>
      <c r="C20" s="17">
        <f>+COUNTIF(Hoja1!$F$2:F301,B20)</f>
        <v>26</v>
      </c>
      <c r="D20" s="18">
        <f>+AVERAGEIF(Hoja1!$F$2:F301,B20,Hoja1!$D$2:D301)</f>
        <v>7.9526923076923079</v>
      </c>
      <c r="E20" s="18">
        <f>+AVERAGEIF(Hoja1!$F$2:F301,B20,Hoja1!$E$2:E301)</f>
        <v>11.615384615384615</v>
      </c>
      <c r="F20" s="19">
        <f t="shared" ref="F20" si="12">+E20-D20</f>
        <v>3.662692307692307</v>
      </c>
      <c r="G20" s="15">
        <f t="shared" ref="G20" si="13">+D20+2</f>
        <v>9.9526923076923079</v>
      </c>
    </row>
    <row r="21" spans="1:7" x14ac:dyDescent="0.25">
      <c r="A21" s="2">
        <v>45838</v>
      </c>
      <c r="B21" s="17" t="s">
        <v>15</v>
      </c>
      <c r="C21" s="17">
        <f>+COUNTIF(Hoja1!$F$2:F302,B21)</f>
        <v>27</v>
      </c>
      <c r="D21" s="18">
        <f>+AVERAGEIF(Hoja1!$F$2:F302,B21,Hoja1!$D$2:D302)</f>
        <v>7.8366666666666669</v>
      </c>
      <c r="E21" s="18">
        <f>+AVERAGEIF(Hoja1!$F$2:F302,B21,Hoja1!$E$2:E302)</f>
        <v>11.527777777777779</v>
      </c>
      <c r="F21" s="19">
        <f t="shared" ref="F21:F22" si="14">+E21-D21</f>
        <v>3.6911111111111117</v>
      </c>
      <c r="G21" s="15">
        <f t="shared" ref="G21:G22" si="15">+D21+2</f>
        <v>9.836666666666666</v>
      </c>
    </row>
    <row r="22" spans="1:7" x14ac:dyDescent="0.25">
      <c r="A22" s="2">
        <v>45869</v>
      </c>
      <c r="B22" s="17" t="s">
        <v>15</v>
      </c>
      <c r="C22" s="17">
        <f>+COUNTIF(Hoja1!$F$2:F303,B22)</f>
        <v>28</v>
      </c>
      <c r="D22" s="18">
        <f>+AVERAGEIF(Hoja1!$F$2:F303,B22,Hoja1!$D$2:D303)</f>
        <v>7.7317857142857145</v>
      </c>
      <c r="E22" s="18">
        <f>+AVERAGEIF(Hoja1!$F$2:F303,B22,Hoja1!$E$2:E303)</f>
        <v>11.446428571428571</v>
      </c>
      <c r="F22" s="19">
        <f t="shared" si="14"/>
        <v>3.7146428571428567</v>
      </c>
      <c r="G22" s="15">
        <f t="shared" si="15"/>
        <v>9.7317857142857136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75F7-5F88-4C16-B5F0-783E896FBAD1}">
  <dimension ref="A1:K14"/>
  <sheetViews>
    <sheetView workbookViewId="0">
      <selection activeCell="F21" sqref="F21"/>
    </sheetView>
  </sheetViews>
  <sheetFormatPr baseColWidth="10" defaultRowHeight="15" x14ac:dyDescent="0.25"/>
  <cols>
    <col min="2" max="2" width="20.42578125" customWidth="1"/>
    <col min="3" max="3" width="15.7109375" customWidth="1"/>
    <col min="4" max="4" width="21.28515625" customWidth="1"/>
    <col min="6" max="6" width="19.42578125" customWidth="1"/>
    <col min="8" max="8" width="19.7109375" customWidth="1"/>
  </cols>
  <sheetData>
    <row r="1" spans="1:11" ht="45" x14ac:dyDescent="0.25">
      <c r="A1" t="s">
        <v>31</v>
      </c>
      <c r="B1" t="s">
        <v>41</v>
      </c>
      <c r="C1" t="s">
        <v>42</v>
      </c>
      <c r="D1" s="32" t="s">
        <v>54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25">
      <c r="A2" s="2">
        <v>45565</v>
      </c>
      <c r="B2" s="8">
        <v>41007.031167499998</v>
      </c>
      <c r="C2" s="8">
        <f>+SUM(tpp!B2:E2)</f>
        <v>207999.59378170999</v>
      </c>
      <c r="D2" s="33">
        <v>162140.306205</v>
      </c>
      <c r="E2" s="12">
        <v>0.1188</v>
      </c>
      <c r="F2" s="12">
        <f>+tpp!N2</f>
        <v>7.9625876925617442E-2</v>
      </c>
      <c r="G2" s="34">
        <v>0.1065</v>
      </c>
      <c r="H2" s="11">
        <f t="shared" ref="H2:H8" si="0">+B2/SUM(B2:D2)</f>
        <v>9.9738142401747318E-2</v>
      </c>
      <c r="I2" s="11">
        <f t="shared" ref="I2:I8" si="1">+C2/SUM(B2:D2)</f>
        <v>0.50590087878752765</v>
      </c>
      <c r="J2" s="11">
        <f t="shared" ref="J2:J8" si="2">+D2/SUM(B2:D2)</f>
        <v>0.39436097881072496</v>
      </c>
      <c r="K2" s="12">
        <f t="shared" ref="K2:K8" si="3">+E2*H2+F2*I2+G2*J2</f>
        <v>9.4131136671567167E-2</v>
      </c>
    </row>
    <row r="3" spans="1:11" x14ac:dyDescent="0.25">
      <c r="A3" s="2">
        <v>45596</v>
      </c>
      <c r="B3" s="8">
        <v>41184.668196060004</v>
      </c>
      <c r="C3" s="8">
        <f>+SUM(tpp!B3:E3)</f>
        <v>207069.41356185003</v>
      </c>
      <c r="D3" s="33">
        <v>162095.38916743</v>
      </c>
      <c r="E3" s="12">
        <v>0.1148</v>
      </c>
      <c r="F3" s="12">
        <f>+tpp!N3</f>
        <v>7.8033595969898964E-2</v>
      </c>
      <c r="G3" s="34">
        <v>0.1065</v>
      </c>
      <c r="H3" s="11">
        <f t="shared" si="0"/>
        <v>0.10036486242613736</v>
      </c>
      <c r="I3" s="11">
        <f t="shared" si="1"/>
        <v>0.50461723051551033</v>
      </c>
      <c r="J3" s="11">
        <f t="shared" si="2"/>
        <v>0.39501790705835227</v>
      </c>
      <c r="K3" s="12">
        <f t="shared" si="3"/>
        <v>9.2968390393731781E-2</v>
      </c>
    </row>
    <row r="4" spans="1:11" x14ac:dyDescent="0.25">
      <c r="A4" s="2">
        <f>+A3+30</f>
        <v>45626</v>
      </c>
      <c r="B4" s="8">
        <v>46220.715805899999</v>
      </c>
      <c r="C4" s="8">
        <f>+SUM(tpp!B4:E4)</f>
        <v>221678.98874320998</v>
      </c>
      <c r="D4" s="33">
        <v>162708.37770342999</v>
      </c>
      <c r="E4" s="12">
        <v>0.11310000000000001</v>
      </c>
      <c r="F4" s="12">
        <f>+tpp!N4</f>
        <v>7.2545556857501595E-2</v>
      </c>
      <c r="G4" s="34">
        <v>0.1065</v>
      </c>
      <c r="H4" s="11">
        <f t="shared" si="0"/>
        <v>0.10733824493984487</v>
      </c>
      <c r="I4" s="11">
        <f t="shared" si="1"/>
        <v>0.51480452383427699</v>
      </c>
      <c r="J4" s="11">
        <f t="shared" si="2"/>
        <v>0.37785723122587828</v>
      </c>
      <c r="K4" s="12">
        <f t="shared" si="3"/>
        <v>8.9728531482571067E-2</v>
      </c>
    </row>
    <row r="5" spans="1:11" x14ac:dyDescent="0.25">
      <c r="A5" s="2">
        <f>+A4+31</f>
        <v>45657</v>
      </c>
      <c r="B5" s="8">
        <v>48219.54461882</v>
      </c>
      <c r="C5" s="8">
        <f>+SUM(tpp!B5:E5)</f>
        <v>202407.99165071998</v>
      </c>
      <c r="D5" s="33">
        <v>163497.77806643001</v>
      </c>
      <c r="E5" s="12">
        <v>0.1103</v>
      </c>
      <c r="F5" s="12">
        <f>+tpp!N5</f>
        <v>7.7608074710974015E-2</v>
      </c>
      <c r="G5" s="34">
        <v>0.1065</v>
      </c>
      <c r="H5" s="11">
        <f t="shared" si="0"/>
        <v>0.11643708546563429</v>
      </c>
      <c r="I5" s="11">
        <f t="shared" si="1"/>
        <v>0.48876024875531082</v>
      </c>
      <c r="J5" s="11">
        <f t="shared" si="2"/>
        <v>0.39480266577905493</v>
      </c>
      <c r="K5" s="12">
        <f t="shared" si="3"/>
        <v>9.2821236333485213E-2</v>
      </c>
    </row>
    <row r="6" spans="1:11" x14ac:dyDescent="0.25">
      <c r="A6" s="2">
        <v>45688</v>
      </c>
      <c r="B6" s="8">
        <v>43777.213198550002</v>
      </c>
      <c r="C6" s="8">
        <f>+SUM(tpp!B6:E6)</f>
        <v>203963.41232948002</v>
      </c>
      <c r="D6" s="33">
        <v>180071.23269681001</v>
      </c>
      <c r="E6" s="12">
        <v>0.1108</v>
      </c>
      <c r="F6" s="12">
        <f>+tpp!N6</f>
        <v>7.704908065343255E-2</v>
      </c>
      <c r="G6" s="34">
        <v>0.1065</v>
      </c>
      <c r="H6" s="11">
        <f t="shared" si="0"/>
        <v>0.10232819020070857</v>
      </c>
      <c r="I6" s="11">
        <f t="shared" si="1"/>
        <v>0.4767596045041963</v>
      </c>
      <c r="J6" s="11">
        <f t="shared" si="2"/>
        <v>0.42091220529509515</v>
      </c>
      <c r="K6" s="12">
        <f t="shared" si="3"/>
        <v>9.2899002557908561E-2</v>
      </c>
    </row>
    <row r="7" spans="1:11" x14ac:dyDescent="0.25">
      <c r="A7" s="2">
        <v>45716</v>
      </c>
      <c r="B7" s="8">
        <v>44935.875723999998</v>
      </c>
      <c r="C7" s="8">
        <f>+SUM(tpp!B7:E7)</f>
        <v>207119.63597723999</v>
      </c>
      <c r="D7" s="33">
        <v>181148.15697881</v>
      </c>
      <c r="E7" s="12">
        <v>0.1111</v>
      </c>
      <c r="F7" s="12">
        <f>+tpp!N7</f>
        <v>7.5594157617975249E-2</v>
      </c>
      <c r="G7" s="34">
        <v>0.1065</v>
      </c>
      <c r="H7" s="11">
        <f t="shared" si="0"/>
        <v>0.10372921323800738</v>
      </c>
      <c r="I7" s="11">
        <f t="shared" si="1"/>
        <v>0.47811145415347756</v>
      </c>
      <c r="J7" s="11">
        <f t="shared" si="2"/>
        <v>0.41815933260851518</v>
      </c>
      <c r="K7" s="12">
        <f t="shared" si="3"/>
        <v>9.2200717137786825E-2</v>
      </c>
    </row>
    <row r="8" spans="1:11" x14ac:dyDescent="0.25">
      <c r="A8" s="2">
        <v>45747</v>
      </c>
      <c r="B8" s="8">
        <v>56376.399303569997</v>
      </c>
      <c r="C8" s="8">
        <f>+SUM(tpp!B8:E8)</f>
        <v>206183.44422116003</v>
      </c>
      <c r="D8" s="33">
        <v>169653.90787210999</v>
      </c>
      <c r="E8" s="12">
        <v>0.1111</v>
      </c>
      <c r="F8" s="12">
        <f>+tpp!N8</f>
        <v>7.783486872833989E-2</v>
      </c>
      <c r="G8" s="34">
        <v>0.1065</v>
      </c>
      <c r="H8" s="11">
        <f t="shared" si="0"/>
        <v>0.13043638505570737</v>
      </c>
      <c r="I8" s="11">
        <f t="shared" si="1"/>
        <v>0.47704045406887413</v>
      </c>
      <c r="J8" s="11">
        <f t="shared" si="2"/>
        <v>0.39252316087541861</v>
      </c>
      <c r="K8" s="12">
        <f t="shared" si="3"/>
        <v>9.3425580133479638E-2</v>
      </c>
    </row>
    <row r="9" spans="1:11" x14ac:dyDescent="0.25">
      <c r="A9" s="2">
        <v>45777</v>
      </c>
      <c r="B9" s="8">
        <v>69442.914507380003</v>
      </c>
      <c r="C9" s="8">
        <v>216865.87475903999</v>
      </c>
      <c r="D9" s="33">
        <v>170223.67684311001</v>
      </c>
      <c r="E9" s="12">
        <v>0.1124</v>
      </c>
      <c r="F9" s="12">
        <f>+tpp!N9</f>
        <v>7.5514102172189609E-2</v>
      </c>
      <c r="G9" s="34">
        <v>0.1065</v>
      </c>
      <c r="H9" s="11">
        <f t="shared" ref="H9:H10" si="4">+B9/SUM(B9:D9)</f>
        <v>0.15210947668006475</v>
      </c>
      <c r="I9" s="11">
        <f t="shared" ref="I9:I10" si="5">+C9/SUM(B9:D9)</f>
        <v>0.47502837335343007</v>
      </c>
      <c r="J9" s="11">
        <f t="shared" ref="J9:J10" si="6">+D9/SUM(B9:D9)</f>
        <v>0.37286214996650513</v>
      </c>
      <c r="K9" s="12">
        <f t="shared" ref="K9:K10" si="7">+E9*H9+F9*I9+G9*J9</f>
        <v>9.2678265270372026E-2</v>
      </c>
    </row>
    <row r="10" spans="1:11" x14ac:dyDescent="0.25">
      <c r="A10" s="2">
        <v>45808</v>
      </c>
      <c r="B10" s="8">
        <v>82246.158288770006</v>
      </c>
      <c r="C10" s="8">
        <v>223423.47854647</v>
      </c>
      <c r="D10" s="33">
        <v>171405.01517211</v>
      </c>
      <c r="E10" s="12">
        <v>0.1149</v>
      </c>
      <c r="F10" s="12">
        <f>+tpp!N10</f>
        <v>7.3599193688801121E-2</v>
      </c>
      <c r="G10" s="34">
        <v>0.1065</v>
      </c>
      <c r="H10" s="11">
        <f t="shared" si="4"/>
        <v>0.17239683127726285</v>
      </c>
      <c r="I10" s="11">
        <f t="shared" si="5"/>
        <v>0.46831974326531156</v>
      </c>
      <c r="J10" s="11">
        <f t="shared" si="6"/>
        <v>0.35928342545742559</v>
      </c>
      <c r="K10" s="12">
        <f t="shared" si="7"/>
        <v>9.2540036217846608E-2</v>
      </c>
    </row>
    <row r="11" spans="1:11" x14ac:dyDescent="0.25">
      <c r="A11" s="2">
        <v>45838</v>
      </c>
      <c r="B11" s="8">
        <v>82375.761342769998</v>
      </c>
      <c r="C11" s="8">
        <v>220833.93207519001</v>
      </c>
      <c r="D11" s="33">
        <v>172118.37807911</v>
      </c>
      <c r="E11" s="12">
        <v>0.115</v>
      </c>
      <c r="F11" s="12">
        <f>+tpp!N11</f>
        <v>7.672360455594128E-2</v>
      </c>
      <c r="G11" s="34">
        <v>0.1065</v>
      </c>
      <c r="H11" s="11">
        <f t="shared" ref="H11:H12" si="8">+B11/SUM(B11:D11)</f>
        <v>0.17330295911900034</v>
      </c>
      <c r="I11" s="11">
        <f t="shared" ref="I11:I12" si="9">+C11/SUM(B11:D11)</f>
        <v>0.46459265782402093</v>
      </c>
      <c r="J11" s="11">
        <f t="shared" ref="J11:J12" si="10">+D11/SUM(B11:D11)</f>
        <v>0.36210438305697867</v>
      </c>
      <c r="K11" s="12">
        <f t="shared" ref="K11:K12" si="11">+E11*H11+F11*I11+G11*J11</f>
        <v>9.4139180452737184E-2</v>
      </c>
    </row>
    <row r="12" spans="1:11" x14ac:dyDescent="0.25">
      <c r="A12" s="2">
        <v>45869</v>
      </c>
      <c r="B12" s="51">
        <v>82362.199071769995</v>
      </c>
      <c r="C12" s="8">
        <v>226191.20027939999</v>
      </c>
      <c r="D12" s="33">
        <v>172922.44161211001</v>
      </c>
      <c r="E12" s="12">
        <v>0.115</v>
      </c>
      <c r="F12" s="12">
        <f>+tpp!N12</f>
        <v>7.5521644069489816E-2</v>
      </c>
      <c r="G12" s="34">
        <v>0.1065</v>
      </c>
      <c r="H12" s="11">
        <f t="shared" si="8"/>
        <v>0.17106195589583359</v>
      </c>
      <c r="I12" s="11">
        <f t="shared" si="9"/>
        <v>0.46978722717813493</v>
      </c>
      <c r="J12" s="11">
        <f t="shared" si="10"/>
        <v>0.35915081692603146</v>
      </c>
      <c r="K12" s="12">
        <f t="shared" si="11"/>
        <v>9.3400790689982874E-2</v>
      </c>
    </row>
    <row r="13" spans="1:11" x14ac:dyDescent="0.25">
      <c r="A13" s="2">
        <v>45900</v>
      </c>
      <c r="E13" s="12">
        <v>0.1148</v>
      </c>
    </row>
    <row r="14" spans="1:11" x14ac:dyDescent="0.25">
      <c r="A14" s="2">
        <v>45930</v>
      </c>
      <c r="E14" s="12">
        <v>0.1157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2B1F-8B81-444C-93A7-B16CCB369E40}">
  <dimension ref="A1:N17"/>
  <sheetViews>
    <sheetView workbookViewId="0">
      <selection activeCell="E12" sqref="E12"/>
    </sheetView>
  </sheetViews>
  <sheetFormatPr baseColWidth="10" defaultRowHeight="15" x14ac:dyDescent="0.25"/>
  <cols>
    <col min="1" max="1" width="12.7109375" bestFit="1" customWidth="1"/>
    <col min="3" max="3" width="12.7109375" customWidth="1"/>
    <col min="7" max="7" width="15.7109375" bestFit="1" customWidth="1"/>
    <col min="8" max="8" width="18" customWidth="1"/>
    <col min="9" max="9" width="16.28515625" customWidth="1"/>
    <col min="10" max="10" width="7.28515625" customWidth="1"/>
    <col min="11" max="13" width="16.28515625" customWidth="1"/>
  </cols>
  <sheetData>
    <row r="1" spans="1:14" x14ac:dyDescent="0.25">
      <c r="A1" t="s">
        <v>31</v>
      </c>
      <c r="B1" t="s">
        <v>32</v>
      </c>
      <c r="C1" t="s">
        <v>33</v>
      </c>
      <c r="D1" t="s">
        <v>35</v>
      </c>
      <c r="E1" t="s">
        <v>34</v>
      </c>
      <c r="F1" t="s">
        <v>36</v>
      </c>
      <c r="G1" t="s">
        <v>37</v>
      </c>
      <c r="H1" t="s">
        <v>38</v>
      </c>
      <c r="I1" t="s">
        <v>39</v>
      </c>
      <c r="J1" t="s">
        <v>43</v>
      </c>
      <c r="K1" t="s">
        <v>44</v>
      </c>
      <c r="L1" t="s">
        <v>45</v>
      </c>
      <c r="M1" t="s">
        <v>46</v>
      </c>
      <c r="N1" t="s">
        <v>40</v>
      </c>
    </row>
    <row r="2" spans="1:14" x14ac:dyDescent="0.25">
      <c r="A2" s="2">
        <v>45565</v>
      </c>
      <c r="B2" s="8">
        <v>90280.665459400014</v>
      </c>
      <c r="C2" s="8">
        <v>76759.376576679992</v>
      </c>
      <c r="D2" s="8">
        <v>26468.876630630002</v>
      </c>
      <c r="E2" s="8">
        <v>14490.675115</v>
      </c>
      <c r="F2" s="31">
        <v>0.111042715741062</v>
      </c>
      <c r="G2" s="31">
        <v>7.7389708721852302E-2</v>
      </c>
      <c r="H2" s="31">
        <v>1.7070888339313799E-2</v>
      </c>
      <c r="I2" s="31">
        <v>0.01</v>
      </c>
      <c r="J2" s="11">
        <f>+B2/SUM($B$2:$E$2)</f>
        <v>0.43404250853560394</v>
      </c>
      <c r="K2" s="11">
        <f>+C2/SUM($B$2:$E$2)</f>
        <v>0.36903618502850011</v>
      </c>
      <c r="L2" s="11">
        <f>+D2/SUM($B$2:$E$2)</f>
        <v>0.12725446309480959</v>
      </c>
      <c r="M2" s="11">
        <f>+E2/SUM($B$2:$E$2)</f>
        <v>6.9666843341086401E-2</v>
      </c>
      <c r="N2" s="12">
        <f t="shared" ref="N2:N8" si="0">+J2*F2+K2*G2+L2*H2+M2*I2</f>
        <v>7.9625876925617442E-2</v>
      </c>
    </row>
    <row r="3" spans="1:14" x14ac:dyDescent="0.25">
      <c r="A3" s="2">
        <v>45596</v>
      </c>
      <c r="B3" s="8">
        <v>88235.778234400015</v>
      </c>
      <c r="C3" s="9">
        <v>77087.106418340001</v>
      </c>
      <c r="D3" s="8">
        <v>27306.062747110002</v>
      </c>
      <c r="E3" s="40">
        <v>14440.466162000001</v>
      </c>
      <c r="F3" s="31">
        <v>0.109343815</v>
      </c>
      <c r="G3" s="31">
        <v>7.6528740639999995E-2</v>
      </c>
      <c r="H3" s="31">
        <v>1.708596779E-2</v>
      </c>
      <c r="I3" s="31">
        <v>0.01</v>
      </c>
      <c r="J3" s="11">
        <f t="shared" ref="J3:J8" si="1">+B3/SUM(B3:E3)</f>
        <v>0.42611690793263712</v>
      </c>
      <c r="K3" s="11">
        <f t="shared" ref="K3:K8" si="2">+C3/SUM(B3:E3)</f>
        <v>0.37227664430176538</v>
      </c>
      <c r="L3" s="11">
        <f t="shared" ref="L3:L8" si="3">+D3/SUM(B3:E3)</f>
        <v>0.13186912676967569</v>
      </c>
      <c r="M3" s="11">
        <f t="shared" ref="M3:M8" si="4">+E3/SUM(B3:E3)</f>
        <v>6.9737320995921712E-2</v>
      </c>
      <c r="N3" s="12">
        <f t="shared" si="0"/>
        <v>7.8033595969898964E-2</v>
      </c>
    </row>
    <row r="4" spans="1:14" x14ac:dyDescent="0.25">
      <c r="A4" s="2">
        <f>+A3+30</f>
        <v>45626</v>
      </c>
      <c r="B4" s="8">
        <v>87723.372340400005</v>
      </c>
      <c r="C4" s="8">
        <v>63359.601042089998</v>
      </c>
      <c r="D4" s="8">
        <v>56100.757916720002</v>
      </c>
      <c r="E4" s="8">
        <v>14495.257444000001</v>
      </c>
      <c r="F4" s="31">
        <v>0.10826614699999999</v>
      </c>
      <c r="G4" s="31">
        <v>8.7308307500000001E-2</v>
      </c>
      <c r="H4" s="31">
        <v>1.6177714619999999E-2</v>
      </c>
      <c r="I4" s="31">
        <v>0.01</v>
      </c>
      <c r="J4" s="11">
        <f t="shared" si="1"/>
        <v>0.39572253932472418</v>
      </c>
      <c r="K4" s="11">
        <f t="shared" si="2"/>
        <v>0.28581689857618814</v>
      </c>
      <c r="L4" s="11">
        <f t="shared" si="3"/>
        <v>0.25307205809074845</v>
      </c>
      <c r="M4" s="11">
        <f t="shared" si="4"/>
        <v>6.5388504008339357E-2</v>
      </c>
      <c r="N4" s="12">
        <f t="shared" si="0"/>
        <v>7.2545556857501595E-2</v>
      </c>
    </row>
    <row r="5" spans="1:14" x14ac:dyDescent="0.25">
      <c r="A5" s="2">
        <f>+A4+31</f>
        <v>45657</v>
      </c>
      <c r="B5" s="8">
        <v>89551.24295439999</v>
      </c>
      <c r="C5" s="8">
        <v>64233.937459779998</v>
      </c>
      <c r="D5" s="8">
        <v>33922.217734539998</v>
      </c>
      <c r="E5" s="8">
        <v>14700.593502</v>
      </c>
      <c r="F5" s="31">
        <v>0.1056235232</v>
      </c>
      <c r="G5" s="31">
        <v>8.6294400359999995E-2</v>
      </c>
      <c r="H5" s="31">
        <v>1.650074013E-2</v>
      </c>
      <c r="I5" s="31">
        <v>0.01</v>
      </c>
      <c r="J5" s="11">
        <f t="shared" si="1"/>
        <v>0.44242938346491639</v>
      </c>
      <c r="K5" s="11">
        <f t="shared" si="2"/>
        <v>0.31734882074529747</v>
      </c>
      <c r="L5" s="11">
        <f t="shared" si="3"/>
        <v>0.16759327266621457</v>
      </c>
      <c r="M5" s="11">
        <f t="shared" si="4"/>
        <v>7.2628523123571584E-2</v>
      </c>
      <c r="N5" s="12">
        <f t="shared" si="0"/>
        <v>7.7608074710974015E-2</v>
      </c>
    </row>
    <row r="6" spans="1:14" x14ac:dyDescent="0.25">
      <c r="A6" s="2">
        <v>45688</v>
      </c>
      <c r="B6" s="45">
        <v>91352.12850240001</v>
      </c>
      <c r="C6" s="9">
        <v>65794.114299399997</v>
      </c>
      <c r="D6" s="46">
        <v>32135.46785968</v>
      </c>
      <c r="E6" s="8">
        <v>14681.701668</v>
      </c>
      <c r="F6" s="31">
        <v>0.1036</v>
      </c>
      <c r="G6" s="31">
        <v>8.4699999999999998E-2</v>
      </c>
      <c r="H6" s="31">
        <v>1.6540428119999999E-2</v>
      </c>
      <c r="I6" s="31">
        <v>0.01</v>
      </c>
      <c r="J6" s="11">
        <f t="shared" si="1"/>
        <v>0.44788488022955258</v>
      </c>
      <c r="K6" s="11">
        <f t="shared" si="2"/>
        <v>0.32257802293049004</v>
      </c>
      <c r="L6" s="11">
        <f t="shared" si="3"/>
        <v>0.15755506094283594</v>
      </c>
      <c r="M6" s="11">
        <f t="shared" si="4"/>
        <v>7.1982035897121377E-2</v>
      </c>
      <c r="N6" s="12">
        <f t="shared" si="0"/>
        <v>7.704908065343255E-2</v>
      </c>
    </row>
    <row r="7" spans="1:14" x14ac:dyDescent="0.25">
      <c r="A7" s="2">
        <v>45716</v>
      </c>
      <c r="B7" s="45">
        <v>92480.890455999994</v>
      </c>
      <c r="C7" s="9">
        <v>67254.423286459991</v>
      </c>
      <c r="D7" s="46">
        <v>32684.064140779999</v>
      </c>
      <c r="E7" s="8">
        <v>14700.258094000001</v>
      </c>
      <c r="F7" s="31">
        <v>0.101759894</v>
      </c>
      <c r="G7" s="31">
        <v>8.2857949E-2</v>
      </c>
      <c r="H7" s="31">
        <v>1.6112520160000001E-2</v>
      </c>
      <c r="I7" s="31">
        <v>0.01</v>
      </c>
      <c r="J7" s="11">
        <f t="shared" si="1"/>
        <v>0.44650952585761861</v>
      </c>
      <c r="K7" s="11">
        <f t="shared" si="2"/>
        <v>0.32471292723713779</v>
      </c>
      <c r="L7" s="11">
        <f t="shared" si="3"/>
        <v>0.15780282727211625</v>
      </c>
      <c r="M7" s="11">
        <f t="shared" si="4"/>
        <v>7.0974719633127334E-2</v>
      </c>
      <c r="N7" s="12">
        <f t="shared" si="0"/>
        <v>7.5594157617975249E-2</v>
      </c>
    </row>
    <row r="8" spans="1:14" x14ac:dyDescent="0.25">
      <c r="A8" s="2">
        <v>45747</v>
      </c>
      <c r="B8" s="45">
        <v>92822.723035000003</v>
      </c>
      <c r="C8" s="9">
        <v>68663.506373020005</v>
      </c>
      <c r="D8" s="46">
        <v>29937.308933140001</v>
      </c>
      <c r="E8" s="8">
        <v>14759.90588</v>
      </c>
      <c r="F8" s="31">
        <v>0.1012</v>
      </c>
      <c r="G8" s="31">
        <v>8.7527503800000003E-2</v>
      </c>
      <c r="H8" s="31">
        <v>1.6603274899999999E-2</v>
      </c>
      <c r="I8" s="31">
        <v>0.01</v>
      </c>
      <c r="J8" s="11">
        <f t="shared" si="1"/>
        <v>0.45019484171306645</v>
      </c>
      <c r="K8" s="11">
        <f t="shared" si="2"/>
        <v>0.33302143454044242</v>
      </c>
      <c r="L8" s="11">
        <f t="shared" si="3"/>
        <v>0.14519744320998018</v>
      </c>
      <c r="M8" s="11">
        <f t="shared" si="4"/>
        <v>7.1586280536510866E-2</v>
      </c>
      <c r="N8" s="12">
        <f t="shared" si="0"/>
        <v>7.783486872833989E-2</v>
      </c>
    </row>
    <row r="9" spans="1:14" x14ac:dyDescent="0.25">
      <c r="A9" s="2">
        <v>45777</v>
      </c>
      <c r="B9" s="8">
        <v>92923.129864999995</v>
      </c>
      <c r="C9" s="8">
        <v>67522.217097000001</v>
      </c>
      <c r="D9" s="8">
        <v>31537.726125000001</v>
      </c>
      <c r="E9" s="8">
        <v>14843.073272</v>
      </c>
      <c r="F9" s="31">
        <v>0.100995001</v>
      </c>
      <c r="G9" s="31">
        <v>8.2253657600000002E-2</v>
      </c>
      <c r="H9" s="31">
        <v>1.6841388440000001E-2</v>
      </c>
      <c r="I9" s="31">
        <v>0.01</v>
      </c>
      <c r="J9" s="11">
        <f t="shared" ref="J9" si="5">+B9/SUM(B9:E9)</f>
        <v>0.44928134813143011</v>
      </c>
      <c r="K9" s="11">
        <f t="shared" ref="K9" si="6">+C9/SUM(B9:E9)</f>
        <v>0.32646847744190821</v>
      </c>
      <c r="L9" s="11">
        <f t="shared" ref="L9" si="7">+D9/SUM(B9:E9)</f>
        <v>0.15248423219305243</v>
      </c>
      <c r="M9" s="11">
        <f t="shared" ref="M9" si="8">+E9/SUM(B9:E9)</f>
        <v>7.1765942233609215E-2</v>
      </c>
      <c r="N9" s="12">
        <f t="shared" ref="N9" si="9">+J9*F9+K9*G9+L9*H9+M9*I9</f>
        <v>7.5514102172189609E-2</v>
      </c>
    </row>
    <row r="10" spans="1:14" x14ac:dyDescent="0.25">
      <c r="A10" s="2">
        <v>45808</v>
      </c>
      <c r="B10" s="8">
        <v>93039.532621999999</v>
      </c>
      <c r="C10" s="8">
        <v>69031.026899999997</v>
      </c>
      <c r="D10" s="8">
        <v>36060.446509000001</v>
      </c>
      <c r="E10" s="8">
        <v>14908.371976930001</v>
      </c>
      <c r="F10" s="31">
        <v>0.10081436099999999</v>
      </c>
      <c r="G10" s="31">
        <v>8.1051038850000007E-2</v>
      </c>
      <c r="H10" s="31">
        <v>1.5409827309999999E-2</v>
      </c>
      <c r="I10" s="31">
        <v>0.01</v>
      </c>
      <c r="J10" s="11">
        <f t="shared" ref="J10" si="10">+B10/SUM(B10:E10)</f>
        <v>0.43672457877030024</v>
      </c>
      <c r="K10" s="11">
        <f t="shared" ref="K10" si="11">+C10/SUM(B10:E10)</f>
        <v>0.324029423787702</v>
      </c>
      <c r="L10" s="11">
        <f t="shared" ref="L10" si="12">+D10/SUM(B10:E10)</f>
        <v>0.16926657806735484</v>
      </c>
      <c r="M10" s="11">
        <f t="shared" ref="M10" si="13">+E10/SUM(B10:E10)</f>
        <v>6.9979419374642859E-2</v>
      </c>
      <c r="N10" s="12">
        <f t="shared" ref="N10" si="14">+J10*F10+K10*G10+L10*H10+M10*I10</f>
        <v>7.3599193688801121E-2</v>
      </c>
    </row>
    <row r="11" spans="1:14" x14ac:dyDescent="0.25">
      <c r="A11" s="2">
        <v>45838</v>
      </c>
      <c r="B11" s="8">
        <v>96739.680731</v>
      </c>
      <c r="C11" s="8">
        <v>70984.580633000005</v>
      </c>
      <c r="D11" s="8">
        <v>27513.704741000001</v>
      </c>
      <c r="E11" s="8">
        <v>14966.827102929999</v>
      </c>
      <c r="F11" s="31">
        <v>0.102118082572</v>
      </c>
      <c r="G11" s="31">
        <v>7.9514239084000002E-2</v>
      </c>
      <c r="H11" s="31">
        <v>1.6531599160999999E-2</v>
      </c>
      <c r="I11" s="31">
        <v>0.01</v>
      </c>
      <c r="J11" s="11">
        <f t="shared" ref="J11:J12" si="15">+B11/SUM(B11:E11)</f>
        <v>0.46021634071544326</v>
      </c>
      <c r="K11" s="11">
        <f t="shared" ref="K11:K12" si="16">+C11/SUM(B11:E11)</f>
        <v>0.33769249287661868</v>
      </c>
      <c r="L11" s="11">
        <f t="shared" ref="L11:L12" si="17">+D11/SUM(B11:E11)</f>
        <v>0.13088999694590239</v>
      </c>
      <c r="M11" s="11">
        <f t="shared" ref="M11:M12" si="18">+E11/SUM(B11:E11)</f>
        <v>7.1201169462035724E-2</v>
      </c>
      <c r="N11" s="12">
        <f t="shared" ref="N11:N12" si="19">+J11*F11+K11*G11+L11*H11+M11*I11</f>
        <v>7.672360455594128E-2</v>
      </c>
    </row>
    <row r="12" spans="1:14" x14ac:dyDescent="0.25">
      <c r="A12" s="2">
        <v>45869</v>
      </c>
      <c r="B12" s="8">
        <v>100212.81626199999</v>
      </c>
      <c r="C12" s="8">
        <v>72544.613720209993</v>
      </c>
      <c r="D12" s="8">
        <v>27485.32927731</v>
      </c>
      <c r="E12" s="8">
        <v>15025.204707929999</v>
      </c>
      <c r="F12" s="31">
        <v>0.1030143005</v>
      </c>
      <c r="G12" s="31">
        <v>7.3483204459999993E-2</v>
      </c>
      <c r="H12" s="31">
        <v>1.6480597770000001E-2</v>
      </c>
      <c r="I12" s="31">
        <v>0.01</v>
      </c>
      <c r="J12" s="11">
        <f t="shared" si="15"/>
        <v>0.46552591669958315</v>
      </c>
      <c r="K12" s="11">
        <f t="shared" si="16"/>
        <v>0.33699679405700722</v>
      </c>
      <c r="L12" s="11">
        <f t="shared" si="17"/>
        <v>0.12767960810678719</v>
      </c>
      <c r="M12" s="11">
        <f t="shared" si="18"/>
        <v>6.9797681136622422E-2</v>
      </c>
      <c r="N12" s="12">
        <f t="shared" si="19"/>
        <v>7.5521644069489816E-2</v>
      </c>
    </row>
    <row r="13" spans="1:14" x14ac:dyDescent="0.25">
      <c r="F13" s="48"/>
      <c r="G13" s="48"/>
      <c r="H13" s="48"/>
    </row>
    <row r="15" spans="1:14" x14ac:dyDescent="0.25">
      <c r="A15" s="6">
        <v>1000000</v>
      </c>
    </row>
    <row r="16" spans="1:14" x14ac:dyDescent="0.25">
      <c r="E16" s="48"/>
    </row>
    <row r="17" spans="6:6" x14ac:dyDescent="0.25">
      <c r="F17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2</vt:i4>
      </vt:variant>
    </vt:vector>
  </HeadingPairs>
  <TitlesOfParts>
    <vt:vector size="8" baseType="lpstr">
      <vt:lpstr>Hoja1</vt:lpstr>
      <vt:lpstr>Hoja2</vt:lpstr>
      <vt:lpstr>Metodología</vt:lpstr>
      <vt:lpstr>Promedio ciclos</vt:lpstr>
      <vt:lpstr>Datos recursos</vt:lpstr>
      <vt:lpstr>tpp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Estefania Pérez Mesa</dc:creator>
  <cp:lastModifiedBy>JUAN ANDRES MIRANDA ROJO</cp:lastModifiedBy>
  <dcterms:created xsi:type="dcterms:W3CDTF">2024-08-30T02:07:07Z</dcterms:created>
  <dcterms:modified xsi:type="dcterms:W3CDTF">2026-01-22T00:45:40Z</dcterms:modified>
</cp:coreProperties>
</file>