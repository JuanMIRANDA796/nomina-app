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\.gemini\antigravity\scratch\nomina_colombia\web\interactive_presentation\"/>
    </mc:Choice>
  </mc:AlternateContent>
  <xr:revisionPtr revIDLastSave="0" documentId="13_ncr:1_{C44D78FB-B66C-47EC-8D90-8C7F82485287}" xr6:coauthVersionLast="47" xr6:coauthVersionMax="47" xr10:uidLastSave="{00000000-0000-0000-0000-000000000000}"/>
  <bookViews>
    <workbookView xWindow="-120" yWindow="-120" windowWidth="20730" windowHeight="11040" activeTab="1" xr2:uid="{CA39EF94-E767-4DEB-9A90-4A15D3A988AA}"/>
  </bookViews>
  <sheets>
    <sheet name="Hoja1" sheetId="1" r:id="rId1"/>
    <sheet name="CDATS - TPP" sheetId="2" r:id="rId2"/>
    <sheet name="Cancelación Anticp" sheetId="3" r:id="rId3"/>
    <sheet name="Hoja2" sheetId="7" r:id="rId4"/>
    <sheet name="Futuro" sheetId="6" r:id="rId5"/>
    <sheet name="Evolución Rking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4" i="2" l="1"/>
  <c r="D66" i="2"/>
  <c r="D65" i="2"/>
  <c r="D64" i="2"/>
  <c r="C66" i="2"/>
  <c r="C65" i="2"/>
  <c r="N61" i="3" l="1"/>
  <c r="L61" i="3"/>
  <c r="I61" i="3"/>
  <c r="G61" i="3"/>
  <c r="D61" i="3"/>
  <c r="B61" i="3"/>
  <c r="H61" i="2"/>
  <c r="I61" i="2" s="1"/>
  <c r="C61" i="2"/>
  <c r="B61" i="2"/>
  <c r="B61" i="1"/>
  <c r="B60" i="1"/>
  <c r="L60" i="3" l="1"/>
  <c r="N60" i="3" s="1"/>
  <c r="G60" i="3"/>
  <c r="I60" i="3" s="1"/>
  <c r="B60" i="3"/>
  <c r="D60" i="3" s="1"/>
  <c r="H60" i="2"/>
  <c r="C60" i="2"/>
  <c r="B60" i="2"/>
  <c r="B59" i="2"/>
  <c r="G59" i="3"/>
  <c r="I60" i="2" l="1"/>
  <c r="N59" i="3"/>
  <c r="L59" i="3"/>
  <c r="I59" i="3"/>
  <c r="D59" i="3"/>
  <c r="B59" i="3"/>
  <c r="H59" i="2"/>
  <c r="C59" i="2"/>
  <c r="B59" i="1"/>
  <c r="H58" i="2"/>
  <c r="I59" i="2" l="1"/>
  <c r="G55" i="1"/>
  <c r="L58" i="3" l="1"/>
  <c r="N58" i="3" s="1"/>
  <c r="G58" i="3"/>
  <c r="I58" i="3" s="1"/>
  <c r="B58" i="3"/>
  <c r="D58" i="3" s="1"/>
  <c r="B58" i="2"/>
  <c r="B58" i="1"/>
  <c r="C58" i="2" s="1"/>
  <c r="B57" i="2"/>
  <c r="H57" i="2"/>
  <c r="I58" i="2" l="1"/>
  <c r="I57" i="2"/>
  <c r="B57" i="1"/>
  <c r="C57" i="2" s="1"/>
  <c r="B56" i="1"/>
  <c r="L57" i="3"/>
  <c r="N57" i="3" s="1"/>
  <c r="G57" i="3"/>
  <c r="I57" i="3" s="1"/>
  <c r="B57" i="3"/>
  <c r="D57" i="3" s="1"/>
  <c r="G56" i="1"/>
  <c r="H56" i="2" l="1"/>
  <c r="L56" i="3" l="1"/>
  <c r="N56" i="3" s="1"/>
  <c r="G56" i="3"/>
  <c r="I56" i="3" s="1"/>
  <c r="B56" i="3"/>
  <c r="D56" i="3" s="1"/>
  <c r="C56" i="2"/>
  <c r="B56" i="2"/>
  <c r="I56" i="2" s="1"/>
  <c r="B55" i="3" l="1"/>
  <c r="D55" i="3" s="1"/>
  <c r="B55" i="1" l="1"/>
  <c r="C55" i="2" s="1"/>
  <c r="L55" i="3"/>
  <c r="N55" i="3" s="1"/>
  <c r="G55" i="3"/>
  <c r="I55" i="3" s="1"/>
  <c r="H55" i="2"/>
  <c r="B55" i="2"/>
  <c r="H54" i="2"/>
  <c r="B54" i="3"/>
  <c r="D54" i="3" s="1"/>
  <c r="L54" i="3"/>
  <c r="N54" i="3" s="1"/>
  <c r="I55" i="2" l="1"/>
  <c r="G54" i="3"/>
  <c r="I54" i="3" s="1"/>
  <c r="B54" i="2"/>
  <c r="I54" i="2" s="1"/>
  <c r="B54" i="1"/>
  <c r="C54" i="2" s="1"/>
  <c r="H53" i="2"/>
  <c r="L53" i="3" l="1"/>
  <c r="N53" i="3" s="1"/>
  <c r="G53" i="3"/>
  <c r="I53" i="3" s="1"/>
  <c r="B53" i="3"/>
  <c r="D53" i="3" s="1"/>
  <c r="B53" i="2" l="1"/>
  <c r="I53" i="2" s="1"/>
  <c r="B53" i="1"/>
  <c r="C53" i="2" s="1"/>
  <c r="H52" i="2" l="1"/>
  <c r="L52" i="3"/>
  <c r="N52" i="3" s="1"/>
  <c r="G52" i="3" l="1"/>
  <c r="I52" i="3" s="1"/>
  <c r="B52" i="3"/>
  <c r="D52" i="3" s="1"/>
  <c r="B52" i="2" l="1"/>
  <c r="I52" i="2" s="1"/>
  <c r="B52" i="1"/>
  <c r="C52" i="2" s="1"/>
  <c r="L51" i="3" l="1"/>
  <c r="N51" i="3" s="1"/>
  <c r="G51" i="3"/>
  <c r="I51" i="3" s="1"/>
  <c r="B51" i="3"/>
  <c r="D51" i="3" s="1"/>
  <c r="B51" i="2" l="1"/>
  <c r="I51" i="2" s="1"/>
  <c r="B51" i="1"/>
  <c r="C51" i="2" s="1"/>
  <c r="F64" i="2" l="1"/>
  <c r="L50" i="3"/>
  <c r="N50" i="3" s="1"/>
  <c r="G50" i="3"/>
  <c r="I50" i="3" s="1"/>
  <c r="B50" i="3" l="1"/>
  <c r="D50" i="3" s="1"/>
  <c r="B50" i="2"/>
  <c r="I50" i="2" s="1"/>
  <c r="B50" i="1"/>
  <c r="C50" i="2" s="1"/>
  <c r="L49" i="3" l="1"/>
  <c r="N49" i="3" s="1"/>
  <c r="G49" i="3"/>
  <c r="I49" i="3" s="1"/>
  <c r="B49" i="3"/>
  <c r="D49" i="3" s="1"/>
  <c r="B49" i="2" l="1"/>
  <c r="I49" i="2" s="1"/>
  <c r="B49" i="1"/>
  <c r="C49" i="2" s="1"/>
  <c r="L48" i="3" l="1"/>
  <c r="N48" i="3" s="1"/>
  <c r="B48" i="3"/>
  <c r="D48" i="3" s="1"/>
  <c r="G48" i="3"/>
  <c r="I48" i="3" s="1"/>
  <c r="B48" i="2" l="1"/>
  <c r="I48" i="2" s="1"/>
  <c r="B48" i="1"/>
  <c r="C48" i="2" s="1"/>
  <c r="B47" i="2" l="1"/>
  <c r="I47" i="2" s="1"/>
  <c r="L47" i="3"/>
  <c r="N47" i="3" s="1"/>
  <c r="G47" i="3"/>
  <c r="I47" i="3" s="1"/>
  <c r="B47" i="3"/>
  <c r="D47" i="3" s="1"/>
  <c r="B47" i="1" l="1"/>
  <c r="C47" i="2" s="1"/>
  <c r="L11" i="6" l="1"/>
  <c r="L10" i="6"/>
  <c r="L8" i="6"/>
  <c r="L46" i="3" l="1"/>
  <c r="N46" i="3" s="1"/>
  <c r="G46" i="3"/>
  <c r="I46" i="3" s="1"/>
  <c r="B46" i="3"/>
  <c r="D46" i="3" s="1"/>
  <c r="B46" i="2" l="1"/>
  <c r="I46" i="2" s="1"/>
  <c r="B46" i="1"/>
  <c r="C46" i="2" s="1"/>
  <c r="M10" i="6"/>
  <c r="L45" i="3" l="1"/>
  <c r="N45" i="3" s="1"/>
  <c r="G45" i="3"/>
  <c r="I45" i="3" s="1"/>
  <c r="B45" i="3"/>
  <c r="D45" i="3" s="1"/>
  <c r="B45" i="2" l="1"/>
  <c r="I45" i="2" s="1"/>
  <c r="B45" i="1"/>
  <c r="C45" i="2" s="1"/>
  <c r="L9" i="6"/>
  <c r="M9" i="6"/>
  <c r="N44" i="3"/>
  <c r="I44" i="3" l="1"/>
  <c r="D44" i="3"/>
  <c r="I44" i="2"/>
  <c r="B44" i="1" l="1"/>
  <c r="I43" i="2"/>
  <c r="D43" i="3"/>
  <c r="I42" i="2" l="1"/>
  <c r="N43" i="3"/>
  <c r="M8" i="6"/>
  <c r="I43" i="3" l="1"/>
  <c r="B43" i="1" l="1"/>
  <c r="M7" i="6"/>
  <c r="L7" i="6"/>
  <c r="L42" i="3" l="1"/>
  <c r="N42" i="3" s="1"/>
  <c r="G42" i="3"/>
  <c r="I42" i="3" s="1"/>
  <c r="B42" i="3"/>
  <c r="D42" i="3" s="1"/>
  <c r="B42" i="1" l="1"/>
  <c r="I41" i="2" l="1"/>
  <c r="L6" i="6" l="1"/>
  <c r="M6" i="6"/>
  <c r="H5" i="6" l="1"/>
  <c r="H4" i="6"/>
  <c r="H3" i="6"/>
  <c r="H2" i="6"/>
  <c r="F5" i="6"/>
  <c r="F4" i="6"/>
  <c r="F3" i="6"/>
  <c r="F2" i="6"/>
  <c r="D5" i="6"/>
  <c r="D4" i="6"/>
  <c r="D3" i="6"/>
  <c r="D2" i="6"/>
  <c r="B5" i="6"/>
  <c r="B4" i="6"/>
  <c r="B3" i="6"/>
  <c r="B2" i="6"/>
  <c r="G41" i="3" l="1"/>
  <c r="I41" i="3" s="1"/>
  <c r="L41" i="3"/>
  <c r="N41" i="3" s="1"/>
  <c r="B41" i="3"/>
  <c r="D41" i="3" s="1"/>
  <c r="H40" i="2" l="1"/>
  <c r="B41" i="1" l="1"/>
  <c r="R11" i="6" l="1"/>
  <c r="M5" i="6"/>
  <c r="L2" i="6" l="1"/>
  <c r="L3" i="6"/>
  <c r="L4" i="6"/>
  <c r="L5" i="6"/>
  <c r="L40" i="3"/>
  <c r="N40" i="3" s="1"/>
  <c r="G40" i="3"/>
  <c r="I40" i="3" s="1"/>
  <c r="B40" i="3" l="1"/>
  <c r="D40" i="3" s="1"/>
  <c r="I38" i="2" l="1"/>
  <c r="I39" i="2"/>
  <c r="B40" i="2"/>
  <c r="I40" i="2" s="1"/>
  <c r="B40" i="1"/>
  <c r="C40" i="2" s="1"/>
  <c r="D39" i="3" l="1"/>
  <c r="I39" i="3" l="1"/>
  <c r="N39" i="3"/>
  <c r="N37" i="3"/>
  <c r="N38" i="3"/>
  <c r="B38" i="1" l="1"/>
  <c r="B39" i="1"/>
  <c r="B37" i="1"/>
  <c r="D2" i="3" l="1"/>
  <c r="I2" i="2"/>
  <c r="D3" i="3"/>
  <c r="D38" i="3"/>
  <c r="I38" i="3"/>
  <c r="M4" i="6" l="1"/>
  <c r="M3" i="6"/>
  <c r="I2" i="6"/>
  <c r="M2" i="6" s="1"/>
  <c r="I36" i="3" l="1"/>
  <c r="I37" i="3"/>
  <c r="D36" i="3"/>
  <c r="D37" i="3"/>
  <c r="I36" i="2"/>
  <c r="I37" i="2"/>
  <c r="B36" i="1" l="1"/>
  <c r="I35" i="2"/>
  <c r="G35" i="3" l="1"/>
  <c r="I35" i="3" s="1"/>
  <c r="B35" i="3"/>
  <c r="D35" i="3" s="1"/>
  <c r="B35" i="1" l="1"/>
  <c r="G34" i="3" l="1"/>
  <c r="I34" i="3" s="1"/>
  <c r="B34" i="3"/>
  <c r="D34" i="3" s="1"/>
  <c r="B34" i="2" l="1"/>
  <c r="I34" i="2" s="1"/>
  <c r="B34" i="1"/>
  <c r="C34" i="2" s="1"/>
  <c r="G33" i="3" l="1"/>
  <c r="I33" i="3" s="1"/>
  <c r="B33" i="3"/>
  <c r="D33" i="3" s="1"/>
  <c r="B33" i="2"/>
  <c r="B33" i="1"/>
  <c r="C33" i="2" s="1"/>
  <c r="B32" i="2"/>
  <c r="B32" i="1"/>
  <c r="C32" i="2" s="1"/>
  <c r="G32" i="3"/>
  <c r="I32" i="3" s="1"/>
  <c r="B32" i="3"/>
  <c r="D32" i="3" s="1"/>
  <c r="I33" i="2" l="1"/>
  <c r="I32" i="2"/>
  <c r="G31" i="3"/>
  <c r="I31" i="3" s="1"/>
  <c r="B31" i="3"/>
  <c r="D31" i="3" s="1"/>
  <c r="B31" i="2"/>
  <c r="I31" i="2" s="1"/>
  <c r="B31" i="1"/>
  <c r="C31" i="2" s="1"/>
  <c r="I30" i="2" l="1"/>
  <c r="G30" i="3" l="1"/>
  <c r="I30" i="3" s="1"/>
  <c r="B30" i="3"/>
  <c r="D30" i="3" s="1"/>
  <c r="B30" i="1"/>
  <c r="I29" i="2" l="1"/>
  <c r="G29" i="3" l="1"/>
  <c r="I29" i="3" s="1"/>
  <c r="B29" i="3"/>
  <c r="D29" i="3" s="1"/>
  <c r="B29" i="1"/>
  <c r="C29" i="2" s="1"/>
  <c r="G28" i="3" l="1"/>
  <c r="I28" i="3" s="1"/>
  <c r="B28" i="3"/>
  <c r="B28" i="2"/>
  <c r="I28" i="2" s="1"/>
  <c r="B28" i="1"/>
  <c r="C28" i="2" s="1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28" i="3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B27" i="1"/>
</calcChain>
</file>

<file path=xl/sharedStrings.xml><?xml version="1.0" encoding="utf-8"?>
<sst xmlns="http://schemas.openxmlformats.org/spreadsheetml/2006/main" count="84" uniqueCount="48">
  <si>
    <t>Saldo total pasivos</t>
  </si>
  <si>
    <t>Mes</t>
  </si>
  <si>
    <t>CDATs</t>
  </si>
  <si>
    <t>Ahorros Programados</t>
  </si>
  <si>
    <t>Ahorros disponibles</t>
  </si>
  <si>
    <t>Saldos cancelados anticipadamente</t>
  </si>
  <si>
    <t>TPP  CDAT</t>
  </si>
  <si>
    <t>TPP  VISTA</t>
  </si>
  <si>
    <t>TPP  contractual</t>
  </si>
  <si>
    <t>Total TPP captación</t>
  </si>
  <si>
    <t>Saldo CDATs</t>
  </si>
  <si>
    <t>Saldo Captación</t>
  </si>
  <si>
    <t xml:space="preserve">Saldos CDAT </t>
  </si>
  <si>
    <t xml:space="preserve">Saldos Ahorros programdos </t>
  </si>
  <si>
    <t>CDATs cancelados anticipadamente</t>
  </si>
  <si>
    <t>Ahorro programados cancelados anticipadamente</t>
  </si>
  <si>
    <t>% CDATs cancelados sobre saldo total</t>
  </si>
  <si>
    <t>% Ahorros cancelados sobre saldo total</t>
  </si>
  <si>
    <t>(se coloca en ppt)</t>
  </si>
  <si>
    <t>Saldos Total Pasivos</t>
  </si>
  <si>
    <t>TPP captación y Saldos</t>
  </si>
  <si>
    <t>MES</t>
  </si>
  <si>
    <t>90 días</t>
  </si>
  <si>
    <t>180 días</t>
  </si>
  <si>
    <t>1 año</t>
  </si>
  <si>
    <t>2 años</t>
  </si>
  <si>
    <t>3 años</t>
  </si>
  <si>
    <t>dispo</t>
  </si>
  <si>
    <t>cdat</t>
  </si>
  <si>
    <t>prog</t>
  </si>
  <si>
    <t>Fecha</t>
  </si>
  <si>
    <t>VIVIENDA</t>
  </si>
  <si>
    <t># ASOCIADOS</t>
  </si>
  <si>
    <t>EDUCACIÒN</t>
  </si>
  <si>
    <t>EXCEPCIÓN - REG AHORROS</t>
  </si>
  <si>
    <t>CANCELACIÒN VOLUNTARIA</t>
  </si>
  <si>
    <t>RETIRO FONDO</t>
  </si>
  <si>
    <t>Valor total</t>
  </si>
  <si>
    <t># total asoc</t>
  </si>
  <si>
    <t>Ahorro Futuro</t>
  </si>
  <si>
    <t>Ahorro FUTURO cancelados anticipadamente</t>
  </si>
  <si>
    <t>EDUCACIÓN</t>
  </si>
  <si>
    <t>NUMERO DE ASOCIADOS</t>
  </si>
  <si>
    <t xml:space="preserve"> REG AHORROS</t>
  </si>
  <si>
    <t>CANCELACIÓN ANT</t>
  </si>
  <si>
    <t>Saldos cdats cancelados anticipadamente</t>
  </si>
  <si>
    <t>Saldo</t>
  </si>
  <si>
    <t>tpp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</si>
</sst>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&quot;$&quot;\ #,##0"/>
    <numFmt numFmtId="167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Calibri"/>
      <family val="2"/>
    </font>
    <font>
      <b/>
      <sz val="9"/>
      <color indexed="9"/>
      <name val="Arial"/>
      <family val="2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wrapText="1"/>
    </xf>
    <xf numFmtId="17" fontId="0" fillId="0" borderId="0" xfId="0" applyNumberFormat="1"/>
    <xf numFmtId="164" fontId="0" fillId="0" borderId="0" xfId="1" applyNumberFormat="1" applyFont="1"/>
    <xf numFmtId="14" fontId="0" fillId="0" borderId="0" xfId="0" applyNumberFormat="1"/>
    <xf numFmtId="2" fontId="0" fillId="0" borderId="0" xfId="0" applyNumberFormat="1"/>
    <xf numFmtId="165" fontId="0" fillId="0" borderId="0" xfId="2" applyNumberFormat="1" applyFont="1"/>
    <xf numFmtId="10" fontId="0" fillId="0" borderId="0" xfId="2" applyNumberFormat="1" applyFont="1"/>
    <xf numFmtId="164" fontId="2" fillId="0" borderId="0" xfId="1" applyNumberFormat="1" applyFont="1" applyAlignment="1">
      <alignment wrapText="1"/>
    </xf>
    <xf numFmtId="166" fontId="0" fillId="0" borderId="0" xfId="1" applyNumberFormat="1" applyFont="1"/>
    <xf numFmtId="0" fontId="4" fillId="0" borderId="0" xfId="0" applyFont="1"/>
    <xf numFmtId="43" fontId="0" fillId="0" borderId="0" xfId="1" applyFont="1"/>
    <xf numFmtId="164" fontId="5" fillId="0" borderId="0" xfId="1" applyNumberFormat="1" applyFont="1"/>
    <xf numFmtId="164" fontId="0" fillId="0" borderId="4" xfId="1" applyNumberFormat="1" applyFont="1" applyBorder="1"/>
    <xf numFmtId="164" fontId="0" fillId="0" borderId="5" xfId="1" applyNumberFormat="1" applyFont="1" applyBorder="1"/>
    <xf numFmtId="164" fontId="0" fillId="0" borderId="6" xfId="1" applyNumberFormat="1" applyFont="1" applyBorder="1"/>
    <xf numFmtId="164" fontId="0" fillId="0" borderId="7" xfId="1" applyNumberFormat="1" applyFont="1" applyBorder="1"/>
    <xf numFmtId="164" fontId="0" fillId="0" borderId="8" xfId="1" applyNumberFormat="1" applyFont="1" applyBorder="1"/>
    <xf numFmtId="164" fontId="0" fillId="0" borderId="9" xfId="1" applyNumberFormat="1" applyFont="1" applyBorder="1"/>
    <xf numFmtId="0" fontId="6" fillId="4" borderId="3" xfId="0" applyFont="1" applyFill="1" applyBorder="1" applyAlignment="1">
      <alignment horizontal="center" vertical="center" wrapText="1"/>
    </xf>
    <xf numFmtId="17" fontId="8" fillId="3" borderId="1" xfId="0" applyNumberFormat="1" applyFont="1" applyFill="1" applyBorder="1"/>
    <xf numFmtId="164" fontId="4" fillId="0" borderId="4" xfId="1" applyNumberFormat="1" applyFont="1" applyFill="1" applyBorder="1"/>
    <xf numFmtId="164" fontId="4" fillId="0" borderId="5" xfId="1" applyNumberFormat="1" applyFont="1" applyFill="1" applyBorder="1"/>
    <xf numFmtId="164" fontId="4" fillId="0" borderId="6" xfId="1" applyNumberFormat="1" applyFont="1" applyFill="1" applyBorder="1"/>
    <xf numFmtId="0" fontId="6" fillId="4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1" fontId="0" fillId="0" borderId="0" xfId="1" applyNumberFormat="1" applyFont="1"/>
    <xf numFmtId="164" fontId="0" fillId="3" borderId="0" xfId="1" applyNumberFormat="1" applyFont="1" applyFill="1"/>
    <xf numFmtId="2" fontId="0" fillId="3" borderId="0" xfId="0" applyNumberFormat="1" applyFill="1"/>
    <xf numFmtId="0" fontId="0" fillId="3" borderId="0" xfId="0" applyFill="1" applyAlignment="1">
      <alignment wrapText="1"/>
    </xf>
    <xf numFmtId="0" fontId="0" fillId="0" borderId="0" xfId="0" applyAlignment="1">
      <alignment vertical="center" wrapText="1"/>
    </xf>
    <xf numFmtId="4" fontId="0" fillId="0" borderId="0" xfId="0" applyNumberFormat="1"/>
    <xf numFmtId="3" fontId="0" fillId="0" borderId="0" xfId="0" applyNumberFormat="1"/>
    <xf numFmtId="164" fontId="0" fillId="0" borderId="0" xfId="0" applyNumberFormat="1"/>
    <xf numFmtId="167" fontId="0" fillId="0" borderId="0" xfId="0" applyNumberFormat="1"/>
    <xf numFmtId="164" fontId="0" fillId="0" borderId="12" xfId="1" applyNumberFormat="1" applyFont="1" applyBorder="1"/>
    <xf numFmtId="2" fontId="0" fillId="0" borderId="12" xfId="0" applyNumberFormat="1" applyBorder="1"/>
    <xf numFmtId="2" fontId="0" fillId="6" borderId="12" xfId="0" applyNumberFormat="1" applyFill="1" applyBorder="1"/>
    <xf numFmtId="0" fontId="4" fillId="2" borderId="0" xfId="0" applyFont="1" applyFill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</cellXfs>
  <cellStyles count="8">
    <cellStyle name="Millares" xfId="1" builtinId="3"/>
    <cellStyle name="Millares [0] 2" xfId="4" xr:uid="{3AAEA093-E22F-48D4-B3D7-17A565A3849C}"/>
    <cellStyle name="Millares [0] 3" xfId="5" xr:uid="{5729692D-C80D-4C83-B5C6-8BB396EE86F7}"/>
    <cellStyle name="Millares [0] 4" xfId="6" xr:uid="{F30309F5-68EC-4D24-8156-B5DF9A9BBB9C}"/>
    <cellStyle name="Millares [0] 5" xfId="7" xr:uid="{9DE048C9-9ADE-43A2-9267-B144DA1E632A}"/>
    <cellStyle name="Normal" xfId="0" builtinId="0"/>
    <cellStyle name="Normal 17" xfId="3" xr:uid="{ED042756-EFD5-4BDF-9C33-B47173F1D751}"/>
    <cellStyle name="Porcentaje" xfId="2" builtinId="5"/>
  </cellStyles>
  <dxfs count="0"/>
  <tableStyles count="0" defaultTableStyle="TableStyleMedium2" defaultPivotStyle="PivotStyleLight16"/>
  <colors>
    <mruColors>
      <color rgb="FF00CC00"/>
      <color rgb="FFBD20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496346230102536E-2"/>
          <c:y val="0.16723647959048774"/>
          <c:w val="0.87569364980456577"/>
          <c:h val="0.58767982779131023"/>
        </c:manualLayout>
      </c:layout>
      <c:lineChart>
        <c:grouping val="standard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Saldo total pasivos</c:v>
                </c:pt>
              </c:strCache>
            </c:strRef>
          </c:tx>
          <c:spPr>
            <a:ln w="9525" cap="rnd">
              <a:solidFill>
                <a:srgbClr val="BD20E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ln>
                      <a:solidFill>
                        <a:srgbClr val="BD20E8"/>
                      </a:solidFill>
                    </a:ln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Hoja1!$A$48:$A$60</c:f>
              <c:numCache>
                <c:formatCode>mmm\-yy</c:formatCode>
                <c:ptCount val="13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  <c:pt idx="9">
                  <c:v>45870</c:v>
                </c:pt>
                <c:pt idx="10">
                  <c:v>45901</c:v>
                </c:pt>
                <c:pt idx="11">
                  <c:v>45931</c:v>
                </c:pt>
                <c:pt idx="12">
                  <c:v>45962</c:v>
                </c:pt>
              </c:numCache>
            </c:numRef>
          </c:cat>
          <c:val>
            <c:numRef>
              <c:f>Hoja1!$B$48:$B$60</c:f>
              <c:numCache>
                <c:formatCode>_-* #,##0_-;\-* #,##0_-;_-* "-"??_-;_-@_-</c:formatCode>
                <c:ptCount val="13"/>
                <c:pt idx="0">
                  <c:v>207183.73129920999</c:v>
                </c:pt>
                <c:pt idx="1">
                  <c:v>187707.39814871998</c:v>
                </c:pt>
                <c:pt idx="2">
                  <c:v>189281.71066148003</c:v>
                </c:pt>
                <c:pt idx="3">
                  <c:v>192419.37788324</c:v>
                </c:pt>
                <c:pt idx="4">
                  <c:v>191423.53834116002</c:v>
                </c:pt>
                <c:pt idx="5">
                  <c:v>191983.07308726001</c:v>
                </c:pt>
                <c:pt idx="6">
                  <c:v>198131.00603083998</c:v>
                </c:pt>
                <c:pt idx="7">
                  <c:v>195237.966105</c:v>
                </c:pt>
                <c:pt idx="8">
                  <c:v>200242.75925951998</c:v>
                </c:pt>
                <c:pt idx="9">
                  <c:v>203471.811456</c:v>
                </c:pt>
                <c:pt idx="10">
                  <c:v>206135.59787999999</c:v>
                </c:pt>
                <c:pt idx="11">
                  <c:v>210620.88076599999</c:v>
                </c:pt>
                <c:pt idx="12">
                  <c:v>221894.04474500002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D8-45F4-B0D6-E10D97E1A820}"/>
            </c:ext>
          </c:extLst>
        </c:ser>
        <c:ser>
          <c:idx val="1"/>
          <c:order val="1"/>
          <c:tx>
            <c:strRef>
              <c:f>Hoja1!$C$1</c:f>
              <c:strCache>
                <c:ptCount val="1"/>
                <c:pt idx="0">
                  <c:v>CDATs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accent2"/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Hoja1!$A$48:$A$60</c:f>
              <c:numCache>
                <c:formatCode>mmm\-yy</c:formatCode>
                <c:ptCount val="13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  <c:pt idx="9">
                  <c:v>45870</c:v>
                </c:pt>
                <c:pt idx="10">
                  <c:v>45901</c:v>
                </c:pt>
                <c:pt idx="11">
                  <c:v>45931</c:v>
                </c:pt>
                <c:pt idx="12">
                  <c:v>45962</c:v>
                </c:pt>
              </c:numCache>
            </c:numRef>
          </c:cat>
          <c:val>
            <c:numRef>
              <c:f>Hoja1!$C$48:$C$60</c:f>
              <c:numCache>
                <c:formatCode>_-* #,##0_-;\-* #,##0_-;_-* "-"??_-;_-@_-</c:formatCode>
                <c:ptCount val="13"/>
                <c:pt idx="0">
                  <c:v>87723.37234039999</c:v>
                </c:pt>
                <c:pt idx="1">
                  <c:v>89551.24295439999</c:v>
                </c:pt>
                <c:pt idx="2">
                  <c:v>91352.12850240001</c:v>
                </c:pt>
                <c:pt idx="3">
                  <c:v>92480.890455999994</c:v>
                </c:pt>
                <c:pt idx="4">
                  <c:v>92822.723035000003</c:v>
                </c:pt>
                <c:pt idx="5">
                  <c:v>92923.129864999995</c:v>
                </c:pt>
                <c:pt idx="6">
                  <c:v>93039.532621999999</c:v>
                </c:pt>
                <c:pt idx="7">
                  <c:v>96739.680731</c:v>
                </c:pt>
                <c:pt idx="8">
                  <c:v>100212.81626199999</c:v>
                </c:pt>
                <c:pt idx="9">
                  <c:v>103031.082476</c:v>
                </c:pt>
                <c:pt idx="10">
                  <c:v>107019.998305</c:v>
                </c:pt>
                <c:pt idx="11">
                  <c:v>107711.847996</c:v>
                </c:pt>
                <c:pt idx="12">
                  <c:v>110869.99139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D8-45F4-B0D6-E10D97E1A820}"/>
            </c:ext>
          </c:extLst>
        </c:ser>
        <c:ser>
          <c:idx val="2"/>
          <c:order val="2"/>
          <c:tx>
            <c:strRef>
              <c:f>Hoja1!$D$1</c:f>
              <c:strCache>
                <c:ptCount val="1"/>
                <c:pt idx="0">
                  <c:v>Ahorros Programados</c:v>
                </c:pt>
              </c:strCache>
            </c:strRef>
          </c:tx>
          <c:spPr>
            <a:ln w="952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CC0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ln>
                      <a:solidFill>
                        <a:srgbClr val="92D050"/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Hoja1!$A$48:$A$60</c:f>
              <c:numCache>
                <c:formatCode>mmm\-yy</c:formatCode>
                <c:ptCount val="13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  <c:pt idx="9">
                  <c:v>45870</c:v>
                </c:pt>
                <c:pt idx="10">
                  <c:v>45901</c:v>
                </c:pt>
                <c:pt idx="11">
                  <c:v>45931</c:v>
                </c:pt>
                <c:pt idx="12">
                  <c:v>45962</c:v>
                </c:pt>
              </c:numCache>
            </c:numRef>
          </c:cat>
          <c:val>
            <c:numRef>
              <c:f>Hoja1!$D$48:$D$60</c:f>
              <c:numCache>
                <c:formatCode>_-* #,##0_-;\-* #,##0_-;_-* "-"??_-;_-@_-</c:formatCode>
                <c:ptCount val="13"/>
                <c:pt idx="0">
                  <c:v>9512.7389870000006</c:v>
                </c:pt>
                <c:pt idx="1">
                  <c:v>10492.840273</c:v>
                </c:pt>
                <c:pt idx="2">
                  <c:v>12226.253343</c:v>
                </c:pt>
                <c:pt idx="3">
                  <c:v>14315.477568</c:v>
                </c:pt>
                <c:pt idx="4">
                  <c:v>16034.148997</c:v>
                </c:pt>
                <c:pt idx="5">
                  <c:v>14963.165435000001</c:v>
                </c:pt>
                <c:pt idx="6">
                  <c:v>16500.702423999999</c:v>
                </c:pt>
                <c:pt idx="7">
                  <c:v>18455.995974000001</c:v>
                </c:pt>
                <c:pt idx="8">
                  <c:v>20047.431488999999</c:v>
                </c:pt>
                <c:pt idx="9">
                  <c:v>21944.876471</c:v>
                </c:pt>
                <c:pt idx="10">
                  <c:v>24201.65913</c:v>
                </c:pt>
                <c:pt idx="11">
                  <c:v>25620.820239000001</c:v>
                </c:pt>
                <c:pt idx="12">
                  <c:v>11080.241754000001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D8-45F4-B0D6-E10D97E1A820}"/>
            </c:ext>
          </c:extLst>
        </c:ser>
        <c:ser>
          <c:idx val="3"/>
          <c:order val="3"/>
          <c:tx>
            <c:strRef>
              <c:f>Hoja1!$F$1</c:f>
              <c:strCache>
                <c:ptCount val="1"/>
                <c:pt idx="0">
                  <c:v>Ahorros disponibles</c:v>
                </c:pt>
              </c:strCache>
            </c:strRef>
          </c:tx>
          <c:spPr>
            <a:ln w="95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Hoja1!$A$48:$A$60</c:f>
              <c:numCache>
                <c:formatCode>mmm\-yy</c:formatCode>
                <c:ptCount val="13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  <c:pt idx="9">
                  <c:v>45870</c:v>
                </c:pt>
                <c:pt idx="10">
                  <c:v>45901</c:v>
                </c:pt>
                <c:pt idx="11">
                  <c:v>45931</c:v>
                </c:pt>
                <c:pt idx="12">
                  <c:v>45962</c:v>
                </c:pt>
              </c:numCache>
            </c:numRef>
          </c:cat>
          <c:val>
            <c:numRef>
              <c:f>Hoja1!$F$48:$F$60</c:f>
              <c:numCache>
                <c:formatCode>_-* #,##0_-;\-* #,##0_-;_-* "-"??_-;_-@_-</c:formatCode>
                <c:ptCount val="13"/>
                <c:pt idx="0">
                  <c:v>56100.757916720002</c:v>
                </c:pt>
                <c:pt idx="1">
                  <c:v>33922.217734539998</c:v>
                </c:pt>
                <c:pt idx="2">
                  <c:v>32135.46785968</c:v>
                </c:pt>
                <c:pt idx="3">
                  <c:v>32684.064140779999</c:v>
                </c:pt>
                <c:pt idx="4">
                  <c:v>29937.308933140001</c:v>
                </c:pt>
                <c:pt idx="5">
                  <c:v>31537.726124790002</c:v>
                </c:pt>
                <c:pt idx="6">
                  <c:v>36060.446509339999</c:v>
                </c:pt>
                <c:pt idx="7">
                  <c:v>27513.704741000001</c:v>
                </c:pt>
                <c:pt idx="8">
                  <c:v>27485.32927731</c:v>
                </c:pt>
                <c:pt idx="9">
                  <c:v>25845.642799000001</c:v>
                </c:pt>
                <c:pt idx="10">
                  <c:v>23179.670279999998</c:v>
                </c:pt>
                <c:pt idx="11">
                  <c:v>25641.274689000002</c:v>
                </c:pt>
                <c:pt idx="12">
                  <c:v>48263.528718000001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D8-45F4-B0D6-E10D97E1A820}"/>
            </c:ext>
          </c:extLst>
        </c:ser>
        <c:ser>
          <c:idx val="4"/>
          <c:order val="4"/>
          <c:tx>
            <c:strRef>
              <c:f>Hoja1!$E$1</c:f>
              <c:strCache>
                <c:ptCount val="1"/>
                <c:pt idx="0">
                  <c:v>Ahorro Futuro</c:v>
                </c:pt>
              </c:strCache>
            </c:strRef>
          </c:tx>
          <c:spPr>
            <a:ln w="1270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ln>
                      <a:solidFill>
                        <a:srgbClr val="00B0F0"/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Hoja1!$A$48:$A$60</c:f>
              <c:numCache>
                <c:formatCode>mmm\-yy</c:formatCode>
                <c:ptCount val="13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  <c:pt idx="9">
                  <c:v>45870</c:v>
                </c:pt>
                <c:pt idx="10">
                  <c:v>45901</c:v>
                </c:pt>
                <c:pt idx="11">
                  <c:v>45931</c:v>
                </c:pt>
                <c:pt idx="12">
                  <c:v>45962</c:v>
                </c:pt>
              </c:numCache>
            </c:numRef>
          </c:cat>
          <c:val>
            <c:numRef>
              <c:f>Hoja1!$E$48:$E$60</c:f>
              <c:numCache>
                <c:formatCode>_-* #,##0_-;\-* #,##0_-;_-* "-"??_-;_-@_-</c:formatCode>
                <c:ptCount val="13"/>
                <c:pt idx="0">
                  <c:v>53846.862055089994</c:v>
                </c:pt>
                <c:pt idx="1">
                  <c:v>53741.097186779996</c:v>
                </c:pt>
                <c:pt idx="2">
                  <c:v>53567.8609564</c:v>
                </c:pt>
                <c:pt idx="3">
                  <c:v>52938.945718459996</c:v>
                </c:pt>
                <c:pt idx="4">
                  <c:v>52629.357376020002</c:v>
                </c:pt>
                <c:pt idx="5">
                  <c:v>52559.051662470003</c:v>
                </c:pt>
                <c:pt idx="6">
                  <c:v>52530.324475499998</c:v>
                </c:pt>
                <c:pt idx="7">
                  <c:v>52528.584659</c:v>
                </c:pt>
                <c:pt idx="8">
                  <c:v>52497.182231209998</c:v>
                </c:pt>
                <c:pt idx="9">
                  <c:v>52650.209710000003</c:v>
                </c:pt>
                <c:pt idx="10">
                  <c:v>51734.270165000002</c:v>
                </c:pt>
                <c:pt idx="11">
                  <c:v>51646.937841999999</c:v>
                </c:pt>
                <c:pt idx="12">
                  <c:v>51680.282883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DE-4F8C-AAD6-8CD61953A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5692272"/>
        <c:axId val="2105688528"/>
      </c:lineChart>
      <c:dateAx>
        <c:axId val="21056922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05688528"/>
        <c:crosses val="autoZero"/>
        <c:auto val="1"/>
        <c:lblOffset val="100"/>
        <c:baseTimeUnit val="months"/>
      </c:dateAx>
      <c:valAx>
        <c:axId val="2105688528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2105692272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Saldo</a:t>
            </a:r>
            <a:r>
              <a:rPr lang="en-US" baseline="0"/>
              <a:t> Captación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5553532414844815E-2"/>
          <c:y val="0.10830965852886482"/>
          <c:w val="0.94786251028471213"/>
          <c:h val="0.65434337039528345"/>
        </c:manualLayout>
      </c:layout>
      <c:lineChart>
        <c:grouping val="standard"/>
        <c:varyColors val="0"/>
        <c:ser>
          <c:idx val="0"/>
          <c:order val="0"/>
          <c:tx>
            <c:strRef>
              <c:f>'CDATS - TPP'!$C$1</c:f>
              <c:strCache>
                <c:ptCount val="1"/>
                <c:pt idx="0">
                  <c:v> Saldo Captación </c:v>
                </c:pt>
              </c:strCache>
            </c:strRef>
          </c:tx>
          <c:spPr>
            <a:ln w="95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'CDATS - TPP'!$A$40:$A$54</c:f>
              <c:numCache>
                <c:formatCode>mmm\-yy</c:formatCode>
                <c:ptCount val="15"/>
                <c:pt idx="0">
                  <c:v>45352</c:v>
                </c:pt>
                <c:pt idx="1">
                  <c:v>45383</c:v>
                </c:pt>
                <c:pt idx="2">
                  <c:v>45413</c:v>
                </c:pt>
                <c:pt idx="3">
                  <c:v>45444</c:v>
                </c:pt>
                <c:pt idx="4">
                  <c:v>45474</c:v>
                </c:pt>
                <c:pt idx="5">
                  <c:v>45505</c:v>
                </c:pt>
                <c:pt idx="6">
                  <c:v>45536</c:v>
                </c:pt>
                <c:pt idx="7">
                  <c:v>45566</c:v>
                </c:pt>
                <c:pt idx="8">
                  <c:v>45597</c:v>
                </c:pt>
                <c:pt idx="9">
                  <c:v>45627</c:v>
                </c:pt>
                <c:pt idx="10">
                  <c:v>45658</c:v>
                </c:pt>
                <c:pt idx="11">
                  <c:v>45689</c:v>
                </c:pt>
                <c:pt idx="12">
                  <c:v>45717</c:v>
                </c:pt>
                <c:pt idx="13">
                  <c:v>45748</c:v>
                </c:pt>
                <c:pt idx="14">
                  <c:v>45778</c:v>
                </c:pt>
              </c:numCache>
            </c:numRef>
          </c:cat>
          <c:val>
            <c:numRef>
              <c:f>'CDATS - TPP'!$C$40:$C$54</c:f>
              <c:numCache>
                <c:formatCode>_-* #,##0_-;\-* #,##0_-;_-* "-"??_-;_-@_-</c:formatCode>
                <c:ptCount val="15"/>
                <c:pt idx="0">
                  <c:v>198589.85573359003</c:v>
                </c:pt>
                <c:pt idx="1">
                  <c:v>194584.70275366001</c:v>
                </c:pt>
                <c:pt idx="2">
                  <c:v>191985.43920251</c:v>
                </c:pt>
                <c:pt idx="3">
                  <c:v>197118.251032</c:v>
                </c:pt>
                <c:pt idx="4">
                  <c:v>195610.28090437999</c:v>
                </c:pt>
                <c:pt idx="5">
                  <c:v>194749.65584185999</c:v>
                </c:pt>
                <c:pt idx="6">
                  <c:v>193508.91866671</c:v>
                </c:pt>
                <c:pt idx="7">
                  <c:v>192628.94739985003</c:v>
                </c:pt>
                <c:pt idx="8">
                  <c:v>207183.73129920999</c:v>
                </c:pt>
                <c:pt idx="9">
                  <c:v>187707.39814871998</c:v>
                </c:pt>
                <c:pt idx="10">
                  <c:v>189281.71066148003</c:v>
                </c:pt>
                <c:pt idx="11">
                  <c:v>192419.37788324</c:v>
                </c:pt>
                <c:pt idx="12">
                  <c:v>191423.53834116002</c:v>
                </c:pt>
                <c:pt idx="13">
                  <c:v>191983.07308726001</c:v>
                </c:pt>
                <c:pt idx="14">
                  <c:v>198131.00603083998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F1-4EF8-AE88-21B01441AE7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39369856"/>
        <c:axId val="1939375680"/>
      </c:lineChart>
      <c:dateAx>
        <c:axId val="193936985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39375680"/>
        <c:crosses val="autoZero"/>
        <c:auto val="1"/>
        <c:lblOffset val="100"/>
        <c:baseTimeUnit val="months"/>
      </c:dateAx>
      <c:valAx>
        <c:axId val="1939375680"/>
        <c:scaling>
          <c:orientation val="minMax"/>
        </c:scaling>
        <c:delete val="1"/>
        <c:axPos val="l"/>
        <c:numFmt formatCode="_-* #,##0_-;\-* #,##0_-;_-* &quot;-&quot;??_-;_-@_-" sourceLinked="1"/>
        <c:majorTickMark val="out"/>
        <c:minorTickMark val="none"/>
        <c:tickLblPos val="nextTo"/>
        <c:crossAx val="1939369856"/>
        <c:crosses val="autoZero"/>
        <c:crossBetween val="between"/>
        <c:majorUnit val="500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4977212292889451"/>
          <c:y val="0.85923037139697744"/>
          <c:w val="0.17327296172972836"/>
          <c:h val="6.4408847748993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TPP Captación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2.3280563321257434E-2"/>
          <c:y val="0.20313283324791501"/>
          <c:w val="0.96953823022870678"/>
          <c:h val="0.54768578483902541"/>
        </c:manualLayout>
      </c:layout>
      <c:lineChart>
        <c:grouping val="standard"/>
        <c:varyColors val="0"/>
        <c:ser>
          <c:idx val="0"/>
          <c:order val="0"/>
          <c:tx>
            <c:strRef>
              <c:f>'CDATS - TPP'!$D$1</c:f>
              <c:strCache>
                <c:ptCount val="1"/>
                <c:pt idx="0">
                  <c:v>TPP  CDAT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5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'CDATS - TPP'!$A$42:$A$54</c:f>
              <c:numCache>
                <c:formatCode>mmm\-yy</c:formatCode>
                <c:ptCount val="13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</c:numCache>
            </c:numRef>
          </c:cat>
          <c:val>
            <c:numRef>
              <c:f>'CDATS - TPP'!$D$42:$D$54</c:f>
              <c:numCache>
                <c:formatCode>0.00</c:formatCode>
                <c:ptCount val="13"/>
                <c:pt idx="0">
                  <c:v>12.128640215837828</c:v>
                </c:pt>
                <c:pt idx="1">
                  <c:v>11.805197805874121</c:v>
                </c:pt>
                <c:pt idx="2">
                  <c:v>11.552063369988602</c:v>
                </c:pt>
                <c:pt idx="3">
                  <c:v>11.286618929999999</c:v>
                </c:pt>
                <c:pt idx="4">
                  <c:v>11.104271574106191</c:v>
                </c:pt>
                <c:pt idx="5">
                  <c:v>10.934381500000001</c:v>
                </c:pt>
                <c:pt idx="6">
                  <c:v>10.8266147</c:v>
                </c:pt>
                <c:pt idx="7">
                  <c:v>10.56235232</c:v>
                </c:pt>
                <c:pt idx="8">
                  <c:v>10.366406400000001</c:v>
                </c:pt>
                <c:pt idx="9">
                  <c:v>10.175989400000001</c:v>
                </c:pt>
                <c:pt idx="10">
                  <c:v>10.128338299999999</c:v>
                </c:pt>
                <c:pt idx="11">
                  <c:v>10.0995001</c:v>
                </c:pt>
                <c:pt idx="12">
                  <c:v>10.081436099999999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A0-4B0E-BED4-A8048EDBCC33}"/>
            </c:ext>
          </c:extLst>
        </c:ser>
        <c:ser>
          <c:idx val="1"/>
          <c:order val="1"/>
          <c:tx>
            <c:strRef>
              <c:f>'CDATS - TPP'!$G$1</c:f>
              <c:strCache>
                <c:ptCount val="1"/>
                <c:pt idx="0">
                  <c:v>Total TPP captación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5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'CDATS - TPP'!$A$42:$A$54</c:f>
              <c:numCache>
                <c:formatCode>mmm\-yy</c:formatCode>
                <c:ptCount val="13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</c:numCache>
            </c:numRef>
          </c:cat>
          <c:val>
            <c:numRef>
              <c:f>'CDATS - TPP'!$G$42:$G$54</c:f>
              <c:numCache>
                <c:formatCode>0.00</c:formatCode>
                <c:ptCount val="13"/>
                <c:pt idx="0">
                  <c:v>9.7296935193296701</c:v>
                </c:pt>
                <c:pt idx="1">
                  <c:v>8.8709048855363992</c:v>
                </c:pt>
                <c:pt idx="2">
                  <c:v>8.9583149947467806</c:v>
                </c:pt>
                <c:pt idx="3">
                  <c:v>8.659358797191226</c:v>
                </c:pt>
                <c:pt idx="4">
                  <c:v>8.4839738770256226</c:v>
                </c:pt>
                <c:pt idx="5">
                  <c:v>8.3133747602058445</c:v>
                </c:pt>
                <c:pt idx="6">
                  <c:v>7.6921450384192234</c:v>
                </c:pt>
                <c:pt idx="7">
                  <c:v>8.2902905035090644</c:v>
                </c:pt>
                <c:pt idx="8">
                  <c:v>8.2290594865351032</c:v>
                </c:pt>
                <c:pt idx="9">
                  <c:v>8.0605352732782549</c:v>
                </c:pt>
                <c:pt idx="10">
                  <c:v>8.3105778062013691</c:v>
                </c:pt>
                <c:pt idx="11">
                  <c:v>8.0579291531173389</c:v>
                </c:pt>
                <c:pt idx="12">
                  <c:v>7.8384716439209878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C7-4053-BB40-A5D672F3888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39369856"/>
        <c:axId val="1939375680"/>
      </c:lineChart>
      <c:dateAx>
        <c:axId val="193936985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39375680"/>
        <c:crosses val="autoZero"/>
        <c:auto val="1"/>
        <c:lblOffset val="100"/>
        <c:baseTimeUnit val="months"/>
      </c:dateAx>
      <c:valAx>
        <c:axId val="1939375680"/>
        <c:scaling>
          <c:orientation val="minMax"/>
        </c:scaling>
        <c:delete val="1"/>
        <c:axPos val="l"/>
        <c:numFmt formatCode="0.00" sourceLinked="1"/>
        <c:majorTickMark val="out"/>
        <c:minorTickMark val="none"/>
        <c:tickLblPos val="nextTo"/>
        <c:crossAx val="1939369856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Saldos CDATs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7.5946988942638308E-2"/>
          <c:y val="0.11976017310813247"/>
          <c:w val="0.86015198456679998"/>
          <c:h val="0.65434337039528345"/>
        </c:manualLayout>
      </c:layout>
      <c:lineChart>
        <c:grouping val="standard"/>
        <c:varyColors val="0"/>
        <c:ser>
          <c:idx val="0"/>
          <c:order val="0"/>
          <c:tx>
            <c:strRef>
              <c:f>'CDATS - TPP'!$B$1</c:f>
              <c:strCache>
                <c:ptCount val="1"/>
                <c:pt idx="0">
                  <c:v> Saldo CDATs 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0"/>
                  <c:y val="-4.42804428044280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F96-41ED-9E93-2C11BD7514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'CDATS - TPP'!$A$40:$A$54</c:f>
              <c:numCache>
                <c:formatCode>mmm\-yy</c:formatCode>
                <c:ptCount val="15"/>
                <c:pt idx="0">
                  <c:v>45352</c:v>
                </c:pt>
                <c:pt idx="1">
                  <c:v>45383</c:v>
                </c:pt>
                <c:pt idx="2">
                  <c:v>45413</c:v>
                </c:pt>
                <c:pt idx="3">
                  <c:v>45444</c:v>
                </c:pt>
                <c:pt idx="4">
                  <c:v>45474</c:v>
                </c:pt>
                <c:pt idx="5">
                  <c:v>45505</c:v>
                </c:pt>
                <c:pt idx="6">
                  <c:v>45536</c:v>
                </c:pt>
                <c:pt idx="7">
                  <c:v>45566</c:v>
                </c:pt>
                <c:pt idx="8">
                  <c:v>45597</c:v>
                </c:pt>
                <c:pt idx="9">
                  <c:v>45627</c:v>
                </c:pt>
                <c:pt idx="10">
                  <c:v>45658</c:v>
                </c:pt>
                <c:pt idx="11">
                  <c:v>45689</c:v>
                </c:pt>
                <c:pt idx="12">
                  <c:v>45717</c:v>
                </c:pt>
                <c:pt idx="13">
                  <c:v>45748</c:v>
                </c:pt>
                <c:pt idx="14">
                  <c:v>45778</c:v>
                </c:pt>
              </c:numCache>
            </c:numRef>
          </c:cat>
          <c:val>
            <c:numRef>
              <c:f>'CDATS - TPP'!$B$40:$B$54</c:f>
              <c:numCache>
                <c:formatCode>_-* #,##0_-;\-* #,##0_-;_-* "-"??_-;_-@_-</c:formatCode>
                <c:ptCount val="15"/>
                <c:pt idx="0">
                  <c:v>89035.283443400011</c:v>
                </c:pt>
                <c:pt idx="1">
                  <c:v>89901.619893399999</c:v>
                </c:pt>
                <c:pt idx="2">
                  <c:v>90253.219354400004</c:v>
                </c:pt>
                <c:pt idx="3">
                  <c:v>91133.023184999998</c:v>
                </c:pt>
                <c:pt idx="4">
                  <c:v>90868.151676400012</c:v>
                </c:pt>
                <c:pt idx="5">
                  <c:v>89989.975714399989</c:v>
                </c:pt>
                <c:pt idx="6">
                  <c:v>90280.665459400014</c:v>
                </c:pt>
                <c:pt idx="7">
                  <c:v>88235.778234400015</c:v>
                </c:pt>
                <c:pt idx="8">
                  <c:v>87723.37234039999</c:v>
                </c:pt>
                <c:pt idx="9">
                  <c:v>89551.24295439999</c:v>
                </c:pt>
                <c:pt idx="10">
                  <c:v>91352.12850240001</c:v>
                </c:pt>
                <c:pt idx="11">
                  <c:v>92480.890455999994</c:v>
                </c:pt>
                <c:pt idx="12">
                  <c:v>92822.723035000003</c:v>
                </c:pt>
                <c:pt idx="13">
                  <c:v>92923.129864999995</c:v>
                </c:pt>
                <c:pt idx="14">
                  <c:v>93039.532621999999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F2-4982-A925-A5350808979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39369856"/>
        <c:axId val="1939375680"/>
      </c:lineChart>
      <c:dateAx>
        <c:axId val="193936985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39375680"/>
        <c:crosses val="autoZero"/>
        <c:auto val="1"/>
        <c:lblOffset val="100"/>
        <c:baseTimeUnit val="months"/>
      </c:dateAx>
      <c:valAx>
        <c:axId val="1939375680"/>
        <c:scaling>
          <c:orientation val="minMax"/>
        </c:scaling>
        <c:delete val="1"/>
        <c:axPos val="l"/>
        <c:numFmt formatCode="_-* #,##0_-;\-* #,##0_-;_-* &quot;-&quot;??_-;_-@_-" sourceLinked="1"/>
        <c:majorTickMark val="out"/>
        <c:minorTickMark val="none"/>
        <c:tickLblPos val="nextTo"/>
        <c:crossAx val="1939369856"/>
        <c:crosses val="autoZero"/>
        <c:crossBetween val="between"/>
        <c:majorUnit val="500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975962165868042"/>
          <c:y val="0.88746567056476422"/>
          <c:w val="0.17327296172972836"/>
          <c:h val="6.4408847748993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'CDATS - TPP'!$B$1</c:f>
              <c:strCache>
                <c:ptCount val="1"/>
                <c:pt idx="0">
                  <c:v> Saldo CDATs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'CDATS - TPP'!$A$48:$A$60</c:f>
              <c:numCache>
                <c:formatCode>mmm\-yy</c:formatCode>
                <c:ptCount val="13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  <c:pt idx="9">
                  <c:v>45870</c:v>
                </c:pt>
                <c:pt idx="10">
                  <c:v>45901</c:v>
                </c:pt>
                <c:pt idx="11">
                  <c:v>45931</c:v>
                </c:pt>
                <c:pt idx="12">
                  <c:v>45962</c:v>
                </c:pt>
              </c:numCache>
            </c:numRef>
          </c:cat>
          <c:val>
            <c:numRef>
              <c:f>'CDATS - TPP'!$B$48:$B$60</c:f>
              <c:numCache>
                <c:formatCode>_-* #,##0_-;\-* #,##0_-;_-* "-"??_-;_-@_-</c:formatCode>
                <c:ptCount val="13"/>
                <c:pt idx="0">
                  <c:v>87723.37234039999</c:v>
                </c:pt>
                <c:pt idx="1">
                  <c:v>89551.24295439999</c:v>
                </c:pt>
                <c:pt idx="2">
                  <c:v>91352.12850240001</c:v>
                </c:pt>
                <c:pt idx="3">
                  <c:v>92480.890455999994</c:v>
                </c:pt>
                <c:pt idx="4">
                  <c:v>92822.723035000003</c:v>
                </c:pt>
                <c:pt idx="5">
                  <c:v>92923.129864999995</c:v>
                </c:pt>
                <c:pt idx="6">
                  <c:v>93039.532621999999</c:v>
                </c:pt>
                <c:pt idx="7">
                  <c:v>96739.680731</c:v>
                </c:pt>
                <c:pt idx="8">
                  <c:v>100212.81626199999</c:v>
                </c:pt>
                <c:pt idx="9">
                  <c:v>103031.082476</c:v>
                </c:pt>
                <c:pt idx="10">
                  <c:v>107019.998305</c:v>
                </c:pt>
                <c:pt idx="11">
                  <c:v>107711.847996</c:v>
                </c:pt>
                <c:pt idx="12">
                  <c:v>110869.99139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08-49C2-93B2-D76196B50F79}"/>
            </c:ext>
          </c:extLst>
        </c:ser>
        <c:ser>
          <c:idx val="1"/>
          <c:order val="1"/>
          <c:tx>
            <c:strRef>
              <c:f>'CDATS - TPP'!$C$1</c:f>
              <c:strCache>
                <c:ptCount val="1"/>
                <c:pt idx="0">
                  <c:v> Saldo Captación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'CDATS - TPP'!$A$48:$A$60</c:f>
              <c:numCache>
                <c:formatCode>mmm\-yy</c:formatCode>
                <c:ptCount val="13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  <c:pt idx="9">
                  <c:v>45870</c:v>
                </c:pt>
                <c:pt idx="10">
                  <c:v>45901</c:v>
                </c:pt>
                <c:pt idx="11">
                  <c:v>45931</c:v>
                </c:pt>
                <c:pt idx="12">
                  <c:v>45962</c:v>
                </c:pt>
              </c:numCache>
            </c:numRef>
          </c:cat>
          <c:val>
            <c:numRef>
              <c:f>'CDATS - TPP'!$C$48:$C$60</c:f>
              <c:numCache>
                <c:formatCode>_-* #,##0_-;\-* #,##0_-;_-* "-"??_-;_-@_-</c:formatCode>
                <c:ptCount val="13"/>
                <c:pt idx="0">
                  <c:v>207183.73129920999</c:v>
                </c:pt>
                <c:pt idx="1">
                  <c:v>187707.39814871998</c:v>
                </c:pt>
                <c:pt idx="2">
                  <c:v>189281.71066148003</c:v>
                </c:pt>
                <c:pt idx="3">
                  <c:v>192419.37788324</c:v>
                </c:pt>
                <c:pt idx="4">
                  <c:v>191423.53834116002</c:v>
                </c:pt>
                <c:pt idx="5">
                  <c:v>191983.07308726001</c:v>
                </c:pt>
                <c:pt idx="6">
                  <c:v>198131.00603083998</c:v>
                </c:pt>
                <c:pt idx="7">
                  <c:v>195237.966105</c:v>
                </c:pt>
                <c:pt idx="8">
                  <c:v>200242.75925951998</c:v>
                </c:pt>
                <c:pt idx="9">
                  <c:v>203471.811456</c:v>
                </c:pt>
                <c:pt idx="10">
                  <c:v>206135.59787999999</c:v>
                </c:pt>
                <c:pt idx="11">
                  <c:v>210620.88076599999</c:v>
                </c:pt>
                <c:pt idx="12">
                  <c:v>221894.04474500002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08-49C2-93B2-D76196B50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1040287"/>
        <c:axId val="881028767"/>
      </c:lineChart>
      <c:lineChart>
        <c:grouping val="standard"/>
        <c:varyColors val="0"/>
        <c:ser>
          <c:idx val="2"/>
          <c:order val="2"/>
          <c:tx>
            <c:strRef>
              <c:f>'CDATS - TPP'!$D$1</c:f>
              <c:strCache>
                <c:ptCount val="1"/>
                <c:pt idx="0">
                  <c:v>TPP  CDAT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'CDATS - TPP'!$A$48:$A$60</c:f>
              <c:numCache>
                <c:formatCode>mmm\-yy</c:formatCode>
                <c:ptCount val="13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  <c:pt idx="9">
                  <c:v>45870</c:v>
                </c:pt>
                <c:pt idx="10">
                  <c:v>45901</c:v>
                </c:pt>
                <c:pt idx="11">
                  <c:v>45931</c:v>
                </c:pt>
                <c:pt idx="12">
                  <c:v>45962</c:v>
                </c:pt>
              </c:numCache>
            </c:numRef>
          </c:cat>
          <c:val>
            <c:numRef>
              <c:f>'CDATS - TPP'!$D$48:$D$60</c:f>
              <c:numCache>
                <c:formatCode>0.00</c:formatCode>
                <c:ptCount val="13"/>
                <c:pt idx="0">
                  <c:v>10.8266147</c:v>
                </c:pt>
                <c:pt idx="1">
                  <c:v>10.56235232</c:v>
                </c:pt>
                <c:pt idx="2">
                  <c:v>10.366406400000001</c:v>
                </c:pt>
                <c:pt idx="3">
                  <c:v>10.175989400000001</c:v>
                </c:pt>
                <c:pt idx="4">
                  <c:v>10.128338299999999</c:v>
                </c:pt>
                <c:pt idx="5">
                  <c:v>10.0995001</c:v>
                </c:pt>
                <c:pt idx="6">
                  <c:v>10.081436099999999</c:v>
                </c:pt>
                <c:pt idx="7">
                  <c:v>10.2118082572</c:v>
                </c:pt>
                <c:pt idx="8">
                  <c:v>10.30143005</c:v>
                </c:pt>
                <c:pt idx="9">
                  <c:v>10.398745229299999</c:v>
                </c:pt>
                <c:pt idx="10">
                  <c:v>10.4547774312</c:v>
                </c:pt>
                <c:pt idx="11">
                  <c:v>10.5189781426</c:v>
                </c:pt>
                <c:pt idx="12">
                  <c:v>10.5615019217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08-49C2-93B2-D76196B50F79}"/>
            </c:ext>
          </c:extLst>
        </c:ser>
        <c:ser>
          <c:idx val="3"/>
          <c:order val="3"/>
          <c:tx>
            <c:strRef>
              <c:f>'CDATS - TPP'!$G$1</c:f>
              <c:strCache>
                <c:ptCount val="1"/>
                <c:pt idx="0">
                  <c:v>Total TPP captación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'CDATS - TPP'!$A$48:$A$60</c:f>
              <c:numCache>
                <c:formatCode>mmm\-yy</c:formatCode>
                <c:ptCount val="13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  <c:pt idx="9">
                  <c:v>45870</c:v>
                </c:pt>
                <c:pt idx="10">
                  <c:v>45901</c:v>
                </c:pt>
                <c:pt idx="11">
                  <c:v>45931</c:v>
                </c:pt>
                <c:pt idx="12">
                  <c:v>45962</c:v>
                </c:pt>
              </c:numCache>
            </c:numRef>
          </c:cat>
          <c:val>
            <c:numRef>
              <c:f>'CDATS - TPP'!$G$48:$G$60</c:f>
              <c:numCache>
                <c:formatCode>0.00</c:formatCode>
                <c:ptCount val="13"/>
                <c:pt idx="0">
                  <c:v>7.6921450384192234</c:v>
                </c:pt>
                <c:pt idx="1">
                  <c:v>8.2902905035090644</c:v>
                </c:pt>
                <c:pt idx="2">
                  <c:v>8.2290594865351032</c:v>
                </c:pt>
                <c:pt idx="3">
                  <c:v>8.0605352732782549</c:v>
                </c:pt>
                <c:pt idx="4">
                  <c:v>8.3105778062013691</c:v>
                </c:pt>
                <c:pt idx="5">
                  <c:v>8.0579291531173389</c:v>
                </c:pt>
                <c:pt idx="6">
                  <c:v>7.8384716439209878</c:v>
                </c:pt>
                <c:pt idx="7">
                  <c:v>8.1838591657267692</c:v>
                </c:pt>
                <c:pt idx="8">
                  <c:v>8.0438043703967814</c:v>
                </c:pt>
                <c:pt idx="9">
                  <c:v>8.4721497218397435</c:v>
                </c:pt>
                <c:pt idx="10">
                  <c:v>8.6971724952942537</c:v>
                </c:pt>
                <c:pt idx="11">
                  <c:v>8.5974049389581904</c:v>
                </c:pt>
                <c:pt idx="12">
                  <c:v>8.5503632685190709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08-49C2-93B2-D76196B50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0994687"/>
        <c:axId val="881004767"/>
      </c:lineChart>
      <c:dateAx>
        <c:axId val="88104028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81028767"/>
        <c:crosses val="autoZero"/>
        <c:auto val="1"/>
        <c:lblOffset val="100"/>
        <c:baseTimeUnit val="months"/>
      </c:dateAx>
      <c:valAx>
        <c:axId val="881028767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81040287"/>
        <c:crosses val="autoZero"/>
        <c:crossBetween val="between"/>
      </c:valAx>
      <c:valAx>
        <c:axId val="881004767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80994687"/>
        <c:crosses val="max"/>
        <c:crossBetween val="between"/>
      </c:valAx>
      <c:dateAx>
        <c:axId val="880994687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881004767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55983016170908E-2"/>
          <c:y val="9.738799743542452E-2"/>
          <c:w val="0.91974374119019753"/>
          <c:h val="0.64592155147273256"/>
        </c:manualLayout>
      </c:layout>
      <c:lineChart>
        <c:grouping val="standard"/>
        <c:varyColors val="0"/>
        <c:ser>
          <c:idx val="0"/>
          <c:order val="0"/>
          <c:tx>
            <c:strRef>
              <c:f>'Cancelación Anticp'!$H$1</c:f>
              <c:strCache>
                <c:ptCount val="1"/>
                <c:pt idx="0">
                  <c:v>Ahorro programados cancelados anticipadamente</c:v>
                </c:pt>
              </c:strCache>
            </c:strRef>
          </c:tx>
          <c:spPr>
            <a:ln w="9525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'Cancelación Anticp'!$A$49:$A$61</c:f>
              <c:numCache>
                <c:formatCode>mmm\-yy</c:formatCode>
                <c:ptCount val="13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</c:numCache>
            </c:numRef>
          </c:cat>
          <c:val>
            <c:numRef>
              <c:f>'Cancelación Anticp'!$H$49:$H$61</c:f>
              <c:numCache>
                <c:formatCode>"$"\ #,##0</c:formatCode>
                <c:ptCount val="13"/>
                <c:pt idx="0">
                  <c:v>55.641219</c:v>
                </c:pt>
                <c:pt idx="1">
                  <c:v>36.679225000000002</c:v>
                </c:pt>
                <c:pt idx="2">
                  <c:v>72.481138000000001</c:v>
                </c:pt>
                <c:pt idx="3">
                  <c:v>55.188676999999998</c:v>
                </c:pt>
                <c:pt idx="4">
                  <c:v>63.397567000000002</c:v>
                </c:pt>
                <c:pt idx="5">
                  <c:v>44.036746999999998</c:v>
                </c:pt>
                <c:pt idx="6">
                  <c:v>65.094532999999998</c:v>
                </c:pt>
                <c:pt idx="7">
                  <c:v>94.030844999999999</c:v>
                </c:pt>
                <c:pt idx="8">
                  <c:v>84.104546999999997</c:v>
                </c:pt>
                <c:pt idx="9">
                  <c:v>14.4494527</c:v>
                </c:pt>
                <c:pt idx="10">
                  <c:v>13.180054500000001</c:v>
                </c:pt>
                <c:pt idx="11">
                  <c:v>16.5879577</c:v>
                </c:pt>
                <c:pt idx="12">
                  <c:v>10.4091819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4B-4327-93D8-57B3A168D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250128"/>
        <c:axId val="121257200"/>
      </c:lineChart>
      <c:dateAx>
        <c:axId val="121250128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21257200"/>
        <c:crosses val="autoZero"/>
        <c:auto val="1"/>
        <c:lblOffset val="100"/>
        <c:baseTimeUnit val="months"/>
      </c:dateAx>
      <c:valAx>
        <c:axId val="121257200"/>
        <c:scaling>
          <c:orientation val="minMax"/>
          <c:max val="300"/>
        </c:scaling>
        <c:delete val="1"/>
        <c:axPos val="l"/>
        <c:numFmt formatCode="&quot;$&quot;\ #,##0" sourceLinked="1"/>
        <c:majorTickMark val="none"/>
        <c:minorTickMark val="none"/>
        <c:tickLblPos val="nextTo"/>
        <c:crossAx val="12125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1.3282135413231203E-2"/>
          <c:y val="9.1320618095087958E-2"/>
          <c:w val="0.93458070319268161"/>
          <c:h val="0.7267830559444961"/>
        </c:manualLayout>
      </c:layout>
      <c:lineChart>
        <c:grouping val="standard"/>
        <c:varyColors val="0"/>
        <c:ser>
          <c:idx val="1"/>
          <c:order val="0"/>
          <c:tx>
            <c:strRef>
              <c:f>'Cancelación Anticp'!$I$1</c:f>
              <c:strCache>
                <c:ptCount val="1"/>
                <c:pt idx="0">
                  <c:v>% Ahorros cancelados sobre saldo total</c:v>
                </c:pt>
              </c:strCache>
            </c:strRef>
          </c:tx>
          <c:spPr>
            <a:ln w="952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'Cancelación Anticp'!$A$49:$A$61</c:f>
              <c:numCache>
                <c:formatCode>mmm\-yy</c:formatCode>
                <c:ptCount val="13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</c:numCache>
            </c:numRef>
          </c:cat>
          <c:val>
            <c:numRef>
              <c:f>'Cancelación Anticp'!$I$49:$I$61</c:f>
              <c:numCache>
                <c:formatCode>0.0%</c:formatCode>
                <c:ptCount val="13"/>
                <c:pt idx="0">
                  <c:v>5.3027795670515495E-3</c:v>
                </c:pt>
                <c:pt idx="1">
                  <c:v>3.000038030538625E-3</c:v>
                </c:pt>
                <c:pt idx="2">
                  <c:v>5.0631309822328384E-3</c:v>
                </c:pt>
                <c:pt idx="3">
                  <c:v>3.4419461245075019E-3</c:v>
                </c:pt>
                <c:pt idx="4">
                  <c:v>4.2369087794557284E-3</c:v>
                </c:pt>
                <c:pt idx="5">
                  <c:v>2.6687801445318643E-3</c:v>
                </c:pt>
                <c:pt idx="6">
                  <c:v>3.5270127438097802E-3</c:v>
                </c:pt>
                <c:pt idx="7">
                  <c:v>4.6904185731521074E-3</c:v>
                </c:pt>
                <c:pt idx="8">
                  <c:v>3.8325368161057352E-3</c:v>
                </c:pt>
                <c:pt idx="9">
                  <c:v>5.9704388952775073E-4</c:v>
                </c:pt>
                <c:pt idx="10">
                  <c:v>5.1442749986346369E-4</c:v>
                </c:pt>
                <c:pt idx="11">
                  <c:v>1.4970754310492998E-3</c:v>
                </c:pt>
                <c:pt idx="12">
                  <c:v>8.6715939748105452E-4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78-4A3D-A29A-C7AB7F432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3162672"/>
        <c:axId val="1563164752"/>
      </c:lineChart>
      <c:dateAx>
        <c:axId val="15631626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63164752"/>
        <c:crosses val="autoZero"/>
        <c:auto val="1"/>
        <c:lblOffset val="100"/>
        <c:baseTimeUnit val="months"/>
      </c:dateAx>
      <c:valAx>
        <c:axId val="1563164752"/>
        <c:scaling>
          <c:orientation val="minMax"/>
          <c:max val="5.000000000000001E-2"/>
        </c:scaling>
        <c:delete val="1"/>
        <c:axPos val="l"/>
        <c:numFmt formatCode="0.0%" sourceLinked="1"/>
        <c:majorTickMark val="none"/>
        <c:minorTickMark val="none"/>
        <c:tickLblPos val="nextTo"/>
        <c:crossAx val="1563162672"/>
        <c:crosses val="autoZero"/>
        <c:crossBetween val="between"/>
        <c:majorUnit val="1.0000000000000002E-3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5.0556979182108899E-2"/>
          <c:y val="0.27305424818233687"/>
          <c:w val="0.93458070319268161"/>
          <c:h val="0.7267830559444961"/>
        </c:manualLayout>
      </c:layout>
      <c:lineChart>
        <c:grouping val="standard"/>
        <c:varyColors val="0"/>
        <c:ser>
          <c:idx val="1"/>
          <c:order val="0"/>
          <c:tx>
            <c:strRef>
              <c:f>'Cancelación Anticp'!$D$1</c:f>
              <c:strCache>
                <c:ptCount val="1"/>
                <c:pt idx="0">
                  <c:v>% CDATs cancelados sobre saldo total</c:v>
                </c:pt>
              </c:strCache>
            </c:strRef>
          </c:tx>
          <c:spPr>
            <a:ln w="952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'Cancelación Anticp'!$A$49:$A$61</c:f>
              <c:numCache>
                <c:formatCode>mmm\-yy</c:formatCode>
                <c:ptCount val="13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</c:numCache>
            </c:numRef>
          </c:cat>
          <c:val>
            <c:numRef>
              <c:f>'Cancelación Anticp'!$D$49:$D$61</c:f>
              <c:numCache>
                <c:formatCode>0.0%</c:formatCode>
                <c:ptCount val="13"/>
                <c:pt idx="0">
                  <c:v>2.3216469826763558E-3</c:v>
                </c:pt>
                <c:pt idx="1">
                  <c:v>3.1351423628019309E-3</c:v>
                </c:pt>
                <c:pt idx="2">
                  <c:v>6.698696962641624E-3</c:v>
                </c:pt>
                <c:pt idx="3">
                  <c:v>1.5083924541537772E-3</c:v>
                </c:pt>
                <c:pt idx="4">
                  <c:v>3.9035526410591162E-3</c:v>
                </c:pt>
                <c:pt idx="5">
                  <c:v>9.254332053645814E-3</c:v>
                </c:pt>
                <c:pt idx="6">
                  <c:v>2.0204719358492298E-4</c:v>
                </c:pt>
                <c:pt idx="7">
                  <c:v>2.1411149691575168E-3</c:v>
                </c:pt>
                <c:pt idx="8">
                  <c:v>2.5980852920025766E-3</c:v>
                </c:pt>
                <c:pt idx="9">
                  <c:v>2.5422020492340915E-3</c:v>
                </c:pt>
                <c:pt idx="10">
                  <c:v>6.9344428853150659E-3</c:v>
                </c:pt>
                <c:pt idx="11">
                  <c:v>5.6993743489818088E-3</c:v>
                </c:pt>
                <c:pt idx="12">
                  <c:v>2.770235833140196E-3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E88-4876-B34C-A89CFD548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3162672"/>
        <c:axId val="1563164752"/>
      </c:lineChart>
      <c:dateAx>
        <c:axId val="1563162672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563164752"/>
        <c:crosses val="autoZero"/>
        <c:auto val="1"/>
        <c:lblOffset val="100"/>
        <c:baseTimeUnit val="months"/>
      </c:dateAx>
      <c:valAx>
        <c:axId val="1563164752"/>
        <c:scaling>
          <c:orientation val="minMax"/>
          <c:max val="5.000000000000001E-2"/>
        </c:scaling>
        <c:delete val="1"/>
        <c:axPos val="l"/>
        <c:numFmt formatCode="0.0%" sourceLinked="1"/>
        <c:majorTickMark val="none"/>
        <c:minorTickMark val="none"/>
        <c:tickLblPos val="nextTo"/>
        <c:crossAx val="1563162672"/>
        <c:crosses val="autoZero"/>
        <c:crossBetween val="between"/>
        <c:majorUnit val="1.0000000000000002E-3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924457744822633"/>
          <c:y val="0.89376674160494651"/>
          <c:w val="0.28326253617735819"/>
          <c:h val="6.67733474909754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'Cancelación Anticp'!$C$1</c:f>
              <c:strCache>
                <c:ptCount val="1"/>
                <c:pt idx="0">
                  <c:v>CDATs cancelados anticipadamente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'Cancelación Anticp'!$A$49:$A$61</c:f>
              <c:numCache>
                <c:formatCode>mmm\-yy</c:formatCode>
                <c:ptCount val="13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</c:numCache>
            </c:numRef>
          </c:cat>
          <c:val>
            <c:numRef>
              <c:f>'Cancelación Anticp'!$C$49:$C$61</c:f>
              <c:numCache>
                <c:formatCode>"$"\ #,##0</c:formatCode>
                <c:ptCount val="13"/>
                <c:pt idx="0">
                  <c:v>207.906373</c:v>
                </c:pt>
                <c:pt idx="1">
                  <c:v>286.401928</c:v>
                </c:pt>
                <c:pt idx="2">
                  <c:v>619.50145999999995</c:v>
                </c:pt>
                <c:pt idx="3">
                  <c:v>140.01309499999999</c:v>
                </c:pt>
                <c:pt idx="4">
                  <c:v>362.73032899999998</c:v>
                </c:pt>
                <c:pt idx="5">
                  <c:v>861.01872900000001</c:v>
                </c:pt>
                <c:pt idx="6">
                  <c:v>19.545981000000001</c:v>
                </c:pt>
                <c:pt idx="7">
                  <c:v>214.567161</c:v>
                </c:pt>
                <c:pt idx="8">
                  <c:v>267.68353999999999</c:v>
                </c:pt>
                <c:pt idx="9">
                  <c:v>272.06645900000001</c:v>
                </c:pt>
                <c:pt idx="10">
                  <c:v>746.92165799999998</c:v>
                </c:pt>
                <c:pt idx="11">
                  <c:v>631.88958500000001</c:v>
                </c:pt>
                <c:pt idx="12">
                  <c:v>318.48111399999999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5D-4E78-B294-A1960762E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1481840"/>
        <c:axId val="342797664"/>
      </c:lineChart>
      <c:dateAx>
        <c:axId val="331481840"/>
        <c:scaling>
          <c:orientation val="minMax"/>
        </c:scaling>
        <c:delete val="1"/>
        <c:axPos val="b"/>
        <c:numFmt formatCode="mmm\-yy" sourceLinked="1"/>
        <c:majorTickMark val="none"/>
        <c:minorTickMark val="none"/>
        <c:tickLblPos val="nextTo"/>
        <c:crossAx val="342797664"/>
        <c:crosses val="autoZero"/>
        <c:auto val="1"/>
        <c:lblOffset val="100"/>
        <c:baseTimeUnit val="months"/>
      </c:dateAx>
      <c:valAx>
        <c:axId val="342797664"/>
        <c:scaling>
          <c:orientation val="minMax"/>
        </c:scaling>
        <c:delete val="1"/>
        <c:axPos val="l"/>
        <c:numFmt formatCode="&quot;$&quot;\ #,##0" sourceLinked="1"/>
        <c:majorTickMark val="none"/>
        <c:minorTickMark val="none"/>
        <c:tickLblPos val="nextTo"/>
        <c:crossAx val="33148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Hoja2!$B$1</c:f>
              <c:strCache>
                <c:ptCount val="1"/>
                <c:pt idx="0">
                  <c:v>CDATs cancelados anticipadamente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Hoja2!$A$2:$A$14</c:f>
              <c:numCache>
                <c:formatCode>mmm\-yy</c:formatCode>
                <c:ptCount val="13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</c:numCache>
            </c:numRef>
          </c:cat>
          <c:val>
            <c:numRef>
              <c:f>Hoja2!$B$2:$B$14</c:f>
              <c:numCache>
                <c:formatCode>"$"\ #,##0</c:formatCode>
                <c:ptCount val="13"/>
                <c:pt idx="0">
                  <c:v>207.906373</c:v>
                </c:pt>
                <c:pt idx="1">
                  <c:v>286.401928</c:v>
                </c:pt>
                <c:pt idx="2">
                  <c:v>619.50145999999995</c:v>
                </c:pt>
                <c:pt idx="3">
                  <c:v>140.01309499999999</c:v>
                </c:pt>
                <c:pt idx="4">
                  <c:v>362.73032899999998</c:v>
                </c:pt>
                <c:pt idx="5">
                  <c:v>861.01872900000001</c:v>
                </c:pt>
                <c:pt idx="6">
                  <c:v>19.545981000000001</c:v>
                </c:pt>
                <c:pt idx="7">
                  <c:v>214.567161</c:v>
                </c:pt>
                <c:pt idx="8">
                  <c:v>267.68353999999999</c:v>
                </c:pt>
                <c:pt idx="9">
                  <c:v>272.06645900000001</c:v>
                </c:pt>
                <c:pt idx="10">
                  <c:v>746.92165799999998</c:v>
                </c:pt>
                <c:pt idx="11">
                  <c:v>631.88958500000001</c:v>
                </c:pt>
                <c:pt idx="12">
                  <c:v>318.48111399999999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EC-47D1-8EEE-BFE53A7C4FDF}"/>
            </c:ext>
          </c:extLst>
        </c:ser>
        <c:ser>
          <c:idx val="2"/>
          <c:order val="2"/>
          <c:tx>
            <c:strRef>
              <c:f>Hoja2!$D$1</c:f>
              <c:strCache>
                <c:ptCount val="1"/>
                <c:pt idx="0">
                  <c:v>Ahorro programados cancelados anticipadamente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Hoja2!$A$2:$A$14</c:f>
              <c:numCache>
                <c:formatCode>mmm\-yy</c:formatCode>
                <c:ptCount val="13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</c:numCache>
            </c:numRef>
          </c:cat>
          <c:val>
            <c:numRef>
              <c:f>Hoja2!$D$2:$D$14</c:f>
              <c:numCache>
                <c:formatCode>"$"\ #,##0</c:formatCode>
                <c:ptCount val="13"/>
                <c:pt idx="0">
                  <c:v>55.641219</c:v>
                </c:pt>
                <c:pt idx="1">
                  <c:v>36.679225000000002</c:v>
                </c:pt>
                <c:pt idx="2">
                  <c:v>72.481138000000001</c:v>
                </c:pt>
                <c:pt idx="3">
                  <c:v>55.188676999999998</c:v>
                </c:pt>
                <c:pt idx="4">
                  <c:v>63.397567000000002</c:v>
                </c:pt>
                <c:pt idx="5">
                  <c:v>44.036746999999998</c:v>
                </c:pt>
                <c:pt idx="6">
                  <c:v>65.094532999999998</c:v>
                </c:pt>
                <c:pt idx="7">
                  <c:v>94.030844999999999</c:v>
                </c:pt>
                <c:pt idx="8">
                  <c:v>84.104546999999997</c:v>
                </c:pt>
                <c:pt idx="9">
                  <c:v>14.4494527</c:v>
                </c:pt>
                <c:pt idx="10">
                  <c:v>13.180054500000001</c:v>
                </c:pt>
                <c:pt idx="11">
                  <c:v>16.5879577</c:v>
                </c:pt>
                <c:pt idx="12">
                  <c:v>10.4091819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EC-47D1-8EEE-BFE53A7C4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4909311"/>
        <c:axId val="884915071"/>
      </c:lineChart>
      <c:lineChart>
        <c:grouping val="standard"/>
        <c:varyColors val="0"/>
        <c:ser>
          <c:idx val="1"/>
          <c:order val="1"/>
          <c:tx>
            <c:strRef>
              <c:f>Hoja2!$C$1</c:f>
              <c:strCache>
                <c:ptCount val="1"/>
                <c:pt idx="0">
                  <c:v>% CDATs cancelados sobre saldo 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Hoja2!$A$2:$A$14</c:f>
              <c:numCache>
                <c:formatCode>mmm\-yy</c:formatCode>
                <c:ptCount val="13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</c:numCache>
            </c:numRef>
          </c:cat>
          <c:val>
            <c:numRef>
              <c:f>Hoja2!$C$2:$C$14</c:f>
              <c:numCache>
                <c:formatCode>0.0%</c:formatCode>
                <c:ptCount val="13"/>
                <c:pt idx="0">
                  <c:v>2.3216469826763558E-3</c:v>
                </c:pt>
                <c:pt idx="1">
                  <c:v>3.1351423628019309E-3</c:v>
                </c:pt>
                <c:pt idx="2">
                  <c:v>6.698696962641624E-3</c:v>
                </c:pt>
                <c:pt idx="3">
                  <c:v>1.5083924541537772E-3</c:v>
                </c:pt>
                <c:pt idx="4">
                  <c:v>3.9035526410591162E-3</c:v>
                </c:pt>
                <c:pt idx="5">
                  <c:v>9.254332053645814E-3</c:v>
                </c:pt>
                <c:pt idx="6">
                  <c:v>2.0204719358492298E-4</c:v>
                </c:pt>
                <c:pt idx="7">
                  <c:v>2.1411149691575168E-3</c:v>
                </c:pt>
                <c:pt idx="8">
                  <c:v>2.5980852920025766E-3</c:v>
                </c:pt>
                <c:pt idx="9">
                  <c:v>2.5422020492340915E-3</c:v>
                </c:pt>
                <c:pt idx="10">
                  <c:v>6.9344428853150659E-3</c:v>
                </c:pt>
                <c:pt idx="11">
                  <c:v>5.6993743489818088E-3</c:v>
                </c:pt>
                <c:pt idx="12">
                  <c:v>2.770235833140196E-3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EC-47D1-8EEE-BFE53A7C4FDF}"/>
            </c:ext>
          </c:extLst>
        </c:ser>
        <c:ser>
          <c:idx val="3"/>
          <c:order val="3"/>
          <c:tx>
            <c:strRef>
              <c:f>Hoja2!$E$1</c:f>
              <c:strCache>
                <c:ptCount val="1"/>
                <c:pt idx="0">
                  <c:v>% Ahorros cancelados sobre saldo 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Hoja2!$A$2:$A$14</c:f>
              <c:numCache>
                <c:formatCode>mmm\-yy</c:formatCode>
                <c:ptCount val="13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</c:numCache>
            </c:numRef>
          </c:cat>
          <c:val>
            <c:numRef>
              <c:f>Hoja2!$E$2:$E$14</c:f>
              <c:numCache>
                <c:formatCode>0.0%</c:formatCode>
                <c:ptCount val="13"/>
                <c:pt idx="0">
                  <c:v>5.3027795670515495E-3</c:v>
                </c:pt>
                <c:pt idx="1">
                  <c:v>3.000038030538625E-3</c:v>
                </c:pt>
                <c:pt idx="2">
                  <c:v>5.0631309822328384E-3</c:v>
                </c:pt>
                <c:pt idx="3">
                  <c:v>3.4419461245075019E-3</c:v>
                </c:pt>
                <c:pt idx="4">
                  <c:v>4.2369087794557284E-3</c:v>
                </c:pt>
                <c:pt idx="5">
                  <c:v>2.6687801445318643E-3</c:v>
                </c:pt>
                <c:pt idx="6">
                  <c:v>3.5270127438097802E-3</c:v>
                </c:pt>
                <c:pt idx="7">
                  <c:v>4.6904185731521074E-3</c:v>
                </c:pt>
                <c:pt idx="8">
                  <c:v>3.8325368161057352E-3</c:v>
                </c:pt>
                <c:pt idx="9">
                  <c:v>5.9704388952775073E-4</c:v>
                </c:pt>
                <c:pt idx="10">
                  <c:v>5.1442749986346369E-4</c:v>
                </c:pt>
                <c:pt idx="11">
                  <c:v>1.4970754310492998E-3</c:v>
                </c:pt>
                <c:pt idx="12">
                  <c:v>8.6715939748105452E-4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EC-47D1-8EEE-BFE53A7C4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4928031"/>
        <c:axId val="884930911"/>
      </c:lineChart>
      <c:dateAx>
        <c:axId val="88490931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84915071"/>
        <c:crosses val="autoZero"/>
        <c:auto val="1"/>
        <c:lblOffset val="100"/>
        <c:baseTimeUnit val="months"/>
      </c:dateAx>
      <c:valAx>
        <c:axId val="88491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84909311"/>
        <c:crosses val="autoZero"/>
        <c:crossBetween val="between"/>
      </c:valAx>
      <c:valAx>
        <c:axId val="884930911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84928031"/>
        <c:crosses val="max"/>
        <c:crossBetween val="between"/>
      </c:valAx>
      <c:dateAx>
        <c:axId val="88492803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884930911"/>
        <c:crosses val="autoZero"/>
        <c:auto val="1"/>
        <c:lblOffset val="100"/>
        <c:baseTimeUnit val="months"/>
      </c:date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Cancelacion</a:t>
            </a:r>
            <a:r>
              <a:rPr lang="en-US" baseline="0"/>
              <a:t> Anticipada</a:t>
            </a:r>
            <a:endParaRPr lang="en-US"/>
          </a:p>
        </c:rich>
      </c:tx>
      <c:layout>
        <c:manualLayout>
          <c:xMode val="edge"/>
          <c:yMode val="edge"/>
          <c:x val="0.39453138975178292"/>
          <c:y val="2.47058361697636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5553589554092468E-2"/>
          <c:y val="9.0662537347154917E-2"/>
          <c:w val="0.94786251028471213"/>
          <c:h val="0.65434337039528345"/>
        </c:manualLayout>
      </c:layout>
      <c:lineChart>
        <c:grouping val="standard"/>
        <c:varyColors val="0"/>
        <c:ser>
          <c:idx val="3"/>
          <c:order val="0"/>
          <c:tx>
            <c:strRef>
              <c:f>Futuro!$H$1</c:f>
              <c:strCache>
                <c:ptCount val="1"/>
                <c:pt idx="0">
                  <c:v>CANCELACIÒN VOLUNTARIA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9.7363070723921266E-3"/>
                  <c:y val="2.09180728031286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F17-4FA7-9AFE-169D006CC81B}"/>
                </c:ext>
              </c:extLst>
            </c:dLbl>
            <c:dLbl>
              <c:idx val="1"/>
              <c:layout>
                <c:manualLayout>
                  <c:x val="9.7210963865842753E-3"/>
                  <c:y val="2.06735339697092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F17-4FA7-9AFE-169D006CC81B}"/>
                </c:ext>
              </c:extLst>
            </c:dLbl>
            <c:dLbl>
              <c:idx val="2"/>
              <c:layout>
                <c:manualLayout>
                  <c:x val="6.4908713815946322E-3"/>
                  <c:y val="2.4404418270317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F17-4FA7-9AFE-169D006CC8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Futuro!$A$2:$A$5</c:f>
              <c:numCache>
                <c:formatCode>mmm\-yy</c:formatCode>
                <c:ptCount val="4"/>
                <c:pt idx="0">
                  <c:v>45261</c:v>
                </c:pt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</c:numCache>
            </c:numRef>
          </c:cat>
          <c:val>
            <c:numRef>
              <c:f>Futuro!$H$2:$H$5</c:f>
              <c:numCache>
                <c:formatCode>_-* #,##0_-;\-* #,##0_-;_-* "-"??_-;_-@_-</c:formatCode>
                <c:ptCount val="4"/>
                <c:pt idx="0">
                  <c:v>139.70933465000002</c:v>
                </c:pt>
                <c:pt idx="1">
                  <c:v>402.65972961000006</c:v>
                </c:pt>
                <c:pt idx="2">
                  <c:v>854.96555712999998</c:v>
                </c:pt>
                <c:pt idx="3">
                  <c:v>1149.1598975899999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F17-4FA7-9AFE-169D006CC81B}"/>
            </c:ext>
          </c:extLst>
        </c:ser>
        <c:ser>
          <c:idx val="4"/>
          <c:order val="1"/>
          <c:tx>
            <c:strRef>
              <c:f>Futuro!$L$1</c:f>
              <c:strCache>
                <c:ptCount val="1"/>
                <c:pt idx="0">
                  <c:v>Valor total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5699792598771131E-2"/>
                  <c:y val="-6.87575457345959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F17-4FA7-9AFE-169D006CC81B}"/>
                </c:ext>
              </c:extLst>
            </c:dLbl>
            <c:dLbl>
              <c:idx val="1"/>
              <c:layout>
                <c:manualLayout>
                  <c:x val="3.2403654621947584E-3"/>
                  <c:y val="6.891177989903067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F17-4FA7-9AFE-169D006CC81B}"/>
                </c:ext>
              </c:extLst>
            </c:dLbl>
            <c:dLbl>
              <c:idx val="2"/>
              <c:layout>
                <c:manualLayout>
                  <c:x val="0"/>
                  <c:y val="3.25693637690190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F17-4FA7-9AFE-169D006CC8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Futuro!$A$2:$A$5</c:f>
              <c:numCache>
                <c:formatCode>mmm\-yy</c:formatCode>
                <c:ptCount val="4"/>
                <c:pt idx="0">
                  <c:v>45261</c:v>
                </c:pt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</c:numCache>
            </c:numRef>
          </c:cat>
          <c:val>
            <c:numRef>
              <c:f>Futuro!$L$2:$L$5</c:f>
              <c:numCache>
                <c:formatCode>"$"\ #,##0</c:formatCode>
                <c:ptCount val="4"/>
                <c:pt idx="0">
                  <c:v>331.91739227000005</c:v>
                </c:pt>
                <c:pt idx="1">
                  <c:v>1068.372261169</c:v>
                </c:pt>
                <c:pt idx="2">
                  <c:v>1720.0576849940001</c:v>
                </c:pt>
                <c:pt idx="3">
                  <c:v>1773.04362939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F17-4FA7-9AFE-169D006CC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9369856"/>
        <c:axId val="1939375680"/>
      </c:lineChart>
      <c:dateAx>
        <c:axId val="193936985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39375680"/>
        <c:crosses val="autoZero"/>
        <c:auto val="1"/>
        <c:lblOffset val="100"/>
        <c:baseTimeUnit val="months"/>
      </c:dateAx>
      <c:valAx>
        <c:axId val="1939375680"/>
        <c:scaling>
          <c:orientation val="minMax"/>
        </c:scaling>
        <c:delete val="1"/>
        <c:axPos val="l"/>
        <c:numFmt formatCode="_-* #,##0_-;\-* #,##0_-;_-* &quot;-&quot;??_-;_-@_-" sourceLinked="1"/>
        <c:majorTickMark val="out"/>
        <c:minorTickMark val="none"/>
        <c:tickLblPos val="nextTo"/>
        <c:crossAx val="1939369856"/>
        <c:crosses val="autoZero"/>
        <c:crossBetween val="between"/>
        <c:majorUnit val="500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3301614949243435E-2"/>
          <c:y val="0.85923037139697744"/>
          <c:w val="0.78065377896487465"/>
          <c:h val="5.95592459063683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Entrega</a:t>
            </a:r>
            <a:r>
              <a:rPr lang="es-CO" baseline="0"/>
              <a:t> saldo futuro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Futuro!$B$1</c:f>
              <c:strCache>
                <c:ptCount val="1"/>
                <c:pt idx="0">
                  <c:v>VIVIENDA</c:v>
                </c:pt>
              </c:strCache>
            </c:strRef>
          </c:tx>
          <c:spPr>
            <a:ln w="12700" cap="rnd">
              <a:solidFill>
                <a:srgbClr val="BD20E8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7632904039440066E-2"/>
                  <c:y val="3.54183377568832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B61-418A-B0AC-5F3ACE121F45}"/>
                </c:ext>
              </c:extLst>
            </c:dLbl>
            <c:dLbl>
              <c:idx val="1"/>
              <c:layout>
                <c:manualLayout>
                  <c:x val="-2.6443424848731328E-2"/>
                  <c:y val="3.29370259904849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B61-418A-B0AC-5F3ACE121F45}"/>
                </c:ext>
              </c:extLst>
            </c:dLbl>
            <c:dLbl>
              <c:idx val="2"/>
              <c:layout>
                <c:manualLayout>
                  <c:x val="-5.3925411672907077E-2"/>
                  <c:y val="2.240348121213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F98-4904-AE0A-17CCF8C61F75}"/>
                </c:ext>
              </c:extLst>
            </c:dLbl>
            <c:dLbl>
              <c:idx val="3"/>
              <c:layout>
                <c:manualLayout>
                  <c:x val="-3.4599125361522959E-2"/>
                  <c:y val="1.44582467463420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F98-4904-AE0A-17CCF8C61F75}"/>
                </c:ext>
              </c:extLst>
            </c:dLbl>
            <c:dLbl>
              <c:idx val="4"/>
              <c:layout>
                <c:manualLayout>
                  <c:x val="-2.7632904039440003E-2"/>
                  <c:y val="1.44413164732588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F98-4904-AE0A-17CCF8C61F75}"/>
                </c:ext>
              </c:extLst>
            </c:dLbl>
            <c:dLbl>
              <c:idx val="6"/>
              <c:layout>
                <c:manualLayout>
                  <c:x val="-3.4907523969397163E-2"/>
                  <c:y val="1.71367088229634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412-4113-B5FC-9B166ADB856A}"/>
                </c:ext>
              </c:extLst>
            </c:dLbl>
            <c:dLbl>
              <c:idx val="7"/>
              <c:layout>
                <c:manualLayout>
                  <c:x val="-1.8644107526526559E-2"/>
                  <c:y val="1.97700950175502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81F-4454-99F2-5D283B03031C}"/>
                </c:ext>
              </c:extLst>
            </c:dLbl>
            <c:dLbl>
              <c:idx val="8"/>
              <c:layout>
                <c:manualLayout>
                  <c:x val="-4.8439172310624848E-2"/>
                  <c:y val="3.55704121850718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81F-4454-99F2-5D283B0303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Futuro!$A$3:$A$12</c:f>
              <c:numCache>
                <c:formatCode>mmm\-yy</c:formatCode>
                <c:ptCount val="10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45596</c:v>
                </c:pt>
              </c:numCache>
            </c:numRef>
          </c:cat>
          <c:val>
            <c:numRef>
              <c:f>Futuro!$B$3:$B$12</c:f>
              <c:numCache>
                <c:formatCode>"$"\ #,##0</c:formatCode>
                <c:ptCount val="10"/>
                <c:pt idx="0">
                  <c:v>484.36170572700001</c:v>
                </c:pt>
                <c:pt idx="1">
                  <c:v>457.71570178100001</c:v>
                </c:pt>
                <c:pt idx="2">
                  <c:v>325.07519573999997</c:v>
                </c:pt>
                <c:pt idx="3">
                  <c:v>207.25432162000001</c:v>
                </c:pt>
                <c:pt idx="4">
                  <c:v>234.74695600000001</c:v>
                </c:pt>
                <c:pt idx="5">
                  <c:v>371.76217398</c:v>
                </c:pt>
                <c:pt idx="6">
                  <c:v>172.183606</c:v>
                </c:pt>
                <c:pt idx="7" formatCode="#,##0.00">
                  <c:v>244.48025469999999</c:v>
                </c:pt>
                <c:pt idx="8">
                  <c:v>344.43536605999998</c:v>
                </c:pt>
                <c:pt idx="9">
                  <c:v>357.70556377000003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98-4904-AE0A-17CCF8C61F75}"/>
            </c:ext>
          </c:extLst>
        </c:ser>
        <c:ser>
          <c:idx val="1"/>
          <c:order val="1"/>
          <c:tx>
            <c:strRef>
              <c:f>Futuro!$D$1</c:f>
              <c:strCache>
                <c:ptCount val="1"/>
                <c:pt idx="0">
                  <c:v>EDUCACIÒN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1.6289233795464573E-2"/>
                  <c:y val="-9.157832470818602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B61-418A-B0AC-5F3ACE121F45}"/>
                </c:ext>
              </c:extLst>
            </c:dLbl>
            <c:dLbl>
              <c:idx val="1"/>
              <c:layout>
                <c:manualLayout>
                  <c:x val="-1.629125559838876E-2"/>
                  <c:y val="-2.23640840958403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B61-418A-B0AC-5F3ACE121F45}"/>
                </c:ext>
              </c:extLst>
            </c:dLbl>
            <c:dLbl>
              <c:idx val="2"/>
              <c:layout>
                <c:manualLayout>
                  <c:x val="-1.9524430518880143E-2"/>
                  <c:y val="-2.49974702904272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F98-4904-AE0A-17CCF8C61F75}"/>
                </c:ext>
              </c:extLst>
            </c:dLbl>
            <c:dLbl>
              <c:idx val="3"/>
              <c:layout>
                <c:manualLayout>
                  <c:x val="-1.1894137706520758E-2"/>
                  <c:y val="1.3363916554418479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F98-4904-AE0A-17CCF8C61F75}"/>
                </c:ext>
              </c:extLst>
            </c:dLbl>
            <c:dLbl>
              <c:idx val="4"/>
              <c:layout>
                <c:manualLayout>
                  <c:x val="-1.0266766464716295E-2"/>
                  <c:y val="-6.5357048103654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F98-4904-AE0A-17CCF8C61F75}"/>
                </c:ext>
              </c:extLst>
            </c:dLbl>
            <c:dLbl>
              <c:idx val="5"/>
              <c:layout>
                <c:manualLayout>
                  <c:x val="-2.2932091346873286E-3"/>
                  <c:y val="-6.535704810365552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FF2-4106-9E6F-5D17AEF4B31A}"/>
                </c:ext>
              </c:extLst>
            </c:dLbl>
            <c:dLbl>
              <c:idx val="6"/>
              <c:layout>
                <c:manualLayout>
                  <c:x val="-1.2444987722959336E-2"/>
                  <c:y val="-3.930380733731797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D7D-4B82-853E-6F5AD0FBB292}"/>
                </c:ext>
              </c:extLst>
            </c:dLbl>
            <c:dLbl>
              <c:idx val="7"/>
              <c:layout>
                <c:manualLayout>
                  <c:x val="-4.6388514933560316E-3"/>
                  <c:y val="-9.197153122905829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81F-4454-99F2-5D283B03031C}"/>
                </c:ext>
              </c:extLst>
            </c:dLbl>
            <c:dLbl>
              <c:idx val="8"/>
              <c:layout>
                <c:manualLayout>
                  <c:x val="-3.9877075096919103E-3"/>
                  <c:y val="1.18699364337895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81F-4454-99F2-5D283B03031C}"/>
                </c:ext>
              </c:extLst>
            </c:dLbl>
            <c:dLbl>
              <c:idx val="9"/>
              <c:layout>
                <c:manualLayout>
                  <c:x val="-1.4136443765612796E-2"/>
                  <c:y val="3.0303639795898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AC8-4214-9370-182E8E66DE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Futuro!$A$3:$A$12</c:f>
              <c:numCache>
                <c:formatCode>mmm\-yy</c:formatCode>
                <c:ptCount val="10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45596</c:v>
                </c:pt>
              </c:numCache>
            </c:numRef>
          </c:cat>
          <c:val>
            <c:numRef>
              <c:f>Futuro!$D$3:$D$12</c:f>
              <c:numCache>
                <c:formatCode>"$"\ #,##0</c:formatCode>
                <c:ptCount val="10"/>
                <c:pt idx="0">
                  <c:v>103.89502687199999</c:v>
                </c:pt>
                <c:pt idx="1">
                  <c:v>84.458080105000008</c:v>
                </c:pt>
                <c:pt idx="2">
                  <c:v>24.815932989999997</c:v>
                </c:pt>
                <c:pt idx="3">
                  <c:v>119.5490911</c:v>
                </c:pt>
                <c:pt idx="4">
                  <c:v>21.366571</c:v>
                </c:pt>
                <c:pt idx="5">
                  <c:v>476.7800512</c:v>
                </c:pt>
                <c:pt idx="6">
                  <c:v>77.316094179999993</c:v>
                </c:pt>
                <c:pt idx="7" formatCode="#,##0.00">
                  <c:v>47.38130675</c:v>
                </c:pt>
                <c:pt idx="8">
                  <c:v>33.309769119999999</c:v>
                </c:pt>
                <c:pt idx="9">
                  <c:v>11.275683539999999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98-4904-AE0A-17CCF8C61F75}"/>
            </c:ext>
          </c:extLst>
        </c:ser>
        <c:ser>
          <c:idx val="2"/>
          <c:order val="2"/>
          <c:tx>
            <c:strRef>
              <c:f>Futuro!$F$1</c:f>
              <c:strCache>
                <c:ptCount val="1"/>
                <c:pt idx="0">
                  <c:v>EXCEPCIÓN - REG AHORROS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layout>
                <c:manualLayout>
                  <c:x val="-1.5827899808266134E-2"/>
                  <c:y val="-2.23640840958405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12-4113-B5FC-9B166ADB856A}"/>
                </c:ext>
              </c:extLst>
            </c:dLbl>
            <c:dLbl>
              <c:idx val="8"/>
              <c:layout>
                <c:manualLayout>
                  <c:x val="-2.9359548149493941E-2"/>
                  <c:y val="-2.49974702904272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81F-4454-99F2-5D283B03031C}"/>
                </c:ext>
              </c:extLst>
            </c:dLbl>
            <c:dLbl>
              <c:idx val="9"/>
              <c:layout>
                <c:manualLayout>
                  <c:x val="-6.047954243851133E-4"/>
                  <c:y val="-1.2969945391449749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AC8-4214-9370-182E8E66DE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Futuro!$A$3:$A$12</c:f>
              <c:numCache>
                <c:formatCode>mmm\-yy</c:formatCode>
                <c:ptCount val="10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45596</c:v>
                </c:pt>
              </c:numCache>
            </c:numRef>
          </c:cat>
          <c:val>
            <c:numRef>
              <c:f>Futuro!$F$3:$F$12</c:f>
              <c:numCache>
                <c:formatCode>"$"\ #,##0</c:formatCode>
                <c:ptCount val="10"/>
                <c:pt idx="0">
                  <c:v>77.455798959999996</c:v>
                </c:pt>
                <c:pt idx="1">
                  <c:v>322.91834597799999</c:v>
                </c:pt>
                <c:pt idx="2">
                  <c:v>273.99260307000003</c:v>
                </c:pt>
                <c:pt idx="3">
                  <c:v>201.36193700999999</c:v>
                </c:pt>
                <c:pt idx="4">
                  <c:v>173.91316</c:v>
                </c:pt>
                <c:pt idx="5">
                  <c:v>98.423323679999996</c:v>
                </c:pt>
                <c:pt idx="6">
                  <c:v>114.69601474</c:v>
                </c:pt>
                <c:pt idx="7">
                  <c:v>67.646783220000003</c:v>
                </c:pt>
                <c:pt idx="8">
                  <c:v>57.964716430000003</c:v>
                </c:pt>
                <c:pt idx="9">
                  <c:v>46.701909219999997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98-4904-AE0A-17CCF8C61F75}"/>
            </c:ext>
          </c:extLst>
        </c:ser>
        <c:ser>
          <c:idx val="3"/>
          <c:order val="3"/>
          <c:tx>
            <c:strRef>
              <c:f>Futuro!$H$1</c:f>
              <c:strCache>
                <c:ptCount val="1"/>
                <c:pt idx="0">
                  <c:v>CANCELACIÒN VOLUNTARIA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Futuro!$A$3:$A$12</c:f>
              <c:numCache>
                <c:formatCode>mmm\-yy</c:formatCode>
                <c:ptCount val="10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45596</c:v>
                </c:pt>
              </c:numCache>
            </c:numRef>
          </c:cat>
          <c:val>
            <c:numRef>
              <c:f>Futuro!$H$3:$H$12</c:f>
              <c:numCache>
                <c:formatCode>_-* #,##0_-;\-* #,##0_-;_-* "-"??_-;_-@_-</c:formatCode>
                <c:ptCount val="10"/>
                <c:pt idx="0">
                  <c:v>402.65972961000006</c:v>
                </c:pt>
                <c:pt idx="1">
                  <c:v>854.96555712999998</c:v>
                </c:pt>
                <c:pt idx="2">
                  <c:v>1149.1598975899999</c:v>
                </c:pt>
                <c:pt idx="3" formatCode="&quot;$&quot;\ #,##0">
                  <c:v>1309.8839023200001</c:v>
                </c:pt>
                <c:pt idx="4" formatCode="&quot;$&quot;\ #,##0">
                  <c:v>1084.7299909999999</c:v>
                </c:pt>
                <c:pt idx="5" formatCode="&quot;$&quot;\ #,##0">
                  <c:v>1549.04289378</c:v>
                </c:pt>
                <c:pt idx="6" formatCode="&quot;$&quot;\ #,##0">
                  <c:v>1294.435477</c:v>
                </c:pt>
                <c:pt idx="7" formatCode="&quot;$&quot;\ #,##0">
                  <c:v>862.06801216999997</c:v>
                </c:pt>
                <c:pt idx="8" formatCode="&quot;$&quot;\ #,##0">
                  <c:v>1172.6747931499999</c:v>
                </c:pt>
                <c:pt idx="9" formatCode="&quot;$&quot;\ #,##0">
                  <c:v>933.56014892999997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98-4904-AE0A-17CCF8C61F75}"/>
            </c:ext>
          </c:extLst>
        </c:ser>
        <c:ser>
          <c:idx val="4"/>
          <c:order val="4"/>
          <c:tx>
            <c:strRef>
              <c:f>Futuro!$L$1</c:f>
              <c:strCache>
                <c:ptCount val="1"/>
                <c:pt idx="0">
                  <c:v>Valor total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Futuro!$A$3:$A$12</c:f>
              <c:numCache>
                <c:formatCode>mmm\-yy</c:formatCode>
                <c:ptCount val="10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45596</c:v>
                </c:pt>
              </c:numCache>
            </c:numRef>
          </c:cat>
          <c:val>
            <c:numRef>
              <c:f>Futuro!$L$3:$L$12</c:f>
              <c:numCache>
                <c:formatCode>"$"\ #,##0</c:formatCode>
                <c:ptCount val="10"/>
                <c:pt idx="0">
                  <c:v>1068.372261169</c:v>
                </c:pt>
                <c:pt idx="1">
                  <c:v>1720.0576849940001</c:v>
                </c:pt>
                <c:pt idx="2">
                  <c:v>1773.04362939</c:v>
                </c:pt>
                <c:pt idx="3">
                  <c:v>1838.0492520500002</c:v>
                </c:pt>
                <c:pt idx="4">
                  <c:v>1514.756678</c:v>
                </c:pt>
                <c:pt idx="5">
                  <c:v>2496.0084426399999</c:v>
                </c:pt>
                <c:pt idx="6">
                  <c:v>1658.63119192</c:v>
                </c:pt>
                <c:pt idx="7">
                  <c:v>1221.57635684</c:v>
                </c:pt>
                <c:pt idx="8">
                  <c:v>1608.3846447599999</c:v>
                </c:pt>
                <c:pt idx="9" formatCode="_-* #,##0_-;\-* #,##0_-;_-* &quot;-&quot;??_-;_-@_-">
                  <c:v>1349.2433054600001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F98-4904-AE0A-17CCF8C61F7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675260639"/>
        <c:axId val="1675263999"/>
      </c:lineChart>
      <c:dateAx>
        <c:axId val="167526063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75263999"/>
        <c:crosses val="autoZero"/>
        <c:auto val="1"/>
        <c:lblOffset val="100"/>
        <c:baseTimeUnit val="months"/>
      </c:dateAx>
      <c:valAx>
        <c:axId val="1675263999"/>
        <c:scaling>
          <c:orientation val="minMax"/>
          <c:max val="5000"/>
        </c:scaling>
        <c:delete val="1"/>
        <c:axPos val="l"/>
        <c:numFmt formatCode="&quot;$&quot;\ #,##0" sourceLinked="1"/>
        <c:majorTickMark val="none"/>
        <c:minorTickMark val="none"/>
        <c:tickLblPos val="nextTo"/>
        <c:crossAx val="1675260639"/>
        <c:crosses val="autoZero"/>
        <c:crossBetween val="between"/>
        <c:majorUnit val="50"/>
        <c:min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Posición PRESENTE en tasas</a:t>
            </a:r>
            <a:r>
              <a:rPr lang="es-CO" baseline="0"/>
              <a:t> de CDTAs</a:t>
            </a:r>
            <a:endParaRPr lang="es-CO"/>
          </a:p>
        </c:rich>
      </c:tx>
      <c:layout>
        <c:manualLayout>
          <c:xMode val="edge"/>
          <c:yMode val="edge"/>
          <c:x val="0.2207915573053368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9358705161854772E-2"/>
          <c:y val="0.17171296296296298"/>
          <c:w val="0.90286351706036749"/>
          <c:h val="0.54001822688830559"/>
        </c:manualLayout>
      </c:layout>
      <c:lineChart>
        <c:grouping val="standard"/>
        <c:varyColors val="0"/>
        <c:ser>
          <c:idx val="0"/>
          <c:order val="0"/>
          <c:tx>
            <c:strRef>
              <c:f>'Evolución Rking'!$B$1</c:f>
              <c:strCache>
                <c:ptCount val="1"/>
                <c:pt idx="0">
                  <c:v>90 días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'Evolución Rking'!$A$24:$A$36</c:f>
              <c:numCache>
                <c:formatCode>mmm\-yy</c:formatCode>
                <c:ptCount val="13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</c:numCache>
            </c:numRef>
          </c:cat>
          <c:val>
            <c:numRef>
              <c:f>'Evolución Rking'!$B$21:$B$33</c:f>
              <c:numCache>
                <c:formatCode>General</c:formatCode>
                <c:ptCount val="13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7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0E-40CA-BE25-1F2DF37CB242}"/>
            </c:ext>
          </c:extLst>
        </c:ser>
        <c:ser>
          <c:idx val="1"/>
          <c:order val="1"/>
          <c:tx>
            <c:strRef>
              <c:f>'Evolución Rking'!$C$1</c:f>
              <c:strCache>
                <c:ptCount val="1"/>
                <c:pt idx="0">
                  <c:v>180 días</c:v>
                </c:pt>
              </c:strCache>
            </c:strRef>
          </c:tx>
          <c:spPr>
            <a:ln w="952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'Evolución Rking'!$A$24:$A$36</c:f>
              <c:numCache>
                <c:formatCode>mmm\-yy</c:formatCode>
                <c:ptCount val="13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</c:numCache>
            </c:numRef>
          </c:cat>
          <c:val>
            <c:numRef>
              <c:f>'Evolución Rking'!$C$20:$C$32</c:f>
              <c:numCache>
                <c:formatCode>General</c:formatCode>
                <c:ptCount val="13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0E-40CA-BE25-1F2DF37CB242}"/>
            </c:ext>
          </c:extLst>
        </c:ser>
        <c:ser>
          <c:idx val="2"/>
          <c:order val="2"/>
          <c:tx>
            <c:strRef>
              <c:f>'Evolución Rking'!$D$1</c:f>
              <c:strCache>
                <c:ptCount val="1"/>
                <c:pt idx="0">
                  <c:v>1 año</c:v>
                </c:pt>
              </c:strCache>
            </c:strRef>
          </c:tx>
          <c:spPr>
            <a:ln w="952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'Evolución Rking'!$A$24:$A$36</c:f>
              <c:numCache>
                <c:formatCode>mmm\-yy</c:formatCode>
                <c:ptCount val="13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</c:numCache>
            </c:numRef>
          </c:cat>
          <c:val>
            <c:numRef>
              <c:f>'Evolución Rking'!$D$21:$D$33</c:f>
              <c:numCache>
                <c:formatCode>General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A0E-40CA-BE25-1F2DF37CB242}"/>
            </c:ext>
          </c:extLst>
        </c:ser>
        <c:ser>
          <c:idx val="3"/>
          <c:order val="3"/>
          <c:tx>
            <c:strRef>
              <c:f>'Evolución Rking'!$E$1</c:f>
              <c:strCache>
                <c:ptCount val="1"/>
                <c:pt idx="0">
                  <c:v>2 años</c:v>
                </c:pt>
              </c:strCache>
            </c:strRef>
          </c:tx>
          <c:spPr>
            <a:ln w="95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'Evolución Rking'!$A$24:$A$36</c:f>
              <c:numCache>
                <c:formatCode>mmm\-yy</c:formatCode>
                <c:ptCount val="13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</c:numCache>
            </c:numRef>
          </c:cat>
          <c:val>
            <c:numRef>
              <c:f>'Evolución Rking'!$E$21:$E$33</c:f>
              <c:numCache>
                <c:formatCode>General</c:formatCode>
                <c:ptCount val="13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A0E-40CA-BE25-1F2DF37CB242}"/>
            </c:ext>
          </c:extLst>
        </c:ser>
        <c:ser>
          <c:idx val="4"/>
          <c:order val="4"/>
          <c:tx>
            <c:strRef>
              <c:f>'Evolución Rking'!$F$1</c:f>
              <c:strCache>
                <c:ptCount val="1"/>
                <c:pt idx="0">
                  <c:v>3 años</c:v>
                </c:pt>
              </c:strCache>
            </c:strRef>
          </c:tx>
          <c:spPr>
            <a:ln w="952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'Evolución Rking'!$A$24:$A$36</c:f>
              <c:numCache>
                <c:formatCode>mmm\-yy</c:formatCode>
                <c:ptCount val="13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</c:numCache>
            </c:numRef>
          </c:cat>
          <c:val>
            <c:numRef>
              <c:f>'Evolución Rking'!$F$21:$F$33</c:f>
              <c:numCache>
                <c:formatCode>General</c:formatCode>
                <c:ptCount val="13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A0E-40CA-BE25-1F2DF37CB24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095792048"/>
        <c:axId val="2095780400"/>
      </c:lineChart>
      <c:dateAx>
        <c:axId val="20957920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95780400"/>
        <c:crosses val="autoZero"/>
        <c:auto val="1"/>
        <c:lblOffset val="100"/>
        <c:baseTimeUnit val="months"/>
      </c:dateAx>
      <c:valAx>
        <c:axId val="2095780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95792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image" Target="../media/image1.png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21291</xdr:colOff>
      <xdr:row>4</xdr:row>
      <xdr:rowOff>83483</xdr:rowOff>
    </xdr:from>
    <xdr:to>
      <xdr:col>18</xdr:col>
      <xdr:colOff>357187</xdr:colOff>
      <xdr:row>29</xdr:row>
      <xdr:rowOff>48558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BF1FEE-E5EC-C55B-15F2-01FCA9011E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6349</xdr:colOff>
      <xdr:row>3</xdr:row>
      <xdr:rowOff>89959</xdr:rowOff>
    </xdr:from>
    <xdr:to>
      <xdr:col>20</xdr:col>
      <xdr:colOff>3175</xdr:colOff>
      <xdr:row>22</xdr:row>
      <xdr:rowOff>68792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D926D63-95D6-5C92-323A-48F25FBAC2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730779</xdr:colOff>
      <xdr:row>27</xdr:row>
      <xdr:rowOff>184679</xdr:rowOff>
    </xdr:from>
    <xdr:to>
      <xdr:col>20</xdr:col>
      <xdr:colOff>321469</xdr:colOff>
      <xdr:row>56</xdr:row>
      <xdr:rowOff>51329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122A10D-E43F-4392-B36F-D922A892B0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19050</xdr:colOff>
      <xdr:row>3</xdr:row>
      <xdr:rowOff>104775</xdr:rowOff>
    </xdr:from>
    <xdr:to>
      <xdr:col>31</xdr:col>
      <xdr:colOff>15876</xdr:colOff>
      <xdr:row>21</xdr:row>
      <xdr:rowOff>117475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CADF3C2-282B-4A4C-AF07-13EAA6D6D5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10885</xdr:colOff>
      <xdr:row>64</xdr:row>
      <xdr:rowOff>179615</xdr:rowOff>
    </xdr:from>
    <xdr:to>
      <xdr:col>19</xdr:col>
      <xdr:colOff>293915</xdr:colOff>
      <xdr:row>97</xdr:row>
      <xdr:rowOff>54428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40529-FD20-57A4-46BF-1D838DC48B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478719</xdr:colOff>
      <xdr:row>82</xdr:row>
      <xdr:rowOff>47979</xdr:rowOff>
    </xdr:from>
    <xdr:to>
      <xdr:col>10</xdr:col>
      <xdr:colOff>112889</xdr:colOff>
      <xdr:row>100</xdr:row>
      <xdr:rowOff>59973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B5A33D2-C748-08BC-70A8-B61F0861D6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200640</xdr:colOff>
      <xdr:row>104</xdr:row>
      <xdr:rowOff>28042</xdr:rowOff>
    </xdr:from>
    <xdr:to>
      <xdr:col>10</xdr:col>
      <xdr:colOff>73642</xdr:colOff>
      <xdr:row>121</xdr:row>
      <xdr:rowOff>126116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E93852B-2F31-A04D-6AA7-3D3CF2C57F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529166</xdr:colOff>
      <xdr:row>123</xdr:row>
      <xdr:rowOff>81140</xdr:rowOff>
    </xdr:from>
    <xdr:to>
      <xdr:col>10</xdr:col>
      <xdr:colOff>402168</xdr:colOff>
      <xdr:row>142</xdr:row>
      <xdr:rowOff>172862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C67FC34-517B-40AF-B49A-4901E7A91C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318744</xdr:colOff>
      <xdr:row>64</xdr:row>
      <xdr:rowOff>93257</xdr:rowOff>
    </xdr:from>
    <xdr:to>
      <xdr:col>9</xdr:col>
      <xdr:colOff>286994</xdr:colOff>
      <xdr:row>79</xdr:row>
      <xdr:rowOff>12325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2826C4A-AAB2-3C7F-0110-E582FD31F1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14</xdr:col>
      <xdr:colOff>0</xdr:colOff>
      <xdr:row>127</xdr:row>
      <xdr:rowOff>0</xdr:rowOff>
    </xdr:from>
    <xdr:to>
      <xdr:col>25</xdr:col>
      <xdr:colOff>524595</xdr:colOff>
      <xdr:row>152</xdr:row>
      <xdr:rowOff>47024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EA025DB-BB9B-C2D8-594B-EF6F3BA04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710147" y="24003000"/>
          <a:ext cx="9141918" cy="48095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180974</xdr:colOff>
      <xdr:row>0</xdr:row>
      <xdr:rowOff>661986</xdr:rowOff>
    </xdr:from>
    <xdr:to>
      <xdr:col>16</xdr:col>
      <xdr:colOff>152400</xdr:colOff>
      <xdr:row>18</xdr:row>
      <xdr:rowOff>123825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E120AC6-68EE-8605-C7F7-A5392BA85A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306042</xdr:colOff>
      <xdr:row>46</xdr:row>
      <xdr:rowOff>51215</xdr:rowOff>
    </xdr:from>
    <xdr:to>
      <xdr:col>8</xdr:col>
      <xdr:colOff>616364</xdr:colOff>
      <xdr:row>65</xdr:row>
      <xdr:rowOff>74496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7E38747-9995-4DAE-B5C4-E047C9026C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668129</xdr:colOff>
      <xdr:row>17</xdr:row>
      <xdr:rowOff>167584</xdr:rowOff>
    </xdr:from>
    <xdr:to>
      <xdr:col>9</xdr:col>
      <xdr:colOff>917989</xdr:colOff>
      <xdr:row>43</xdr:row>
      <xdr:rowOff>144946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4F1E071-5C74-BFB1-8CFB-6C65CEBD28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15874</xdr:colOff>
      <xdr:row>0</xdr:row>
      <xdr:rowOff>190499</xdr:rowOff>
    </xdr:from>
    <xdr:to>
      <xdr:col>15</xdr:col>
      <xdr:colOff>590549</xdr:colOff>
      <xdr:row>17</xdr:row>
      <xdr:rowOff>66674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BD2078E-B351-4BE0-8EB2-4C67630272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9482C-E760-4971-8F7D-47ABE1F08550}">
  <dimension ref="A1:L62"/>
  <sheetViews>
    <sheetView zoomScale="90" zoomScaleNormal="90" workbookViewId="0">
      <pane ySplit="1" topLeftCell="A50" activePane="bottomLeft" state="frozen"/>
      <selection pane="bottomLeft" activeCell="B61" sqref="B61"/>
    </sheetView>
  </sheetViews>
  <sheetFormatPr baseColWidth="10" defaultRowHeight="15" x14ac:dyDescent="0.25"/>
  <cols>
    <col min="1" max="1" width="12.5703125" bestFit="1" customWidth="1"/>
    <col min="2" max="2" width="16.42578125" bestFit="1" customWidth="1"/>
    <col min="3" max="3" width="18" customWidth="1"/>
    <col min="4" max="4" width="19.42578125" bestFit="1" customWidth="1"/>
    <col min="5" max="5" width="19.42578125" customWidth="1"/>
    <col min="6" max="6" width="17.5703125" bestFit="1" customWidth="1"/>
  </cols>
  <sheetData>
    <row r="1" spans="1:12" ht="27.75" customHeight="1" x14ac:dyDescent="0.25">
      <c r="A1" t="s">
        <v>1</v>
      </c>
      <c r="B1" t="s">
        <v>0</v>
      </c>
      <c r="C1" t="s">
        <v>2</v>
      </c>
      <c r="D1" t="s">
        <v>3</v>
      </c>
      <c r="E1" t="s">
        <v>39</v>
      </c>
      <c r="F1" t="s">
        <v>4</v>
      </c>
    </row>
    <row r="2" spans="1:12" x14ac:dyDescent="0.25">
      <c r="A2" s="2">
        <v>44197</v>
      </c>
      <c r="B2" s="3">
        <v>115326.09485393998</v>
      </c>
      <c r="C2" s="3">
        <v>73465.213948000004</v>
      </c>
      <c r="D2" s="3">
        <v>10715.62264451</v>
      </c>
      <c r="E2" s="3"/>
      <c r="F2" s="3">
        <v>31145.258261429986</v>
      </c>
    </row>
    <row r="3" spans="1:12" x14ac:dyDescent="0.25">
      <c r="A3" s="2">
        <v>44228</v>
      </c>
      <c r="B3" s="3">
        <v>117671.70903139</v>
      </c>
      <c r="C3" s="3">
        <v>73772.071054</v>
      </c>
      <c r="D3" s="3">
        <v>12802.95152158</v>
      </c>
      <c r="E3" s="3"/>
      <c r="F3" s="3">
        <v>31096.686455809991</v>
      </c>
      <c r="H3" s="38" t="s">
        <v>19</v>
      </c>
      <c r="I3" s="38"/>
      <c r="J3" s="38"/>
      <c r="K3" s="38"/>
      <c r="L3" t="s">
        <v>18</v>
      </c>
    </row>
    <row r="4" spans="1:12" x14ac:dyDescent="0.25">
      <c r="A4" s="2">
        <v>44256</v>
      </c>
      <c r="B4" s="3">
        <v>123182.03024956</v>
      </c>
      <c r="C4" s="3">
        <v>74767.064746999997</v>
      </c>
      <c r="D4" s="3">
        <v>14401.29949397</v>
      </c>
      <c r="E4" s="3"/>
      <c r="F4" s="3">
        <v>34013.666008589993</v>
      </c>
      <c r="H4" s="10"/>
      <c r="I4" s="10"/>
    </row>
    <row r="5" spans="1:12" x14ac:dyDescent="0.25">
      <c r="A5" s="2">
        <v>44287</v>
      </c>
      <c r="B5" s="3">
        <v>126697.74684475998</v>
      </c>
      <c r="C5" s="3">
        <v>75881.322916999998</v>
      </c>
      <c r="D5" s="3">
        <v>12282.45509186</v>
      </c>
      <c r="E5" s="3"/>
      <c r="F5" s="3">
        <v>38533.968835899977</v>
      </c>
    </row>
    <row r="6" spans="1:12" x14ac:dyDescent="0.25">
      <c r="A6" s="2">
        <v>44317</v>
      </c>
      <c r="B6" s="3">
        <v>130038.22231935001</v>
      </c>
      <c r="C6" s="3">
        <v>76659.537345000004</v>
      </c>
      <c r="D6" s="3">
        <v>14058.860973999999</v>
      </c>
      <c r="E6" s="3"/>
      <c r="F6" s="3">
        <v>39319.824000350003</v>
      </c>
    </row>
    <row r="7" spans="1:12" x14ac:dyDescent="0.25">
      <c r="A7" s="2">
        <v>44348</v>
      </c>
      <c r="B7" s="3">
        <v>126681.16903562001</v>
      </c>
      <c r="C7" s="3">
        <v>77468.472332000005</v>
      </c>
      <c r="D7" s="3">
        <v>15849.70398</v>
      </c>
      <c r="E7" s="3"/>
      <c r="F7" s="3">
        <v>33362.992722800002</v>
      </c>
    </row>
    <row r="8" spans="1:12" x14ac:dyDescent="0.25">
      <c r="A8" s="2">
        <v>44378</v>
      </c>
      <c r="B8" s="3">
        <v>126148.37535729998</v>
      </c>
      <c r="C8" s="3">
        <v>77975.239790000007</v>
      </c>
      <c r="D8" s="3">
        <v>17418.549802860001</v>
      </c>
      <c r="E8" s="3"/>
      <c r="F8" s="3">
        <v>30754.585764439991</v>
      </c>
    </row>
    <row r="9" spans="1:12" x14ac:dyDescent="0.25">
      <c r="A9" s="2">
        <v>44409</v>
      </c>
      <c r="B9" s="3">
        <v>127282.9083025</v>
      </c>
      <c r="C9" s="3">
        <v>78706.551277999999</v>
      </c>
      <c r="D9" s="3">
        <v>18977.502239860001</v>
      </c>
      <c r="E9" s="3"/>
      <c r="F9" s="3">
        <v>29598.854784639992</v>
      </c>
    </row>
    <row r="10" spans="1:12" x14ac:dyDescent="0.25">
      <c r="A10" s="2">
        <v>44440</v>
      </c>
      <c r="B10" s="3">
        <v>129910.25194528</v>
      </c>
      <c r="C10" s="3">
        <v>80386.805416999996</v>
      </c>
      <c r="D10" s="3">
        <v>20781.489081</v>
      </c>
      <c r="E10" s="3"/>
      <c r="F10" s="3">
        <v>28741.95744727999</v>
      </c>
    </row>
    <row r="11" spans="1:12" x14ac:dyDescent="0.25">
      <c r="A11" s="2">
        <v>44470</v>
      </c>
      <c r="B11" s="3">
        <v>133036.41907526</v>
      </c>
      <c r="C11" s="3">
        <v>81623.998382000005</v>
      </c>
      <c r="D11" s="3">
        <v>22134.822557</v>
      </c>
      <c r="E11" s="3"/>
      <c r="F11" s="3">
        <v>29277.59813626</v>
      </c>
    </row>
    <row r="12" spans="1:12" x14ac:dyDescent="0.25">
      <c r="A12" s="2">
        <v>44501</v>
      </c>
      <c r="B12" s="3">
        <v>147448.94811299999</v>
      </c>
      <c r="C12" s="3">
        <v>82695.78284</v>
      </c>
      <c r="D12" s="3">
        <v>7886.8414949999997</v>
      </c>
      <c r="E12" s="3"/>
      <c r="F12" s="3">
        <v>56866.323777999998</v>
      </c>
    </row>
    <row r="13" spans="1:12" x14ac:dyDescent="0.25">
      <c r="A13" s="2">
        <v>44531</v>
      </c>
      <c r="B13" s="3">
        <v>125992.91092023998</v>
      </c>
      <c r="C13" s="3">
        <v>79148.030771000005</v>
      </c>
      <c r="D13" s="3">
        <v>9136.6101039999994</v>
      </c>
      <c r="E13" s="3"/>
      <c r="F13" s="3">
        <v>37708.270045239988</v>
      </c>
    </row>
    <row r="14" spans="1:12" x14ac:dyDescent="0.25">
      <c r="A14" s="2">
        <v>44562</v>
      </c>
      <c r="B14" s="3">
        <v>125091.32397415001</v>
      </c>
      <c r="C14" s="3">
        <v>81436.113307000007</v>
      </c>
      <c r="D14" s="3">
        <v>10526.252531</v>
      </c>
      <c r="E14" s="3"/>
      <c r="F14" s="3">
        <v>33128.95813615001</v>
      </c>
    </row>
    <row r="15" spans="1:12" x14ac:dyDescent="0.25">
      <c r="A15" s="2">
        <v>44593</v>
      </c>
      <c r="B15" s="3">
        <v>127021.53211114001</v>
      </c>
      <c r="C15" s="3">
        <v>81607.054306610007</v>
      </c>
      <c r="D15" s="3">
        <v>12582.862709000001</v>
      </c>
      <c r="E15" s="3"/>
      <c r="F15" s="3">
        <v>32831.615095530011</v>
      </c>
    </row>
    <row r="16" spans="1:12" x14ac:dyDescent="0.25">
      <c r="A16" s="2">
        <v>44621</v>
      </c>
      <c r="B16" s="3">
        <v>134581.3241238</v>
      </c>
      <c r="C16" s="3">
        <v>81954.331266609996</v>
      </c>
      <c r="D16" s="3">
        <v>13911.542353999999</v>
      </c>
      <c r="E16" s="3"/>
      <c r="F16" s="3">
        <v>38958.123240389999</v>
      </c>
    </row>
    <row r="17" spans="1:6" x14ac:dyDescent="0.25">
      <c r="A17" s="2">
        <v>44652</v>
      </c>
      <c r="B17" s="3">
        <v>130249.81631109999</v>
      </c>
      <c r="C17" s="3">
        <v>81239.419766609994</v>
      </c>
      <c r="D17" s="3">
        <v>12001.434764</v>
      </c>
      <c r="E17" s="3"/>
      <c r="F17" s="3">
        <v>37008.96178048999</v>
      </c>
    </row>
    <row r="18" spans="1:6" x14ac:dyDescent="0.25">
      <c r="A18" s="2">
        <v>44682</v>
      </c>
      <c r="B18" s="3">
        <v>132918.72119257</v>
      </c>
      <c r="C18" s="3">
        <v>81082.510229609994</v>
      </c>
      <c r="D18" s="3">
        <v>13444.235945</v>
      </c>
      <c r="E18" s="3"/>
      <c r="F18" s="3">
        <v>38351.565070960001</v>
      </c>
    </row>
    <row r="19" spans="1:6" x14ac:dyDescent="0.25">
      <c r="A19" s="2">
        <v>44713</v>
      </c>
      <c r="B19" s="3">
        <v>129052.01007420001</v>
      </c>
      <c r="C19" s="3">
        <v>82317.524451610007</v>
      </c>
      <c r="D19" s="3">
        <v>15165.586669</v>
      </c>
      <c r="E19" s="3"/>
      <c r="F19" s="3">
        <v>31568.89895359</v>
      </c>
    </row>
    <row r="20" spans="1:6" x14ac:dyDescent="0.25">
      <c r="A20" s="2">
        <v>44743</v>
      </c>
      <c r="B20" s="3">
        <v>127658.73222194999</v>
      </c>
      <c r="C20" s="3">
        <v>80154.970491610002</v>
      </c>
      <c r="D20" s="3">
        <v>16422.508809999999</v>
      </c>
      <c r="E20" s="3"/>
      <c r="F20" s="3">
        <v>31081.252920339997</v>
      </c>
    </row>
    <row r="21" spans="1:6" x14ac:dyDescent="0.25">
      <c r="A21" s="2">
        <v>44774</v>
      </c>
      <c r="B21" s="3">
        <v>127578.30303737</v>
      </c>
      <c r="C21" s="3">
        <v>81139.092000000004</v>
      </c>
      <c r="D21" s="3">
        <v>17924.783264000002</v>
      </c>
      <c r="E21" s="3"/>
      <c r="F21" s="3">
        <v>28514.42777337</v>
      </c>
    </row>
    <row r="22" spans="1:6" x14ac:dyDescent="0.25">
      <c r="A22" s="2">
        <v>44805</v>
      </c>
      <c r="B22" s="3">
        <v>126427.88817551</v>
      </c>
      <c r="C22" s="3">
        <v>79904.874540999997</v>
      </c>
      <c r="D22" s="3">
        <v>19623.833551</v>
      </c>
      <c r="E22" s="3"/>
      <c r="F22" s="3">
        <v>26899.180083509997</v>
      </c>
    </row>
    <row r="23" spans="1:6" x14ac:dyDescent="0.25">
      <c r="A23" s="2">
        <v>44835</v>
      </c>
      <c r="B23" s="3">
        <v>126170.96517797999</v>
      </c>
      <c r="C23" s="3">
        <v>79059.218022000001</v>
      </c>
      <c r="D23" s="3">
        <v>20897.628548000001</v>
      </c>
      <c r="E23" s="3"/>
      <c r="F23" s="3">
        <v>26214.118607979999</v>
      </c>
    </row>
    <row r="24" spans="1:6" x14ac:dyDescent="0.25">
      <c r="A24" s="2">
        <v>44866</v>
      </c>
      <c r="B24" s="3">
        <v>139924.10505346998</v>
      </c>
      <c r="C24" s="3">
        <v>80080.081797000006</v>
      </c>
      <c r="D24" s="3">
        <v>7741.3751908099994</v>
      </c>
      <c r="E24" s="3"/>
      <c r="F24" s="3">
        <v>52102.648065659974</v>
      </c>
    </row>
    <row r="25" spans="1:6" x14ac:dyDescent="0.25">
      <c r="A25" s="2">
        <v>44896</v>
      </c>
      <c r="B25" s="3">
        <v>121164.38330864999</v>
      </c>
      <c r="C25" s="3">
        <v>80687.643922000003</v>
      </c>
      <c r="D25" s="3">
        <v>9058.6890900499984</v>
      </c>
      <c r="E25" s="3"/>
      <c r="F25" s="3">
        <v>31418.050296599999</v>
      </c>
    </row>
    <row r="26" spans="1:6" x14ac:dyDescent="0.25">
      <c r="A26" s="2">
        <v>44927</v>
      </c>
      <c r="B26" s="3">
        <v>119283.91715757</v>
      </c>
      <c r="C26" s="3">
        <v>80695.194269</v>
      </c>
      <c r="D26" s="3">
        <v>10538.672129049999</v>
      </c>
      <c r="E26" s="12">
        <v>55034.262747000001</v>
      </c>
      <c r="F26" s="3">
        <v>28050.050759519996</v>
      </c>
    </row>
    <row r="27" spans="1:6" x14ac:dyDescent="0.25">
      <c r="A27" s="2">
        <v>44958</v>
      </c>
      <c r="B27" s="3">
        <f t="shared" ref="B27:B36" si="0">+C27+D27+F27</f>
        <v>125011.65962071999</v>
      </c>
      <c r="C27" s="3">
        <v>81073.982497999998</v>
      </c>
      <c r="D27" s="3">
        <v>12827.25789205</v>
      </c>
      <c r="E27" s="12">
        <v>54434.305452000001</v>
      </c>
      <c r="F27" s="3">
        <v>31110.419230669999</v>
      </c>
    </row>
    <row r="28" spans="1:6" x14ac:dyDescent="0.25">
      <c r="A28" s="2">
        <v>44986</v>
      </c>
      <c r="B28" s="3">
        <f t="shared" si="0"/>
        <v>125378.32540272</v>
      </c>
      <c r="C28" s="3">
        <v>82634.711209000001</v>
      </c>
      <c r="D28" s="3">
        <v>14388.775267000001</v>
      </c>
      <c r="E28" s="12">
        <v>55172.232862999997</v>
      </c>
      <c r="F28" s="3">
        <v>28354.83892672</v>
      </c>
    </row>
    <row r="29" spans="1:6" x14ac:dyDescent="0.25">
      <c r="A29" s="2">
        <v>45017</v>
      </c>
      <c r="B29" s="3">
        <f t="shared" si="0"/>
        <v>127634.47442778001</v>
      </c>
      <c r="C29" s="3">
        <v>83229.723125000004</v>
      </c>
      <c r="D29" s="3">
        <v>13038.809031999999</v>
      </c>
      <c r="E29" s="12">
        <v>55929.897383000003</v>
      </c>
      <c r="F29" s="3">
        <v>31365.94227078</v>
      </c>
    </row>
    <row r="30" spans="1:6" x14ac:dyDescent="0.25">
      <c r="A30" s="2">
        <v>45047</v>
      </c>
      <c r="B30" s="3">
        <f t="shared" si="0"/>
        <v>133896.26069831999</v>
      </c>
      <c r="C30" s="3">
        <v>84032.610538399997</v>
      </c>
      <c r="D30" s="3">
        <v>14494.992435</v>
      </c>
      <c r="E30" s="12">
        <v>56059.554332</v>
      </c>
      <c r="F30" s="3">
        <v>35368.657724919998</v>
      </c>
    </row>
    <row r="31" spans="1:6" x14ac:dyDescent="0.25">
      <c r="A31" s="2">
        <v>45078</v>
      </c>
      <c r="B31" s="3">
        <f t="shared" si="0"/>
        <v>129692.17224812001</v>
      </c>
      <c r="C31" s="3">
        <v>86121.546470400004</v>
      </c>
      <c r="D31" s="3">
        <v>16689.804267</v>
      </c>
      <c r="E31" s="12">
        <v>60222.901827000002</v>
      </c>
      <c r="F31" s="3">
        <v>26880.821510720001</v>
      </c>
    </row>
    <row r="32" spans="1:6" x14ac:dyDescent="0.25">
      <c r="A32" s="2">
        <v>45108</v>
      </c>
      <c r="B32" s="3">
        <f t="shared" si="0"/>
        <v>129758.17161578001</v>
      </c>
      <c r="C32" s="3">
        <v>87260.802715400016</v>
      </c>
      <c r="D32" s="3">
        <v>18288.248457000002</v>
      </c>
      <c r="E32" s="12">
        <v>58665.087642999999</v>
      </c>
      <c r="F32" s="3">
        <v>24209.120443380001</v>
      </c>
    </row>
    <row r="33" spans="1:7" x14ac:dyDescent="0.25">
      <c r="A33" s="2">
        <v>45139</v>
      </c>
      <c r="B33" s="3">
        <f t="shared" si="0"/>
        <v>132228.45240022999</v>
      </c>
      <c r="C33" s="3">
        <v>87102.781121399996</v>
      </c>
      <c r="D33" s="3">
        <v>20014.299515999999</v>
      </c>
      <c r="E33" s="12">
        <v>60783.081494999999</v>
      </c>
      <c r="F33" s="3">
        <v>25111.37176283</v>
      </c>
      <c r="G33" s="3"/>
    </row>
    <row r="34" spans="1:7" x14ac:dyDescent="0.25">
      <c r="A34" s="2">
        <v>45170</v>
      </c>
      <c r="B34" s="3">
        <f t="shared" si="0"/>
        <v>133134.96050850002</v>
      </c>
      <c r="C34" s="3">
        <v>86266.347602400012</v>
      </c>
      <c r="D34" s="3">
        <v>22131.719505000001</v>
      </c>
      <c r="E34" s="12">
        <v>58702.29019</v>
      </c>
      <c r="F34" s="3">
        <v>24736.893401099998</v>
      </c>
    </row>
    <row r="35" spans="1:7" x14ac:dyDescent="0.25">
      <c r="A35" s="2">
        <v>45200</v>
      </c>
      <c r="B35" s="3">
        <f t="shared" si="0"/>
        <v>131587.51297290999</v>
      </c>
      <c r="C35" s="3">
        <v>84746.957992399999</v>
      </c>
      <c r="D35" s="3">
        <v>23592.291436</v>
      </c>
      <c r="E35" s="12">
        <v>56535.423233000001</v>
      </c>
      <c r="F35" s="3">
        <v>23248.263544509999</v>
      </c>
    </row>
    <row r="36" spans="1:7" x14ac:dyDescent="0.25">
      <c r="A36" s="2">
        <v>45231</v>
      </c>
      <c r="B36" s="3">
        <f t="shared" si="0"/>
        <v>141522.23981115001</v>
      </c>
      <c r="C36" s="3">
        <v>85474.42488440001</v>
      </c>
      <c r="D36" s="3">
        <v>9947.7146690000009</v>
      </c>
      <c r="E36" s="12">
        <v>58754.090713999998</v>
      </c>
      <c r="F36" s="3">
        <v>46100.100257749997</v>
      </c>
    </row>
    <row r="37" spans="1:7" x14ac:dyDescent="0.25">
      <c r="A37" s="2">
        <v>45261</v>
      </c>
      <c r="B37" s="3">
        <f>+C37+D37+E37+F37</f>
        <v>188005.79568551003</v>
      </c>
      <c r="C37" s="3">
        <v>85038.369594400006</v>
      </c>
      <c r="D37" s="3">
        <v>11207.771678999999</v>
      </c>
      <c r="E37" s="3">
        <v>59203.979072560003</v>
      </c>
      <c r="F37" s="3">
        <v>32555.675339549998</v>
      </c>
    </row>
    <row r="38" spans="1:7" x14ac:dyDescent="0.25">
      <c r="A38" s="2">
        <v>45292</v>
      </c>
      <c r="B38" s="3">
        <f t="shared" ref="B38:B54" si="1">+C38+D38+E38+F38</f>
        <v>187764.20697589</v>
      </c>
      <c r="C38" s="3">
        <v>86109.523930399999</v>
      </c>
      <c r="D38" s="3">
        <v>12855.044673</v>
      </c>
      <c r="E38" s="3">
        <v>59214.37918992</v>
      </c>
      <c r="F38" s="3">
        <v>29585.25918257</v>
      </c>
    </row>
    <row r="39" spans="1:7" x14ac:dyDescent="0.25">
      <c r="A39" s="2">
        <v>45323</v>
      </c>
      <c r="B39" s="3">
        <f t="shared" si="1"/>
        <v>198973.39606805</v>
      </c>
      <c r="C39" s="3">
        <v>90581.595677399993</v>
      </c>
      <c r="D39" s="3">
        <v>15200.212921</v>
      </c>
      <c r="E39" s="3">
        <v>58754.179516830001</v>
      </c>
      <c r="F39" s="3">
        <v>34437.407952820002</v>
      </c>
    </row>
    <row r="40" spans="1:7" x14ac:dyDescent="0.25">
      <c r="A40" s="2">
        <v>45352</v>
      </c>
      <c r="B40" s="3">
        <f t="shared" si="1"/>
        <v>198589.85573359003</v>
      </c>
      <c r="C40" s="3">
        <v>89035.283443400011</v>
      </c>
      <c r="D40" s="3">
        <v>16632.486199999999</v>
      </c>
      <c r="E40" s="3">
        <v>58123.988787460003</v>
      </c>
      <c r="F40" s="3">
        <v>34798.097302730006</v>
      </c>
    </row>
    <row r="41" spans="1:7" x14ac:dyDescent="0.25">
      <c r="A41" s="2">
        <v>45383</v>
      </c>
      <c r="B41" s="3">
        <f t="shared" si="1"/>
        <v>194584.70275366001</v>
      </c>
      <c r="C41" s="3">
        <v>89901.619893399999</v>
      </c>
      <c r="D41" s="3">
        <v>14920.795801</v>
      </c>
      <c r="E41" s="3">
        <v>56911.790666940004</v>
      </c>
      <c r="F41" s="3">
        <v>32850.496392319998</v>
      </c>
    </row>
    <row r="42" spans="1:7" x14ac:dyDescent="0.25">
      <c r="A42" s="2">
        <v>45413</v>
      </c>
      <c r="B42" s="3">
        <f t="shared" si="1"/>
        <v>191985.43920251</v>
      </c>
      <c r="C42" s="3">
        <v>90253.219354399989</v>
      </c>
      <c r="D42" s="3">
        <v>15971.981019999999</v>
      </c>
      <c r="E42" s="3">
        <v>56512.459360160006</v>
      </c>
      <c r="F42" s="3">
        <v>29247.77946795</v>
      </c>
    </row>
    <row r="43" spans="1:7" x14ac:dyDescent="0.25">
      <c r="A43" s="2">
        <v>45444</v>
      </c>
      <c r="B43" s="3">
        <f t="shared" si="1"/>
        <v>197118.251032</v>
      </c>
      <c r="C43" s="3">
        <v>91133.023184999998</v>
      </c>
      <c r="D43" s="3">
        <v>17668.676959</v>
      </c>
      <c r="E43" s="3">
        <v>55984.563044000002</v>
      </c>
      <c r="F43" s="3">
        <v>32331.987843999999</v>
      </c>
    </row>
    <row r="44" spans="1:7" x14ac:dyDescent="0.25">
      <c r="A44" s="2">
        <v>45474</v>
      </c>
      <c r="B44" s="3">
        <f t="shared" si="1"/>
        <v>195610.28090437999</v>
      </c>
      <c r="C44" s="3">
        <v>90868.151676400012</v>
      </c>
      <c r="D44" s="3">
        <v>18790.596345000002</v>
      </c>
      <c r="E44" s="3">
        <v>55405.982269740001</v>
      </c>
      <c r="F44" s="3">
        <v>30545.550613240001</v>
      </c>
    </row>
    <row r="45" spans="1:7" x14ac:dyDescent="0.25">
      <c r="A45" s="2">
        <v>45505</v>
      </c>
      <c r="B45" s="3">
        <f t="shared" si="1"/>
        <v>194749.65584185999</v>
      </c>
      <c r="C45" s="3">
        <v>89989.975714399989</v>
      </c>
      <c r="D45" s="3">
        <v>20195.29379</v>
      </c>
      <c r="E45" s="3">
        <v>55250.080713339994</v>
      </c>
      <c r="F45" s="3">
        <v>29314.305624119999</v>
      </c>
    </row>
    <row r="46" spans="1:7" x14ac:dyDescent="0.25">
      <c r="A46" s="2">
        <v>45536</v>
      </c>
      <c r="B46" s="3">
        <f t="shared" si="1"/>
        <v>193508.91866671</v>
      </c>
      <c r="C46" s="3">
        <v>90280.665459400014</v>
      </c>
      <c r="D46" s="3">
        <v>22074.321141</v>
      </c>
      <c r="E46" s="3">
        <v>54685.055435679998</v>
      </c>
      <c r="F46" s="3">
        <v>26468.876630630002</v>
      </c>
    </row>
    <row r="47" spans="1:7" x14ac:dyDescent="0.25">
      <c r="A47" s="2">
        <v>45566</v>
      </c>
      <c r="B47" s="3">
        <f t="shared" si="1"/>
        <v>192628.94739985003</v>
      </c>
      <c r="C47" s="3">
        <v>88235.778234400015</v>
      </c>
      <c r="D47" s="3">
        <v>23069.178348000001</v>
      </c>
      <c r="E47" s="3">
        <v>54017.92807034</v>
      </c>
      <c r="F47" s="3">
        <v>27306.062747110002</v>
      </c>
    </row>
    <row r="48" spans="1:7" x14ac:dyDescent="0.25">
      <c r="A48" s="2">
        <v>45597</v>
      </c>
      <c r="B48" s="3">
        <f t="shared" si="1"/>
        <v>207183.73129920999</v>
      </c>
      <c r="C48" s="3">
        <v>87723.37234039999</v>
      </c>
      <c r="D48" s="3">
        <v>9512.7389870000006</v>
      </c>
      <c r="E48" s="3">
        <v>53846.862055089994</v>
      </c>
      <c r="F48" s="3">
        <v>56100.757916720002</v>
      </c>
    </row>
    <row r="49" spans="1:7" x14ac:dyDescent="0.25">
      <c r="A49" s="2">
        <v>45627</v>
      </c>
      <c r="B49" s="3">
        <f t="shared" si="1"/>
        <v>187707.39814871998</v>
      </c>
      <c r="C49" s="3">
        <v>89551.24295439999</v>
      </c>
      <c r="D49" s="3">
        <v>10492.840273</v>
      </c>
      <c r="E49" s="3">
        <v>53741.097186779996</v>
      </c>
      <c r="F49" s="3">
        <v>33922.217734539998</v>
      </c>
    </row>
    <row r="50" spans="1:7" x14ac:dyDescent="0.25">
      <c r="A50" s="2">
        <v>45658</v>
      </c>
      <c r="B50" s="3">
        <f t="shared" si="1"/>
        <v>189281.71066148003</v>
      </c>
      <c r="C50" s="3">
        <v>91352.12850240001</v>
      </c>
      <c r="D50" s="3">
        <v>12226.253343</v>
      </c>
      <c r="E50" s="3">
        <v>53567.8609564</v>
      </c>
      <c r="F50" s="3">
        <v>32135.46785968</v>
      </c>
    </row>
    <row r="51" spans="1:7" x14ac:dyDescent="0.25">
      <c r="A51" s="2">
        <v>45689</v>
      </c>
      <c r="B51" s="3">
        <f t="shared" si="1"/>
        <v>192419.37788324</v>
      </c>
      <c r="C51" s="3">
        <v>92480.890455999994</v>
      </c>
      <c r="D51" s="3">
        <v>14315.477568</v>
      </c>
      <c r="E51" s="3">
        <v>52938.945718459996</v>
      </c>
      <c r="F51" s="3">
        <v>32684.064140779999</v>
      </c>
    </row>
    <row r="52" spans="1:7" x14ac:dyDescent="0.25">
      <c r="A52" s="2">
        <v>45717</v>
      </c>
      <c r="B52" s="3">
        <f t="shared" si="1"/>
        <v>191423.53834116002</v>
      </c>
      <c r="C52" s="3">
        <v>92822.723035000003</v>
      </c>
      <c r="D52" s="3">
        <v>16034.148997</v>
      </c>
      <c r="E52" s="3">
        <v>52629.357376020002</v>
      </c>
      <c r="F52" s="3">
        <v>29937.308933140001</v>
      </c>
      <c r="G52" s="3"/>
    </row>
    <row r="53" spans="1:7" x14ac:dyDescent="0.25">
      <c r="A53" s="2">
        <v>45748</v>
      </c>
      <c r="B53" s="3">
        <f t="shared" si="1"/>
        <v>191983.07308726001</v>
      </c>
      <c r="C53" s="3">
        <v>92923.129864999995</v>
      </c>
      <c r="D53" s="3">
        <v>14963.165435000001</v>
      </c>
      <c r="E53" s="3">
        <v>52559.051662470003</v>
      </c>
      <c r="F53" s="3">
        <v>31537.726124790002</v>
      </c>
      <c r="G53" s="3"/>
    </row>
    <row r="54" spans="1:7" x14ac:dyDescent="0.25">
      <c r="A54" s="2">
        <v>45778</v>
      </c>
      <c r="B54" s="3">
        <f t="shared" si="1"/>
        <v>198131.00603083998</v>
      </c>
      <c r="C54" s="3">
        <v>93039.532621999999</v>
      </c>
      <c r="D54" s="3">
        <v>16500.702423999999</v>
      </c>
      <c r="E54" s="3">
        <v>52530.324475499998</v>
      </c>
      <c r="F54" s="3">
        <v>36060.446509339999</v>
      </c>
    </row>
    <row r="55" spans="1:7" x14ac:dyDescent="0.25">
      <c r="A55" s="2">
        <v>45809</v>
      </c>
      <c r="B55" s="3">
        <f>+C55+D55+E55+F55</f>
        <v>195237.966105</v>
      </c>
      <c r="C55" s="3">
        <v>96739.680731</v>
      </c>
      <c r="D55" s="3">
        <v>18455.995974000001</v>
      </c>
      <c r="E55" s="3">
        <v>52528.584659</v>
      </c>
      <c r="F55" s="3">
        <v>27513.704741000001</v>
      </c>
      <c r="G55" s="33">
        <f>+D55+E55</f>
        <v>70984.580633000005</v>
      </c>
    </row>
    <row r="56" spans="1:7" x14ac:dyDescent="0.25">
      <c r="A56" s="2">
        <v>45839</v>
      </c>
      <c r="B56" s="3">
        <f>+C56+D56+E56+F56</f>
        <v>200242.75925951998</v>
      </c>
      <c r="C56" s="3">
        <v>100212.81626199999</v>
      </c>
      <c r="D56" s="3">
        <v>20047.431488999999</v>
      </c>
      <c r="E56" s="3">
        <v>52497.182231209998</v>
      </c>
      <c r="F56" s="3">
        <v>27485.32927731</v>
      </c>
      <c r="G56" s="33">
        <f>+D56+E56</f>
        <v>72544.613720209993</v>
      </c>
    </row>
    <row r="57" spans="1:7" x14ac:dyDescent="0.25">
      <c r="A57" s="2">
        <v>45870</v>
      </c>
      <c r="B57" s="3">
        <f>+C57+D57+E57+F57</f>
        <v>203471.811456</v>
      </c>
      <c r="C57" s="3">
        <v>103031.082476</v>
      </c>
      <c r="D57" s="3">
        <v>21944.876471</v>
      </c>
      <c r="E57" s="3">
        <v>52650.209710000003</v>
      </c>
      <c r="F57" s="3">
        <v>25845.642799000001</v>
      </c>
    </row>
    <row r="58" spans="1:7" x14ac:dyDescent="0.25">
      <c r="A58" s="2">
        <v>45901</v>
      </c>
      <c r="B58" s="3">
        <f>+C58+D58+E58+F58</f>
        <v>206135.59787999999</v>
      </c>
      <c r="C58" s="33">
        <v>107019.998305</v>
      </c>
      <c r="D58" s="3">
        <v>24201.65913</v>
      </c>
      <c r="E58" s="3">
        <v>51734.270165000002</v>
      </c>
      <c r="F58" s="3">
        <v>23179.670279999998</v>
      </c>
    </row>
    <row r="59" spans="1:7" x14ac:dyDescent="0.25">
      <c r="A59" s="2">
        <v>45931</v>
      </c>
      <c r="B59" s="3">
        <f t="shared" ref="B59:B61" si="2">+C59+D59+E59+F59</f>
        <v>210620.88076599999</v>
      </c>
      <c r="C59" s="33">
        <v>107711.847996</v>
      </c>
      <c r="D59" s="33">
        <v>25620.820239000001</v>
      </c>
      <c r="E59" s="3">
        <v>51646.937841999999</v>
      </c>
      <c r="F59" s="3">
        <v>25641.274689000002</v>
      </c>
    </row>
    <row r="60" spans="1:7" x14ac:dyDescent="0.25">
      <c r="A60" s="2">
        <v>45962</v>
      </c>
      <c r="B60" s="3">
        <f t="shared" si="2"/>
        <v>221894.04474500002</v>
      </c>
      <c r="C60" s="33">
        <v>110869.99139</v>
      </c>
      <c r="D60" s="33">
        <v>11080.241754000001</v>
      </c>
      <c r="E60" s="3">
        <v>51680.282883</v>
      </c>
      <c r="F60" s="3">
        <v>48263.528718000001</v>
      </c>
    </row>
    <row r="61" spans="1:7" x14ac:dyDescent="0.25">
      <c r="A61" s="2">
        <v>45992</v>
      </c>
      <c r="B61" s="3">
        <f t="shared" si="2"/>
        <v>214639.09729099998</v>
      </c>
      <c r="C61" s="33">
        <v>114965.343452</v>
      </c>
      <c r="D61" s="33">
        <v>12003.76993</v>
      </c>
      <c r="E61" s="3">
        <v>51956.527615999999</v>
      </c>
      <c r="F61" s="3">
        <v>35713.456293000003</v>
      </c>
    </row>
    <row r="62" spans="1:7" x14ac:dyDescent="0.25">
      <c r="B62" s="33"/>
    </row>
  </sheetData>
  <mergeCells count="1">
    <mergeCell ref="H3:K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5B799-880A-4B35-8E3F-F2A0ED71F044}">
  <dimension ref="A1:Z115"/>
  <sheetViews>
    <sheetView tabSelected="1" zoomScale="70" zoomScaleNormal="70" workbookViewId="0">
      <pane ySplit="1" topLeftCell="A62" activePane="bottomLeft" state="frozen"/>
      <selection pane="bottomLeft" activeCell="F81" sqref="F81"/>
    </sheetView>
  </sheetViews>
  <sheetFormatPr baseColWidth="10" defaultRowHeight="15" x14ac:dyDescent="0.25"/>
  <cols>
    <col min="1" max="1" width="14.42578125" style="4" customWidth="1"/>
    <col min="2" max="2" width="18.5703125" style="3" bestFit="1" customWidth="1"/>
    <col min="3" max="3" width="18.5703125" style="3" customWidth="1"/>
    <col min="4" max="5" width="10.5703125" style="5"/>
    <col min="6" max="6" width="16.42578125" style="5" bestFit="1" customWidth="1"/>
    <col min="7" max="7" width="20.42578125" style="5" bestFit="1" customWidth="1"/>
    <col min="8" max="8" width="18.42578125" style="3" customWidth="1"/>
    <col min="9" max="9" width="9.5703125" style="7" customWidth="1"/>
  </cols>
  <sheetData>
    <row r="1" spans="1:26" ht="23.25" x14ac:dyDescent="0.25">
      <c r="A1" s="4" t="s">
        <v>1</v>
      </c>
      <c r="B1" s="27" t="s">
        <v>10</v>
      </c>
      <c r="C1" s="27" t="s">
        <v>11</v>
      </c>
      <c r="D1" s="28" t="s">
        <v>6</v>
      </c>
      <c r="E1" s="5" t="s">
        <v>7</v>
      </c>
      <c r="F1" s="5" t="s">
        <v>8</v>
      </c>
      <c r="G1" s="28" t="s">
        <v>9</v>
      </c>
      <c r="H1" s="8" t="s">
        <v>45</v>
      </c>
    </row>
    <row r="2" spans="1:26" x14ac:dyDescent="0.25">
      <c r="A2" s="2">
        <v>44197</v>
      </c>
      <c r="B2" s="3">
        <v>73465.213948000004</v>
      </c>
      <c r="C2" s="3">
        <v>115326.09485393998</v>
      </c>
      <c r="D2" s="5">
        <v>6.56</v>
      </c>
      <c r="E2" s="5">
        <v>1.7</v>
      </c>
      <c r="F2" s="5">
        <v>3.38</v>
      </c>
      <c r="G2" s="5">
        <v>4.9520364188163875</v>
      </c>
      <c r="H2" s="3">
        <v>30.582708</v>
      </c>
      <c r="I2" s="7">
        <f>H2/B2</f>
        <v>4.1628828606756645E-4</v>
      </c>
    </row>
    <row r="3" spans="1:26" x14ac:dyDescent="0.25">
      <c r="A3" s="2">
        <v>44228</v>
      </c>
      <c r="B3" s="3">
        <v>73772.071054</v>
      </c>
      <c r="C3" s="3">
        <v>117671.70903139</v>
      </c>
      <c r="D3" s="5">
        <v>6.5</v>
      </c>
      <c r="E3" s="5">
        <v>1.69</v>
      </c>
      <c r="F3" s="5">
        <v>3.35</v>
      </c>
      <c r="G3" s="5">
        <v>4.8861510918077649</v>
      </c>
      <c r="H3" s="3">
        <v>573.4735271016915</v>
      </c>
      <c r="I3" s="7">
        <f t="shared" ref="I3:I31" si="0">H3/B3</f>
        <v>7.7735858422887149E-3</v>
      </c>
      <c r="K3" s="38" t="s">
        <v>20</v>
      </c>
      <c r="L3" s="38"/>
      <c r="M3" s="38"/>
      <c r="N3" s="38"/>
      <c r="O3" t="s">
        <v>18</v>
      </c>
      <c r="V3" s="38" t="s">
        <v>20</v>
      </c>
      <c r="W3" s="38"/>
      <c r="X3" s="38"/>
      <c r="Y3" s="38"/>
      <c r="Z3" t="s">
        <v>18</v>
      </c>
    </row>
    <row r="4" spans="1:26" x14ac:dyDescent="0.25">
      <c r="A4" s="2">
        <v>44256</v>
      </c>
      <c r="B4" s="3">
        <v>74767.064746999997</v>
      </c>
      <c r="C4" s="3">
        <v>123182.03024956</v>
      </c>
      <c r="D4" s="5">
        <v>6.4</v>
      </c>
      <c r="E4" s="5">
        <v>1.7096103752559246</v>
      </c>
      <c r="F4" s="5">
        <v>3.3287370158533496</v>
      </c>
      <c r="G4" s="5">
        <v>4.7474236411238468</v>
      </c>
      <c r="H4" s="3">
        <v>334.56443000000002</v>
      </c>
      <c r="I4" s="7">
        <f t="shared" si="0"/>
        <v>4.4747567813731015E-3</v>
      </c>
    </row>
    <row r="5" spans="1:26" x14ac:dyDescent="0.25">
      <c r="A5" s="2">
        <v>44287</v>
      </c>
      <c r="B5" s="3">
        <v>75881.322916999998</v>
      </c>
      <c r="C5" s="3">
        <v>126697.74684475998</v>
      </c>
      <c r="D5" s="5">
        <v>6.32</v>
      </c>
      <c r="E5" s="5">
        <v>1.74</v>
      </c>
      <c r="F5" s="5">
        <v>3.26</v>
      </c>
      <c r="G5" s="5">
        <v>4.632030481915808</v>
      </c>
      <c r="H5" s="3">
        <v>278.07418000000001</v>
      </c>
      <c r="I5" s="7">
        <f t="shared" si="0"/>
        <v>3.6645932004132462E-3</v>
      </c>
    </row>
    <row r="6" spans="1:26" x14ac:dyDescent="0.25">
      <c r="A6" s="2">
        <v>44317</v>
      </c>
      <c r="B6" s="3">
        <v>76659.537345000004</v>
      </c>
      <c r="C6" s="3">
        <v>130038.22231935001</v>
      </c>
      <c r="D6" s="5">
        <v>6.27</v>
      </c>
      <c r="E6" s="5">
        <v>1.6387897534126086</v>
      </c>
      <c r="F6" s="5">
        <v>3.25397145520621</v>
      </c>
      <c r="G6" s="5">
        <v>4.5436110470196285</v>
      </c>
      <c r="H6" s="3">
        <v>625.48145399999999</v>
      </c>
      <c r="I6" s="7">
        <f t="shared" si="0"/>
        <v>8.1592124823956554E-3</v>
      </c>
    </row>
    <row r="7" spans="1:26" x14ac:dyDescent="0.25">
      <c r="A7" s="2">
        <v>44348</v>
      </c>
      <c r="B7" s="3">
        <v>77468.472332000005</v>
      </c>
      <c r="C7" s="3">
        <v>126681.16903562001</v>
      </c>
      <c r="D7" s="5">
        <v>6.23</v>
      </c>
      <c r="E7" s="5">
        <v>1.7066658643512129</v>
      </c>
      <c r="F7" s="5">
        <v>3.2367187937909083</v>
      </c>
      <c r="G7" s="5">
        <v>4.6575746657818771</v>
      </c>
      <c r="H7" s="3">
        <v>304.87300399999998</v>
      </c>
      <c r="I7" s="7">
        <f t="shared" si="0"/>
        <v>3.9354461863328324E-3</v>
      </c>
    </row>
    <row r="8" spans="1:26" x14ac:dyDescent="0.25">
      <c r="A8" s="2">
        <v>44378</v>
      </c>
      <c r="B8" s="3">
        <v>77975.239790000007</v>
      </c>
      <c r="C8" s="3">
        <v>126148.37535729998</v>
      </c>
      <c r="D8" s="5">
        <v>6.21</v>
      </c>
      <c r="E8" s="5">
        <v>1.7243770914406673</v>
      </c>
      <c r="F8" s="5">
        <v>3.2245247737801108</v>
      </c>
      <c r="G8" s="5">
        <v>4.7014057760508585</v>
      </c>
      <c r="H8" s="3">
        <v>254.602677</v>
      </c>
      <c r="I8" s="7">
        <f t="shared" si="0"/>
        <v>3.2651733766473354E-3</v>
      </c>
    </row>
    <row r="9" spans="1:26" x14ac:dyDescent="0.25">
      <c r="A9" s="2">
        <v>44409</v>
      </c>
      <c r="B9" s="3">
        <v>78706.551277999999</v>
      </c>
      <c r="C9" s="3">
        <v>127282.9083025</v>
      </c>
      <c r="D9" s="5">
        <v>6.17</v>
      </c>
      <c r="E9" s="5">
        <v>1.7438466116893609</v>
      </c>
      <c r="F9" s="5">
        <v>3.2264203793230228</v>
      </c>
      <c r="G9" s="5">
        <v>4.7070512787019609</v>
      </c>
      <c r="H9" s="3">
        <v>237.70465200000001</v>
      </c>
      <c r="I9" s="7">
        <f t="shared" si="0"/>
        <v>3.0201380716123826E-3</v>
      </c>
    </row>
    <row r="10" spans="1:26" x14ac:dyDescent="0.25">
      <c r="A10" s="2">
        <v>44440</v>
      </c>
      <c r="B10" s="3">
        <v>80386.805416999996</v>
      </c>
      <c r="C10" s="3">
        <v>129910.25194528</v>
      </c>
      <c r="D10" s="5">
        <v>6.15</v>
      </c>
      <c r="E10" s="5">
        <v>1.7342278200703158</v>
      </c>
      <c r="F10" s="5">
        <v>3.1340370506638617</v>
      </c>
      <c r="G10" s="5">
        <v>4.6990320651714566</v>
      </c>
      <c r="H10" s="3">
        <v>168.53287</v>
      </c>
      <c r="I10" s="7">
        <f t="shared" si="0"/>
        <v>2.0965240393090567E-3</v>
      </c>
    </row>
    <row r="11" spans="1:26" x14ac:dyDescent="0.25">
      <c r="A11" s="2">
        <v>44470</v>
      </c>
      <c r="B11" s="3">
        <v>81623.998382000005</v>
      </c>
      <c r="C11" s="3">
        <v>133036.41907526</v>
      </c>
      <c r="D11" s="5">
        <v>6.14</v>
      </c>
      <c r="E11" s="5">
        <v>1.7700945673855035</v>
      </c>
      <c r="F11" s="5">
        <v>3.1312064712582051</v>
      </c>
      <c r="G11" s="5">
        <v>4.6825143563289586</v>
      </c>
      <c r="H11" s="3">
        <v>210.48352600000001</v>
      </c>
      <c r="I11" s="7">
        <f t="shared" si="0"/>
        <v>2.5786965864492192E-3</v>
      </c>
    </row>
    <row r="12" spans="1:26" x14ac:dyDescent="0.25">
      <c r="A12" s="2">
        <v>44501</v>
      </c>
      <c r="B12" s="3">
        <v>82695.78284</v>
      </c>
      <c r="C12" s="3">
        <v>147448.94811299999</v>
      </c>
      <c r="D12" s="5">
        <v>6.12</v>
      </c>
      <c r="E12" s="5">
        <v>1.6594826618612295</v>
      </c>
      <c r="F12" s="5">
        <v>3.2793570063157493</v>
      </c>
      <c r="G12" s="5">
        <v>4.2355508612418955</v>
      </c>
      <c r="H12" s="3">
        <v>168.987809</v>
      </c>
      <c r="I12" s="7">
        <f t="shared" si="0"/>
        <v>2.043487626533E-3</v>
      </c>
    </row>
    <row r="13" spans="1:26" x14ac:dyDescent="0.25">
      <c r="A13" s="2">
        <v>44531</v>
      </c>
      <c r="B13" s="3">
        <v>79148.030771000005</v>
      </c>
      <c r="C13" s="3">
        <v>125992.91092023998</v>
      </c>
      <c r="D13" s="5">
        <v>6.07</v>
      </c>
      <c r="E13" s="5">
        <v>1.74</v>
      </c>
      <c r="F13" s="5">
        <v>3.14</v>
      </c>
      <c r="G13" s="5">
        <v>4.5616049997428698</v>
      </c>
      <c r="H13" s="3">
        <v>209.75199599999999</v>
      </c>
      <c r="I13" s="7">
        <f t="shared" si="0"/>
        <v>2.6501227378212112E-3</v>
      </c>
    </row>
    <row r="14" spans="1:26" x14ac:dyDescent="0.25">
      <c r="A14" s="2">
        <v>44562</v>
      </c>
      <c r="B14" s="3">
        <v>81436.113307000007</v>
      </c>
      <c r="C14" s="3">
        <v>125091.32397415001</v>
      </c>
      <c r="D14" s="5">
        <v>6.02</v>
      </c>
      <c r="E14" s="5">
        <v>1.730252191920739</v>
      </c>
      <c r="F14" s="5">
        <v>3.0868866990817971</v>
      </c>
      <c r="G14" s="5">
        <v>4.6349705860803185</v>
      </c>
      <c r="H14" s="3">
        <v>503.82922600000001</v>
      </c>
      <c r="I14" s="7">
        <f t="shared" si="0"/>
        <v>6.1868034406388148E-3</v>
      </c>
    </row>
    <row r="15" spans="1:26" x14ac:dyDescent="0.25">
      <c r="A15" s="2">
        <v>44593</v>
      </c>
      <c r="B15" s="3">
        <v>81607.054306610007</v>
      </c>
      <c r="C15" s="3">
        <v>127021.53211114001</v>
      </c>
      <c r="D15" s="5">
        <v>6.01</v>
      </c>
      <c r="E15" s="5">
        <v>1.7222671068135418</v>
      </c>
      <c r="F15" s="5">
        <v>3.0370969970216914</v>
      </c>
      <c r="G15" s="5">
        <v>4.6088558550096552</v>
      </c>
      <c r="H15" s="3">
        <v>140.48452599999999</v>
      </c>
      <c r="I15" s="7">
        <f t="shared" si="0"/>
        <v>1.7214752718824825E-3</v>
      </c>
    </row>
    <row r="16" spans="1:26" x14ac:dyDescent="0.25">
      <c r="A16" s="2">
        <v>44621</v>
      </c>
      <c r="B16" s="3">
        <v>81954.331266609996</v>
      </c>
      <c r="C16" s="3">
        <v>134581.3241238</v>
      </c>
      <c r="D16" s="5">
        <v>6.02</v>
      </c>
      <c r="E16" s="5">
        <v>1.7137311310122867</v>
      </c>
      <c r="F16" s="5">
        <v>2.9717506957344164</v>
      </c>
      <c r="G16" s="5">
        <v>4.4240334996378401</v>
      </c>
      <c r="H16" s="3">
        <v>345.06838099999999</v>
      </c>
      <c r="I16" s="7">
        <f t="shared" si="0"/>
        <v>4.2104959636293012E-3</v>
      </c>
    </row>
    <row r="17" spans="1:15" x14ac:dyDescent="0.25">
      <c r="A17" s="2">
        <v>44652</v>
      </c>
      <c r="B17" s="3">
        <v>81239.419766609994</v>
      </c>
      <c r="C17" s="3">
        <v>130249.81631109999</v>
      </c>
      <c r="D17" s="5">
        <v>6.12</v>
      </c>
      <c r="E17" s="5">
        <v>1.77</v>
      </c>
      <c r="F17" s="5">
        <v>3.1069359322950998</v>
      </c>
      <c r="G17" s="5">
        <v>4.6065727212545466</v>
      </c>
      <c r="H17" s="3">
        <v>351.08195000000001</v>
      </c>
      <c r="I17" s="7">
        <f t="shared" si="0"/>
        <v>4.321571362875456E-3</v>
      </c>
    </row>
    <row r="18" spans="1:15" x14ac:dyDescent="0.25">
      <c r="A18" s="2">
        <v>44682</v>
      </c>
      <c r="B18" s="3">
        <v>81082.510229609994</v>
      </c>
      <c r="C18" s="3">
        <v>132918.72119257</v>
      </c>
      <c r="D18" s="5">
        <v>6.39</v>
      </c>
      <c r="E18" s="5">
        <v>1.64</v>
      </c>
      <c r="F18" s="5">
        <v>2.79</v>
      </c>
      <c r="G18" s="5">
        <v>4.6481424021935069</v>
      </c>
      <c r="H18" s="3">
        <v>923.67903899999999</v>
      </c>
      <c r="I18" s="7">
        <f t="shared" si="0"/>
        <v>1.1391840686534241E-2</v>
      </c>
    </row>
    <row r="19" spans="1:15" x14ac:dyDescent="0.25">
      <c r="A19" s="2">
        <v>44713</v>
      </c>
      <c r="B19" s="3">
        <v>82317.524451610007</v>
      </c>
      <c r="C19" s="3">
        <v>129052.01007420001</v>
      </c>
      <c r="D19" s="5">
        <v>6.65</v>
      </c>
      <c r="E19" s="5">
        <v>1.72</v>
      </c>
      <c r="F19" s="5">
        <v>2.77</v>
      </c>
      <c r="G19" s="5">
        <v>4.9880565091989331</v>
      </c>
      <c r="H19" s="3">
        <v>791.217491</v>
      </c>
      <c r="I19" s="7">
        <f t="shared" si="0"/>
        <v>9.6117746041441479E-3</v>
      </c>
    </row>
    <row r="20" spans="1:15" x14ac:dyDescent="0.25">
      <c r="A20" s="2">
        <v>44743</v>
      </c>
      <c r="B20" s="3">
        <v>80154.970491610002</v>
      </c>
      <c r="C20" s="3">
        <v>127658.73222194999</v>
      </c>
      <c r="D20" s="5">
        <v>6.89</v>
      </c>
      <c r="E20" s="5">
        <v>1.71</v>
      </c>
      <c r="F20" s="5">
        <v>2.74</v>
      </c>
      <c r="G20" s="5">
        <v>5.0885814600979957</v>
      </c>
      <c r="H20" s="3">
        <v>2126.6262660000002</v>
      </c>
      <c r="I20" s="7">
        <f t="shared" si="0"/>
        <v>2.6531433458921914E-2</v>
      </c>
    </row>
    <row r="21" spans="1:15" x14ac:dyDescent="0.25">
      <c r="A21" s="2">
        <v>44774</v>
      </c>
      <c r="B21" s="3">
        <v>81139.092000000004</v>
      </c>
      <c r="C21" s="3">
        <v>127578.30303737</v>
      </c>
      <c r="D21" s="5">
        <v>7.5</v>
      </c>
      <c r="E21" s="5">
        <v>1.72</v>
      </c>
      <c r="F21" s="5">
        <v>2.74</v>
      </c>
      <c r="G21" s="5">
        <v>5.5387545263024363</v>
      </c>
      <c r="H21" s="3">
        <v>241.04706400000001</v>
      </c>
      <c r="I21" s="7">
        <f t="shared" si="0"/>
        <v>2.9707882853803689E-3</v>
      </c>
    </row>
    <row r="22" spans="1:15" x14ac:dyDescent="0.25">
      <c r="A22" s="2">
        <v>44805</v>
      </c>
      <c r="B22" s="3">
        <v>79904.874540999997</v>
      </c>
      <c r="C22" s="3">
        <v>126427.88817551</v>
      </c>
      <c r="D22" s="5">
        <v>8.06</v>
      </c>
      <c r="E22" s="5">
        <v>1.73</v>
      </c>
      <c r="F22" s="5">
        <v>2.72</v>
      </c>
      <c r="G22" s="5">
        <v>5.8833014153063736</v>
      </c>
      <c r="H22" s="3">
        <v>1524.663407</v>
      </c>
      <c r="I22" s="7">
        <f t="shared" si="0"/>
        <v>1.9080981176156905E-2</v>
      </c>
    </row>
    <row r="23" spans="1:15" x14ac:dyDescent="0.25">
      <c r="A23" s="2">
        <v>44835</v>
      </c>
      <c r="B23" s="3">
        <v>79059.218022000001</v>
      </c>
      <c r="C23" s="3">
        <v>126170.96517797999</v>
      </c>
      <c r="D23" s="5">
        <v>8.7364124516043038</v>
      </c>
      <c r="E23" s="5">
        <v>1.74</v>
      </c>
      <c r="F23" s="5">
        <v>2.7</v>
      </c>
      <c r="G23" s="5">
        <v>6.2852315336663986</v>
      </c>
      <c r="H23" s="3">
        <v>1403.8268109999999</v>
      </c>
      <c r="I23" s="7">
        <f t="shared" si="0"/>
        <v>1.7756649333533169E-2</v>
      </c>
    </row>
    <row r="24" spans="1:15" x14ac:dyDescent="0.25">
      <c r="A24" s="2">
        <v>44866</v>
      </c>
      <c r="B24" s="3">
        <v>80080.081797000006</v>
      </c>
      <c r="C24" s="3">
        <v>139924.10505346998</v>
      </c>
      <c r="D24" s="5">
        <v>9.2799999999999994</v>
      </c>
      <c r="E24" s="5">
        <v>1.63</v>
      </c>
      <c r="F24" s="5">
        <v>2.95</v>
      </c>
      <c r="G24" s="5">
        <v>6.0812076083024662</v>
      </c>
      <c r="H24" s="3">
        <v>1807.300313</v>
      </c>
      <c r="I24" s="7">
        <f t="shared" si="0"/>
        <v>2.2568662174714534E-2</v>
      </c>
    </row>
    <row r="25" spans="1:15" x14ac:dyDescent="0.25">
      <c r="A25" s="2">
        <v>44896</v>
      </c>
      <c r="B25" s="3">
        <v>80687.643922000003</v>
      </c>
      <c r="C25" s="3">
        <v>121164.38330864999</v>
      </c>
      <c r="D25" s="5">
        <v>10.33</v>
      </c>
      <c r="E25" s="5">
        <v>1.6531287379772885</v>
      </c>
      <c r="F25" s="5">
        <v>2.8627830089220558</v>
      </c>
      <c r="G25" s="5">
        <v>7.5218020335174245</v>
      </c>
      <c r="H25" s="3">
        <v>606.384772</v>
      </c>
      <c r="I25" s="7">
        <f t="shared" si="0"/>
        <v>7.5152122744615831E-3</v>
      </c>
    </row>
    <row r="26" spans="1:15" x14ac:dyDescent="0.25">
      <c r="A26" s="2">
        <v>44927</v>
      </c>
      <c r="B26" s="3">
        <v>80695.194269</v>
      </c>
      <c r="C26" s="3">
        <v>119283.91715757</v>
      </c>
      <c r="D26" s="5">
        <v>11.17</v>
      </c>
      <c r="E26" s="5">
        <v>1.6973565147308991</v>
      </c>
      <c r="F26" s="5">
        <v>2.8186649960624592</v>
      </c>
      <c r="G26" s="5">
        <v>8.2046370201127896</v>
      </c>
      <c r="H26" s="3">
        <v>575.80768899999998</v>
      </c>
      <c r="I26" s="7">
        <f t="shared" si="0"/>
        <v>7.1355883608201836E-3</v>
      </c>
      <c r="K26" s="38" t="s">
        <v>20</v>
      </c>
      <c r="L26" s="38"/>
      <c r="M26" s="38"/>
      <c r="N26" s="38"/>
      <c r="O26" t="s">
        <v>18</v>
      </c>
    </row>
    <row r="27" spans="1:15" x14ac:dyDescent="0.25">
      <c r="A27" s="2">
        <v>44958</v>
      </c>
      <c r="B27" s="3">
        <v>81073.982497999998</v>
      </c>
      <c r="C27" s="3">
        <v>125008.51064371999</v>
      </c>
      <c r="D27" s="5">
        <v>11.713956000745092</v>
      </c>
      <c r="E27" s="5">
        <v>1.63</v>
      </c>
      <c r="F27" s="5">
        <v>2.7950022047972323</v>
      </c>
      <c r="G27" s="5">
        <v>8.2884696220951444</v>
      </c>
      <c r="H27" s="3">
        <v>221.907758</v>
      </c>
      <c r="I27" s="7">
        <f t="shared" si="0"/>
        <v>2.7371019797315893E-3</v>
      </c>
    </row>
    <row r="28" spans="1:15" x14ac:dyDescent="0.25">
      <c r="A28" s="2">
        <v>44986</v>
      </c>
      <c r="B28" s="3">
        <f>+Hoja1!C28</f>
        <v>82634.711209000001</v>
      </c>
      <c r="C28" s="3">
        <f>+Hoja1!B28</f>
        <v>125378.32540272</v>
      </c>
      <c r="D28" s="5">
        <v>12.26</v>
      </c>
      <c r="E28" s="5">
        <v>1.6806646426590903</v>
      </c>
      <c r="F28" s="5">
        <v>2.7602118189444957</v>
      </c>
      <c r="G28" s="5">
        <v>8.8974679093165925</v>
      </c>
      <c r="H28" s="3">
        <v>172.72103200000001</v>
      </c>
      <c r="I28" s="7">
        <f t="shared" si="0"/>
        <v>2.0901752964701888E-3</v>
      </c>
    </row>
    <row r="29" spans="1:15" x14ac:dyDescent="0.25">
      <c r="A29" s="2">
        <v>45017</v>
      </c>
      <c r="B29" s="3">
        <v>83229.723125000004</v>
      </c>
      <c r="C29" s="3">
        <f>+Hoja1!B29</f>
        <v>127634.47442778001</v>
      </c>
      <c r="D29" s="5">
        <v>12.577691276744266</v>
      </c>
      <c r="E29" s="5">
        <v>1.7171554549403016</v>
      </c>
      <c r="F29" s="5">
        <v>2.8007796730556329</v>
      </c>
      <c r="G29" s="5">
        <v>9.065548499307118</v>
      </c>
      <c r="H29" s="3">
        <v>474.14702299999999</v>
      </c>
      <c r="I29" s="7">
        <f t="shared" si="0"/>
        <v>5.6968472944202162E-3</v>
      </c>
    </row>
    <row r="30" spans="1:15" x14ac:dyDescent="0.25">
      <c r="A30" s="2">
        <v>45047</v>
      </c>
      <c r="B30" s="3">
        <v>84032.610538399997</v>
      </c>
      <c r="C30" s="3">
        <v>133896.26069831999</v>
      </c>
      <c r="D30" s="5">
        <v>12.835956546983159</v>
      </c>
      <c r="E30" s="5">
        <v>1.5472735445626915</v>
      </c>
      <c r="F30" s="5">
        <v>2.7845573411401507</v>
      </c>
      <c r="G30" s="5">
        <v>8.7659360857289439</v>
      </c>
      <c r="H30" s="3">
        <v>267.786205</v>
      </c>
      <c r="I30" s="7">
        <f t="shared" si="0"/>
        <v>3.1866938713944982E-3</v>
      </c>
    </row>
    <row r="31" spans="1:15" x14ac:dyDescent="0.25">
      <c r="A31" s="2">
        <v>45078</v>
      </c>
      <c r="B31" s="3">
        <f>+Hoja1!C31</f>
        <v>86121.546470400004</v>
      </c>
      <c r="C31" s="3">
        <f>+Hoja1!B31</f>
        <v>129692.17224812001</v>
      </c>
      <c r="D31" s="5">
        <v>13.03</v>
      </c>
      <c r="E31" s="5">
        <v>1.63</v>
      </c>
      <c r="F31" s="5">
        <v>2.78</v>
      </c>
      <c r="G31" s="5">
        <v>9.3481134938089507</v>
      </c>
      <c r="H31" s="3">
        <v>391.54470800000001</v>
      </c>
      <c r="I31" s="7">
        <f t="shared" si="0"/>
        <v>4.5464198455211673E-3</v>
      </c>
    </row>
    <row r="32" spans="1:15" x14ac:dyDescent="0.25">
      <c r="A32" s="2">
        <v>45108</v>
      </c>
      <c r="B32" s="3">
        <f>+Hoja1!C32</f>
        <v>87260.802715400016</v>
      </c>
      <c r="C32" s="3">
        <f>+Hoja1!B32</f>
        <v>129758.17161578001</v>
      </c>
      <c r="D32" s="5">
        <v>13.11</v>
      </c>
      <c r="E32" s="5">
        <v>1.64</v>
      </c>
      <c r="F32" s="5">
        <v>2.77</v>
      </c>
      <c r="G32" s="5">
        <v>9.5126997705153915</v>
      </c>
      <c r="H32" s="3">
        <v>1092.0679150000001</v>
      </c>
      <c r="I32" s="7">
        <f t="shared" ref="I32" si="1">H32/B32</f>
        <v>1.2514988185036133E-2</v>
      </c>
    </row>
    <row r="33" spans="1:9" x14ac:dyDescent="0.25">
      <c r="A33" s="2">
        <v>45139</v>
      </c>
      <c r="B33" s="3">
        <f>+Hoja1!C33</f>
        <v>87102.781121399996</v>
      </c>
      <c r="C33" s="3">
        <f>+Hoja1!B33</f>
        <v>132228.45240022999</v>
      </c>
      <c r="D33" s="5">
        <v>13.17</v>
      </c>
      <c r="E33" s="5">
        <v>1.67</v>
      </c>
      <c r="F33" s="5">
        <v>2.78</v>
      </c>
      <c r="G33" s="5">
        <v>9.4134004313967079</v>
      </c>
      <c r="H33" s="3">
        <v>316.56073600000002</v>
      </c>
      <c r="I33" s="7">
        <f t="shared" ref="I33:I41" si="2">H33/B33</f>
        <v>3.634335573726305E-3</v>
      </c>
    </row>
    <row r="34" spans="1:9" x14ac:dyDescent="0.25">
      <c r="A34" s="2">
        <v>45170</v>
      </c>
      <c r="B34" s="3">
        <f>+Hoja1!C34</f>
        <v>86266.347602400012</v>
      </c>
      <c r="C34" s="3">
        <f>+Hoja1!B34</f>
        <v>133134.96050850002</v>
      </c>
      <c r="D34" s="5">
        <v>13.197407462702648</v>
      </c>
      <c r="E34" s="5">
        <v>1.6857608467187271</v>
      </c>
      <c r="F34" s="5">
        <v>2.7693172053903772</v>
      </c>
      <c r="G34" s="5">
        <v>9.3249915188419017</v>
      </c>
      <c r="H34" s="3">
        <v>450.91626400000001</v>
      </c>
      <c r="I34" s="7">
        <f t="shared" si="2"/>
        <v>5.2270239384454376E-3</v>
      </c>
    </row>
    <row r="35" spans="1:9" x14ac:dyDescent="0.25">
      <c r="A35" s="2">
        <v>45200</v>
      </c>
      <c r="B35" s="3">
        <v>84746.957992399999</v>
      </c>
      <c r="C35" s="3">
        <v>131587.51297290999</v>
      </c>
      <c r="D35" s="5">
        <v>13.203506596579103</v>
      </c>
      <c r="E35" s="5">
        <v>1.6966876549590861</v>
      </c>
      <c r="F35" s="5">
        <v>2.7639599580907075</v>
      </c>
      <c r="G35" s="5">
        <v>9.2988322512675392</v>
      </c>
      <c r="H35" s="3">
        <v>196.35698300000001</v>
      </c>
      <c r="I35" s="7">
        <f t="shared" si="2"/>
        <v>2.3169797199990242E-3</v>
      </c>
    </row>
    <row r="36" spans="1:9" x14ac:dyDescent="0.25">
      <c r="A36" s="2">
        <v>45231</v>
      </c>
      <c r="B36" s="3">
        <v>85474.42488440001</v>
      </c>
      <c r="C36" s="3">
        <v>141522.23981115001</v>
      </c>
      <c r="D36" s="5">
        <v>13.170191070803247</v>
      </c>
      <c r="E36" s="5">
        <v>1.5913698673450627</v>
      </c>
      <c r="F36" s="5">
        <v>3.0183337405191564</v>
      </c>
      <c r="G36" s="5">
        <v>8.3050135186873302</v>
      </c>
      <c r="H36" s="3">
        <v>249.12222399999999</v>
      </c>
      <c r="I36" s="7">
        <f t="shared" si="2"/>
        <v>2.9145820441251946E-3</v>
      </c>
    </row>
    <row r="37" spans="1:9" x14ac:dyDescent="0.25">
      <c r="A37" s="2">
        <v>45261</v>
      </c>
      <c r="B37" s="3">
        <v>85038.369594400006</v>
      </c>
      <c r="C37" s="3">
        <v>188005.79568551003</v>
      </c>
      <c r="D37" s="5">
        <v>13.037303892755617</v>
      </c>
      <c r="E37" s="5">
        <v>1.6421746206025589</v>
      </c>
      <c r="F37" s="5">
        <v>10.557358604844527</v>
      </c>
      <c r="G37" s="5">
        <v>10.135300704306204</v>
      </c>
      <c r="H37" s="3">
        <v>1103.5206109999999</v>
      </c>
      <c r="I37" s="7">
        <f t="shared" si="2"/>
        <v>1.2976737633416122E-2</v>
      </c>
    </row>
    <row r="38" spans="1:9" x14ac:dyDescent="0.25">
      <c r="A38" s="2">
        <v>45292</v>
      </c>
      <c r="B38" s="3">
        <v>86109.523930399999</v>
      </c>
      <c r="C38" s="3">
        <v>187764.20697589</v>
      </c>
      <c r="D38" s="5">
        <v>13.038457300469888</v>
      </c>
      <c r="E38" s="5">
        <v>1.6574968803677328</v>
      </c>
      <c r="F38" s="5">
        <v>10.377327196667165</v>
      </c>
      <c r="G38" s="5">
        <v>10.22378465496142</v>
      </c>
      <c r="H38" s="3">
        <v>499.27863600000001</v>
      </c>
      <c r="I38" s="7">
        <f t="shared" si="2"/>
        <v>5.7981813533605582E-3</v>
      </c>
    </row>
    <row r="39" spans="1:9" x14ac:dyDescent="0.25">
      <c r="A39" s="2">
        <v>45323</v>
      </c>
      <c r="B39" s="3">
        <v>90581.595677399993</v>
      </c>
      <c r="C39" s="3">
        <v>198973.39606805</v>
      </c>
      <c r="D39" s="5">
        <v>12.860663917280798</v>
      </c>
      <c r="E39" s="5">
        <v>1.6152095955692256</v>
      </c>
      <c r="F39" s="5">
        <v>10.122737790693598</v>
      </c>
      <c r="G39" s="5">
        <v>9.8967201289297897</v>
      </c>
      <c r="H39" s="3">
        <v>360.73408799999999</v>
      </c>
      <c r="I39" s="7">
        <f t="shared" si="2"/>
        <v>3.982421432326376E-3</v>
      </c>
    </row>
    <row r="40" spans="1:9" x14ac:dyDescent="0.25">
      <c r="A40" s="2">
        <v>45352</v>
      </c>
      <c r="B40" s="3">
        <f>+Hoja1!C40</f>
        <v>89035.283443400011</v>
      </c>
      <c r="C40" s="3">
        <f>+Hoja1!B40</f>
        <v>198589.85573359003</v>
      </c>
      <c r="D40" s="5">
        <v>12.684885444233123</v>
      </c>
      <c r="E40" s="5">
        <v>1.7285758750534499</v>
      </c>
      <c r="F40" s="5">
        <v>9.9614190988542859</v>
      </c>
      <c r="G40" s="5">
        <v>9.7398434226545536</v>
      </c>
      <c r="H40" s="3">
        <f>+'Cancelación Anticp'!C40</f>
        <v>4043.130459</v>
      </c>
      <c r="I40" s="7">
        <f t="shared" si="2"/>
        <v>4.5410429468338016E-2</v>
      </c>
    </row>
    <row r="41" spans="1:9" x14ac:dyDescent="0.25">
      <c r="A41" s="2">
        <v>45383</v>
      </c>
      <c r="B41" s="3">
        <v>89901.619893399999</v>
      </c>
      <c r="C41" s="3">
        <v>194584.70275366001</v>
      </c>
      <c r="D41" s="5">
        <v>12.410821109029511</v>
      </c>
      <c r="E41" s="5">
        <v>1.687276003115731</v>
      </c>
      <c r="F41" s="5">
        <v>10.105769971587097</v>
      </c>
      <c r="G41" s="5">
        <v>9.7495041728588099</v>
      </c>
      <c r="H41" s="3">
        <v>206.32628199999999</v>
      </c>
      <c r="I41" s="7">
        <f t="shared" si="2"/>
        <v>2.2950229622630764E-3</v>
      </c>
    </row>
    <row r="42" spans="1:9" x14ac:dyDescent="0.25">
      <c r="A42" s="2">
        <v>45413</v>
      </c>
      <c r="B42" s="3">
        <v>90253.219354400004</v>
      </c>
      <c r="C42" s="3">
        <v>191985.43920251</v>
      </c>
      <c r="D42" s="5">
        <v>12.128640215837828</v>
      </c>
      <c r="E42" s="5">
        <v>1.6941053099578955</v>
      </c>
      <c r="F42" s="5">
        <v>9.9850648697383679</v>
      </c>
      <c r="G42" s="5">
        <v>9.7296935193296701</v>
      </c>
      <c r="H42" s="3">
        <v>307.39010200000001</v>
      </c>
      <c r="I42" s="7">
        <f t="shared" ref="I42:I52" si="3">H42/B42</f>
        <v>3.4058630173951152E-3</v>
      </c>
    </row>
    <row r="43" spans="1:9" x14ac:dyDescent="0.25">
      <c r="A43" s="2">
        <v>45444</v>
      </c>
      <c r="B43" s="3">
        <v>91133.023184999998</v>
      </c>
      <c r="C43" s="3">
        <v>197118.251032</v>
      </c>
      <c r="D43" s="5">
        <v>11.805197805874121</v>
      </c>
      <c r="E43" s="5">
        <v>1.6330803649569701</v>
      </c>
      <c r="F43" s="5">
        <v>8.4174593843883283</v>
      </c>
      <c r="G43" s="5">
        <v>8.8709048855363992</v>
      </c>
      <c r="H43" s="26">
        <v>160.629696</v>
      </c>
      <c r="I43" s="7">
        <f t="shared" si="3"/>
        <v>1.7625849597233461E-3</v>
      </c>
    </row>
    <row r="44" spans="1:9" x14ac:dyDescent="0.25">
      <c r="A44" s="2">
        <v>45474</v>
      </c>
      <c r="B44" s="3">
        <v>90868.151676400012</v>
      </c>
      <c r="C44" s="3">
        <v>195610.28090437999</v>
      </c>
      <c r="D44" s="5">
        <v>11.552063369988602</v>
      </c>
      <c r="E44" s="5">
        <v>1.6695347347819143</v>
      </c>
      <c r="F44" s="5">
        <v>8.7731807913389321</v>
      </c>
      <c r="G44" s="5">
        <v>8.9583149947467806</v>
      </c>
      <c r="H44" s="26">
        <v>678.32309699999996</v>
      </c>
      <c r="I44" s="7">
        <f t="shared" si="3"/>
        <v>7.4649157541538495E-3</v>
      </c>
    </row>
    <row r="45" spans="1:9" x14ac:dyDescent="0.25">
      <c r="A45" s="2">
        <v>45505</v>
      </c>
      <c r="B45" s="3">
        <f>+Hoja1!C45</f>
        <v>89989.975714399989</v>
      </c>
      <c r="C45" s="3">
        <f>+Hoja1!B45</f>
        <v>194749.65584185999</v>
      </c>
      <c r="D45" s="5">
        <v>11.286618929999999</v>
      </c>
      <c r="E45" s="5">
        <v>1.697185374</v>
      </c>
      <c r="F45" s="5">
        <v>8.2307600099999991</v>
      </c>
      <c r="G45" s="5">
        <v>8.659358797191226</v>
      </c>
      <c r="H45" s="26">
        <v>272.73853500000001</v>
      </c>
      <c r="I45" s="7">
        <f t="shared" si="3"/>
        <v>3.0307657362369641E-3</v>
      </c>
    </row>
    <row r="46" spans="1:9" x14ac:dyDescent="0.25">
      <c r="A46" s="2">
        <v>45536</v>
      </c>
      <c r="B46" s="3">
        <f>+Hoja1!C46</f>
        <v>90280.665459400014</v>
      </c>
      <c r="C46" s="3">
        <f>+Hoja1!B46</f>
        <v>193508.91866671</v>
      </c>
      <c r="D46" s="5">
        <v>11.104271574106191</v>
      </c>
      <c r="E46" s="5">
        <v>1.7070888339313828</v>
      </c>
      <c r="F46" s="5">
        <v>7.7389708721852255</v>
      </c>
      <c r="G46" s="5">
        <v>8.4839738770256226</v>
      </c>
      <c r="H46" s="26">
        <v>48.185889000000003</v>
      </c>
      <c r="I46" s="7">
        <f t="shared" si="3"/>
        <v>5.3373431348564446E-4</v>
      </c>
    </row>
    <row r="47" spans="1:9" x14ac:dyDescent="0.25">
      <c r="A47" s="2">
        <v>45566</v>
      </c>
      <c r="B47" s="3">
        <f>+Hoja1!C47</f>
        <v>88235.778234400015</v>
      </c>
      <c r="C47" s="3">
        <f>+Hoja1!B47</f>
        <v>192628.94739985003</v>
      </c>
      <c r="D47" s="5">
        <v>10.934381500000001</v>
      </c>
      <c r="E47" s="5">
        <v>1.7085967790000001</v>
      </c>
      <c r="F47" s="5">
        <v>7.6528740639999997</v>
      </c>
      <c r="G47" s="5">
        <v>8.3133747602058445</v>
      </c>
      <c r="H47" s="26">
        <v>1361.528554</v>
      </c>
      <c r="I47" s="7">
        <f t="shared" si="3"/>
        <v>1.54305722830831E-2</v>
      </c>
    </row>
    <row r="48" spans="1:9" x14ac:dyDescent="0.25">
      <c r="A48" s="2">
        <v>45597</v>
      </c>
      <c r="B48" s="3">
        <f>+Hoja1!C48</f>
        <v>87723.37234039999</v>
      </c>
      <c r="C48" s="3">
        <f>+Hoja1!B48</f>
        <v>207183.73129920999</v>
      </c>
      <c r="D48" s="5">
        <v>10.8266147</v>
      </c>
      <c r="E48" s="5">
        <v>1.6177714620000001</v>
      </c>
      <c r="F48" s="5">
        <v>8.7308307500000009</v>
      </c>
      <c r="G48" s="5">
        <v>7.6921450384192234</v>
      </c>
      <c r="H48" s="9">
        <v>792.85436200000004</v>
      </c>
      <c r="I48" s="7">
        <f t="shared" si="3"/>
        <v>9.0381199542058661E-3</v>
      </c>
    </row>
    <row r="49" spans="1:9" x14ac:dyDescent="0.25">
      <c r="A49" s="2">
        <v>45627</v>
      </c>
      <c r="B49" s="3">
        <f>+Hoja1!C49</f>
        <v>89551.24295439999</v>
      </c>
      <c r="C49" s="3">
        <f>+Hoja1!B49</f>
        <v>187707.39814871998</v>
      </c>
      <c r="D49" s="5">
        <v>10.56235232</v>
      </c>
      <c r="E49" s="5">
        <v>1.650074013</v>
      </c>
      <c r="F49" s="5">
        <v>8.6294400360000001</v>
      </c>
      <c r="G49" s="5">
        <v>8.2902905035090644</v>
      </c>
      <c r="H49" s="9">
        <v>207.906373</v>
      </c>
      <c r="I49" s="7">
        <f t="shared" si="3"/>
        <v>2.3216469826763558E-3</v>
      </c>
    </row>
    <row r="50" spans="1:9" x14ac:dyDescent="0.25">
      <c r="A50" s="2">
        <v>45658</v>
      </c>
      <c r="B50" s="3">
        <f>+Hoja1!C50</f>
        <v>91352.12850240001</v>
      </c>
      <c r="C50" s="3">
        <f>+Hoja1!B50</f>
        <v>189281.71066148003</v>
      </c>
      <c r="D50" s="5">
        <v>10.366406400000001</v>
      </c>
      <c r="E50" s="5">
        <v>1.6540428119999999</v>
      </c>
      <c r="F50" s="5">
        <v>8.4728514300000004</v>
      </c>
      <c r="G50" s="5">
        <v>8.2290594865351032</v>
      </c>
      <c r="H50" s="9">
        <v>286.401928</v>
      </c>
      <c r="I50" s="7">
        <f t="shared" si="3"/>
        <v>3.1351423628019309E-3</v>
      </c>
    </row>
    <row r="51" spans="1:9" x14ac:dyDescent="0.25">
      <c r="A51" s="2">
        <v>45689</v>
      </c>
      <c r="B51" s="3">
        <f>+Hoja1!C51</f>
        <v>92480.890455999994</v>
      </c>
      <c r="C51" s="3">
        <f>+Hoja1!B51</f>
        <v>192419.37788324</v>
      </c>
      <c r="D51" s="5">
        <v>10.175989400000001</v>
      </c>
      <c r="E51" s="5">
        <v>1.6112520159999999</v>
      </c>
      <c r="F51" s="5">
        <v>8.2857949000000009</v>
      </c>
      <c r="G51" s="5">
        <v>8.0605352732782549</v>
      </c>
      <c r="H51" s="3">
        <v>619.50145999999995</v>
      </c>
      <c r="I51" s="7">
        <f t="shared" si="3"/>
        <v>6.698696962641624E-3</v>
      </c>
    </row>
    <row r="52" spans="1:9" x14ac:dyDescent="0.25">
      <c r="A52" s="2">
        <v>45717</v>
      </c>
      <c r="B52" s="3">
        <f>+Hoja1!C52</f>
        <v>92822.723035000003</v>
      </c>
      <c r="C52" s="3">
        <f>+Hoja1!B52</f>
        <v>191423.53834116002</v>
      </c>
      <c r="D52" s="5">
        <v>10.128338299999999</v>
      </c>
      <c r="E52" s="5">
        <v>1.66032749</v>
      </c>
      <c r="F52" s="5">
        <v>8.7527503800000002</v>
      </c>
      <c r="G52" s="5">
        <v>8.3105778062013691</v>
      </c>
      <c r="H52" s="3">
        <f>+'Cancelación Anticp'!C52</f>
        <v>140.01309499999999</v>
      </c>
      <c r="I52" s="7">
        <f t="shared" si="3"/>
        <v>1.5083924541537772E-3</v>
      </c>
    </row>
    <row r="53" spans="1:9" x14ac:dyDescent="0.25">
      <c r="A53" s="2">
        <v>45748</v>
      </c>
      <c r="B53" s="3">
        <f>+Hoja1!C53</f>
        <v>92923.129864999995</v>
      </c>
      <c r="C53" s="3">
        <f>+Hoja1!B53</f>
        <v>191983.07308726001</v>
      </c>
      <c r="D53" s="5">
        <v>10.0995001</v>
      </c>
      <c r="E53" s="5">
        <v>1.684138844</v>
      </c>
      <c r="F53" s="5">
        <v>8.2253657600000007</v>
      </c>
      <c r="G53" s="5">
        <v>8.0579291531173389</v>
      </c>
      <c r="H53" s="3">
        <f>+'Cancelación Anticp'!C53</f>
        <v>362.73032899999998</v>
      </c>
      <c r="I53" s="7">
        <f t="shared" ref="I53:I55" si="4">H53/B53</f>
        <v>3.9035526410591162E-3</v>
      </c>
    </row>
    <row r="54" spans="1:9" x14ac:dyDescent="0.25">
      <c r="A54" s="2">
        <v>45778</v>
      </c>
      <c r="B54" s="3">
        <f>+Hoja1!C54</f>
        <v>93039.532621999999</v>
      </c>
      <c r="C54" s="3">
        <f>+Hoja1!B54</f>
        <v>198131.00603083998</v>
      </c>
      <c r="D54" s="5">
        <v>10.081436099999999</v>
      </c>
      <c r="E54" s="5">
        <v>1.5409827309999999</v>
      </c>
      <c r="F54" s="5">
        <v>8.1051038850000001</v>
      </c>
      <c r="G54" s="5">
        <v>7.8384716439209878</v>
      </c>
      <c r="H54" s="3">
        <f>+'Cancelación Anticp'!C54</f>
        <v>861.01872900000001</v>
      </c>
      <c r="I54" s="7">
        <f t="shared" si="4"/>
        <v>9.254332053645814E-3</v>
      </c>
    </row>
    <row r="55" spans="1:9" x14ac:dyDescent="0.25">
      <c r="A55" s="2">
        <v>45809</v>
      </c>
      <c r="B55" s="3">
        <f>+Hoja1!C55</f>
        <v>96739.680731</v>
      </c>
      <c r="C55" s="3">
        <f>+Hoja1!B55</f>
        <v>195237.966105</v>
      </c>
      <c r="D55" s="5">
        <v>10.2118082572</v>
      </c>
      <c r="E55" s="5">
        <v>1.6531599160999999</v>
      </c>
      <c r="F55" s="5">
        <v>7.9514239083999998</v>
      </c>
      <c r="G55" s="5">
        <v>8.1838591657267692</v>
      </c>
      <c r="H55" s="3">
        <f>+'Cancelación Anticp'!C55</f>
        <v>19.545981000000001</v>
      </c>
      <c r="I55" s="7">
        <f t="shared" si="4"/>
        <v>2.0204719358492298E-4</v>
      </c>
    </row>
    <row r="56" spans="1:9" x14ac:dyDescent="0.25">
      <c r="A56" s="2">
        <v>45839</v>
      </c>
      <c r="B56" s="3">
        <f>+Hoja1!C56</f>
        <v>100212.81626199999</v>
      </c>
      <c r="C56" s="3">
        <f>+Hoja1!B56</f>
        <v>200242.75925951998</v>
      </c>
      <c r="D56" s="5">
        <v>10.30143005</v>
      </c>
      <c r="E56" s="5">
        <v>1.6480597770000001</v>
      </c>
      <c r="F56" s="5">
        <v>7.3483204459999998</v>
      </c>
      <c r="G56" s="5">
        <v>8.0438043703967814</v>
      </c>
      <c r="H56" s="3">
        <f>+'Cancelación Anticp'!C56</f>
        <v>214.567161</v>
      </c>
      <c r="I56" s="7">
        <f t="shared" ref="I56:I61" si="5">H56/B56</f>
        <v>2.1411149691575168E-3</v>
      </c>
    </row>
    <row r="57" spans="1:9" x14ac:dyDescent="0.25">
      <c r="A57" s="2">
        <v>45870</v>
      </c>
      <c r="B57" s="3">
        <f>+Hoja1!C57</f>
        <v>103031.082476</v>
      </c>
      <c r="C57" s="3">
        <f>+Hoja1!B57</f>
        <v>203471.811456</v>
      </c>
      <c r="D57" s="5">
        <v>10.398745229299999</v>
      </c>
      <c r="E57" s="5">
        <v>1.6618448933000001</v>
      </c>
      <c r="F57" s="5">
        <v>7.6950728643000001</v>
      </c>
      <c r="G57" s="5">
        <v>8.4721497218397435</v>
      </c>
      <c r="H57" s="3">
        <f>+'Cancelación Anticp'!C57</f>
        <v>267.68353999999999</v>
      </c>
      <c r="I57" s="7">
        <f t="shared" si="5"/>
        <v>2.5980852920025766E-3</v>
      </c>
    </row>
    <row r="58" spans="1:9" x14ac:dyDescent="0.25">
      <c r="A58" s="2">
        <v>45901</v>
      </c>
      <c r="B58" s="3">
        <f>+Hoja1!C58</f>
        <v>107019.998305</v>
      </c>
      <c r="C58" s="3">
        <f>+Hoja1!B58</f>
        <v>206135.59787999999</v>
      </c>
      <c r="D58" s="5">
        <v>10.4547774312</v>
      </c>
      <c r="E58" s="5">
        <v>1.6809212281000001</v>
      </c>
      <c r="F58" s="5">
        <v>7.5367883701</v>
      </c>
      <c r="G58" s="5">
        <v>8.6971724952942537</v>
      </c>
      <c r="H58" s="3">
        <f>+'Cancelación Anticp'!C58</f>
        <v>272.06645900000001</v>
      </c>
      <c r="I58" s="7">
        <f t="shared" si="5"/>
        <v>2.5422020492340915E-3</v>
      </c>
    </row>
    <row r="59" spans="1:9" x14ac:dyDescent="0.25">
      <c r="A59" s="2">
        <v>45931</v>
      </c>
      <c r="B59" s="3">
        <f>+Hoja1!C59</f>
        <v>107711.847996</v>
      </c>
      <c r="C59" s="3">
        <f>+Hoja1!B59</f>
        <v>210620.88076599999</v>
      </c>
      <c r="D59" s="5">
        <v>10.5189781426</v>
      </c>
      <c r="E59" s="5">
        <v>1.6782831191000001</v>
      </c>
      <c r="F59" s="5">
        <v>7.4436129307999996</v>
      </c>
      <c r="G59" s="5">
        <v>8.5974049389581904</v>
      </c>
      <c r="H59" s="3">
        <f>+'Cancelación Anticp'!C59</f>
        <v>746.92165799999998</v>
      </c>
      <c r="I59" s="7">
        <f t="shared" si="5"/>
        <v>6.9344428853150659E-3</v>
      </c>
    </row>
    <row r="60" spans="1:9" x14ac:dyDescent="0.25">
      <c r="A60" s="2">
        <v>45962</v>
      </c>
      <c r="B60" s="3">
        <f>+Hoja1!C60</f>
        <v>110869.99139</v>
      </c>
      <c r="C60" s="3">
        <f>+Hoja1!B60</f>
        <v>221894.04474500002</v>
      </c>
      <c r="D60" s="5">
        <v>10.5615019217</v>
      </c>
      <c r="E60" s="5">
        <v>4.1633431551999998</v>
      </c>
      <c r="F60" s="5">
        <v>7.5357776497</v>
      </c>
      <c r="G60" s="5">
        <v>8.5503632685190709</v>
      </c>
      <c r="H60" s="3">
        <f>+'Cancelación Anticp'!C60</f>
        <v>631.88958500000001</v>
      </c>
      <c r="I60" s="7">
        <f t="shared" si="5"/>
        <v>5.6993743489818088E-3</v>
      </c>
    </row>
    <row r="61" spans="1:9" x14ac:dyDescent="0.25">
      <c r="A61" s="2">
        <v>45992</v>
      </c>
      <c r="B61" s="3">
        <f>+Hoja1!C61</f>
        <v>114965.343452</v>
      </c>
      <c r="C61" s="3">
        <f>+Hoja1!B61</f>
        <v>214639.09729099998</v>
      </c>
      <c r="H61" s="3">
        <f>+'Cancelación Anticp'!C61</f>
        <v>318.48111399999999</v>
      </c>
      <c r="I61" s="7">
        <f t="shared" si="5"/>
        <v>2.770235833140196E-3</v>
      </c>
    </row>
    <row r="63" spans="1:9" x14ac:dyDescent="0.25">
      <c r="B63" s="35"/>
      <c r="C63" s="35" t="s">
        <v>46</v>
      </c>
      <c r="D63" s="36" t="s">
        <v>47</v>
      </c>
      <c r="F63"/>
    </row>
    <row r="64" spans="1:9" x14ac:dyDescent="0.25">
      <c r="B64" s="35" t="s">
        <v>28</v>
      </c>
      <c r="C64" s="35">
        <f>Hoja1!C61</f>
        <v>114965.343452</v>
      </c>
      <c r="D64" s="36">
        <f>+D61</f>
        <v>0</v>
      </c>
      <c r="F64" s="37">
        <f>+SUMPRODUCT(C64:C66,D64:D66)/SUM(C64:C66)</f>
        <v>0</v>
      </c>
    </row>
    <row r="65" spans="1:7" x14ac:dyDescent="0.25">
      <c r="A65" s="11">
        <v>1000000</v>
      </c>
      <c r="B65" s="35" t="s">
        <v>27</v>
      </c>
      <c r="C65" s="35">
        <f>Hoja1!F61</f>
        <v>35713.456293000003</v>
      </c>
      <c r="D65" s="36">
        <f>+E61</f>
        <v>0</v>
      </c>
    </row>
    <row r="66" spans="1:7" x14ac:dyDescent="0.25">
      <c r="B66" s="35" t="s">
        <v>29</v>
      </c>
      <c r="C66" s="35">
        <f>Hoja1!D61</f>
        <v>12003.76993</v>
      </c>
      <c r="D66" s="36">
        <f>+F61</f>
        <v>0</v>
      </c>
    </row>
    <row r="67" spans="1:7" x14ac:dyDescent="0.25">
      <c r="C67" s="30"/>
    </row>
    <row r="68" spans="1:7" x14ac:dyDescent="0.25">
      <c r="A68" s="4" t="s">
        <v>1</v>
      </c>
      <c r="B68" s="27" t="s">
        <v>10</v>
      </c>
      <c r="C68" s="27" t="s">
        <v>11</v>
      </c>
      <c r="D68" s="28" t="s">
        <v>6</v>
      </c>
      <c r="E68" s="28" t="s">
        <v>9</v>
      </c>
    </row>
    <row r="69" spans="1:7" x14ac:dyDescent="0.25">
      <c r="A69" s="2">
        <v>45627</v>
      </c>
      <c r="B69" s="3">
        <v>89551.24295439999</v>
      </c>
      <c r="C69" s="3">
        <v>187707.39814871998</v>
      </c>
      <c r="D69" s="5">
        <v>10.56235232</v>
      </c>
      <c r="E69" s="5">
        <v>8.2902905035090644</v>
      </c>
    </row>
    <row r="70" spans="1:7" x14ac:dyDescent="0.25">
      <c r="A70" s="2">
        <v>45658</v>
      </c>
      <c r="B70" s="3">
        <v>91352.12850240001</v>
      </c>
      <c r="C70" s="3">
        <v>189281.71066148003</v>
      </c>
      <c r="D70" s="5">
        <v>10.366406400000001</v>
      </c>
      <c r="E70" s="5">
        <v>8.2290594865351032</v>
      </c>
    </row>
    <row r="71" spans="1:7" x14ac:dyDescent="0.25">
      <c r="A71" s="2">
        <v>45689</v>
      </c>
      <c r="B71" s="3">
        <v>92480.890455999994</v>
      </c>
      <c r="C71" s="3">
        <v>192419.37788324</v>
      </c>
      <c r="D71" s="5">
        <v>10.175989400000001</v>
      </c>
      <c r="E71" s="5">
        <v>8.0605352732782549</v>
      </c>
    </row>
    <row r="72" spans="1:7" x14ac:dyDescent="0.25">
      <c r="A72" s="2">
        <v>45717</v>
      </c>
      <c r="B72" s="3">
        <v>92822.723035000003</v>
      </c>
      <c r="C72" s="3">
        <v>191423.53834116002</v>
      </c>
      <c r="D72" s="5">
        <v>10.128338299999999</v>
      </c>
      <c r="E72" s="5">
        <v>8.3105778062013691</v>
      </c>
    </row>
    <row r="73" spans="1:7" x14ac:dyDescent="0.25">
      <c r="A73" s="2">
        <v>45748</v>
      </c>
      <c r="B73" s="3">
        <v>92923.129864999995</v>
      </c>
      <c r="C73" s="3">
        <v>191983.07308726001</v>
      </c>
      <c r="D73" s="5">
        <v>10.0995001</v>
      </c>
      <c r="E73" s="5">
        <v>8.0579291531173389</v>
      </c>
      <c r="G73" s="3"/>
    </row>
    <row r="74" spans="1:7" x14ac:dyDescent="0.25">
      <c r="A74" s="2">
        <v>45778</v>
      </c>
      <c r="B74" s="3">
        <v>93039.532621999999</v>
      </c>
      <c r="C74" s="3">
        <v>198131.00603083998</v>
      </c>
      <c r="D74" s="5">
        <v>10.081436099999999</v>
      </c>
      <c r="E74" s="5">
        <v>7.8384716439209878</v>
      </c>
    </row>
    <row r="75" spans="1:7" x14ac:dyDescent="0.25">
      <c r="A75" s="2">
        <v>45809</v>
      </c>
      <c r="B75" s="3">
        <v>96739.680731</v>
      </c>
      <c r="C75" s="3">
        <v>195237.966105</v>
      </c>
      <c r="D75" s="5">
        <v>10.2118082572</v>
      </c>
      <c r="E75" s="5">
        <v>8.1838591657267692</v>
      </c>
    </row>
    <row r="76" spans="1:7" x14ac:dyDescent="0.25">
      <c r="A76" s="2">
        <v>45839</v>
      </c>
      <c r="B76" s="3">
        <v>100212.81626199999</v>
      </c>
      <c r="C76" s="3">
        <v>200242.75925951998</v>
      </c>
      <c r="D76" s="5">
        <v>10.30143005</v>
      </c>
      <c r="E76" s="5">
        <v>8.0438043703967814</v>
      </c>
      <c r="F76" s="34"/>
    </row>
    <row r="77" spans="1:7" x14ac:dyDescent="0.25">
      <c r="A77" s="2">
        <v>45870</v>
      </c>
      <c r="B77" s="3">
        <v>103031.082476</v>
      </c>
      <c r="C77" s="3">
        <v>203471.811456</v>
      </c>
      <c r="D77" s="5">
        <v>10.398745229299999</v>
      </c>
      <c r="E77" s="5">
        <v>8.4721497218397435</v>
      </c>
    </row>
    <row r="78" spans="1:7" x14ac:dyDescent="0.25">
      <c r="A78" s="2">
        <v>45901</v>
      </c>
      <c r="B78" s="3">
        <v>107019.998305</v>
      </c>
      <c r="C78" s="3">
        <v>206135.59787999999</v>
      </c>
      <c r="D78" s="5">
        <v>10.4547774312</v>
      </c>
      <c r="E78" s="5">
        <v>8.6971724952942537</v>
      </c>
    </row>
    <row r="79" spans="1:7" x14ac:dyDescent="0.25">
      <c r="A79" s="2">
        <v>45931</v>
      </c>
      <c r="B79" s="3">
        <v>107711.847996</v>
      </c>
      <c r="C79" s="3">
        <v>210620.88076599999</v>
      </c>
      <c r="D79" s="5">
        <v>10.5189781426</v>
      </c>
      <c r="E79" s="5">
        <v>8.5974049389581904</v>
      </c>
    </row>
    <row r="80" spans="1:7" x14ac:dyDescent="0.25">
      <c r="A80" s="2">
        <v>45962</v>
      </c>
      <c r="B80" s="3">
        <v>110869.99139</v>
      </c>
      <c r="C80" s="3">
        <v>221894.04474500002</v>
      </c>
      <c r="D80" s="5">
        <v>10.5615019217</v>
      </c>
      <c r="E80" s="5">
        <v>8.5503632685190709</v>
      </c>
    </row>
    <row r="81" spans="1:8" x14ac:dyDescent="0.25">
      <c r="A81" s="2">
        <v>45992</v>
      </c>
      <c r="B81" s="3">
        <v>114965.343452</v>
      </c>
      <c r="C81" s="3">
        <v>214639.09729099998</v>
      </c>
    </row>
    <row r="82" spans="1:8" x14ac:dyDescent="0.25">
      <c r="A82" s="2">
        <v>44593</v>
      </c>
      <c r="B82" s="3">
        <v>81607.054306610007</v>
      </c>
      <c r="C82" s="3">
        <v>127021.53211114001</v>
      </c>
      <c r="D82" s="5">
        <v>6.01</v>
      </c>
      <c r="E82" s="5">
        <v>4.6088558550096552</v>
      </c>
    </row>
    <row r="83" spans="1:8" x14ac:dyDescent="0.25">
      <c r="A83" s="2">
        <v>44621</v>
      </c>
      <c r="B83" s="3">
        <v>81954.331266609996</v>
      </c>
      <c r="C83" s="3">
        <v>134581.3241238</v>
      </c>
      <c r="D83" s="5">
        <v>6.02</v>
      </c>
      <c r="E83" s="5">
        <v>4.4240334996378401</v>
      </c>
    </row>
    <row r="84" spans="1:8" x14ac:dyDescent="0.25">
      <c r="A84" s="2">
        <v>44652</v>
      </c>
      <c r="B84" s="3">
        <v>81239.419766609994</v>
      </c>
      <c r="C84" s="3">
        <v>130249.81631109999</v>
      </c>
      <c r="D84" s="5">
        <v>6.12</v>
      </c>
      <c r="E84" s="5">
        <v>4.6065727212545466</v>
      </c>
      <c r="H84" s="5"/>
    </row>
    <row r="85" spans="1:8" x14ac:dyDescent="0.25">
      <c r="A85" s="2">
        <v>44682</v>
      </c>
      <c r="B85" s="3">
        <v>81082.510229609994</v>
      </c>
      <c r="C85" s="3">
        <v>132918.72119257</v>
      </c>
      <c r="D85" s="5">
        <v>6.39</v>
      </c>
      <c r="E85" s="5">
        <v>4.6481424021935069</v>
      </c>
    </row>
    <row r="86" spans="1:8" x14ac:dyDescent="0.25">
      <c r="A86" s="2">
        <v>44713</v>
      </c>
      <c r="B86" s="3">
        <v>82317.524451610007</v>
      </c>
      <c r="C86" s="3">
        <v>129052.01007420001</v>
      </c>
      <c r="D86" s="5">
        <v>6.65</v>
      </c>
      <c r="E86" s="5">
        <v>4.9880565091989331</v>
      </c>
    </row>
    <row r="87" spans="1:8" x14ac:dyDescent="0.25">
      <c r="A87" s="2">
        <v>44743</v>
      </c>
      <c r="B87" s="3">
        <v>80154.970491610002</v>
      </c>
      <c r="C87" s="3">
        <v>127658.73222194999</v>
      </c>
      <c r="D87" s="5">
        <v>6.89</v>
      </c>
      <c r="E87" s="5">
        <v>5.0885814600979957</v>
      </c>
    </row>
    <row r="88" spans="1:8" x14ac:dyDescent="0.25">
      <c r="A88" s="2">
        <v>44774</v>
      </c>
      <c r="B88" s="3">
        <v>81139.092000000004</v>
      </c>
      <c r="C88" s="3">
        <v>127578.30303737</v>
      </c>
      <c r="D88" s="5">
        <v>7.5</v>
      </c>
      <c r="E88" s="5">
        <v>5.5387545263024363</v>
      </c>
    </row>
    <row r="89" spans="1:8" x14ac:dyDescent="0.25">
      <c r="A89" s="2">
        <v>44805</v>
      </c>
      <c r="B89" s="3">
        <v>79904.874540999997</v>
      </c>
      <c r="C89" s="3">
        <v>126427.88817551</v>
      </c>
      <c r="D89" s="5">
        <v>8.06</v>
      </c>
      <c r="E89" s="5">
        <v>5.8833014153063736</v>
      </c>
    </row>
    <row r="90" spans="1:8" x14ac:dyDescent="0.25">
      <c r="A90" s="2">
        <v>44835</v>
      </c>
      <c r="B90" s="3">
        <v>79059.218022000001</v>
      </c>
      <c r="C90" s="3">
        <v>126170.96517797999</v>
      </c>
      <c r="D90" s="5">
        <v>8.7364124516043038</v>
      </c>
      <c r="E90" s="5">
        <v>6.2852315336663986</v>
      </c>
    </row>
    <row r="91" spans="1:8" x14ac:dyDescent="0.25">
      <c r="A91" s="2">
        <v>44866</v>
      </c>
      <c r="B91" s="3">
        <v>80080.081797000006</v>
      </c>
      <c r="C91" s="3">
        <v>139924.10505346998</v>
      </c>
      <c r="D91" s="5">
        <v>9.2799999999999994</v>
      </c>
      <c r="E91" s="5">
        <v>6.0812076083024662</v>
      </c>
    </row>
    <row r="92" spans="1:8" x14ac:dyDescent="0.25">
      <c r="A92" s="2">
        <v>44896</v>
      </c>
      <c r="B92" s="3">
        <v>80687.643922000003</v>
      </c>
      <c r="C92" s="3">
        <v>121164.38330864999</v>
      </c>
      <c r="D92" s="5">
        <v>10.33</v>
      </c>
      <c r="E92" s="5">
        <v>7.5218020335174245</v>
      </c>
    </row>
    <row r="93" spans="1:8" x14ac:dyDescent="0.25">
      <c r="A93" s="2">
        <v>44927</v>
      </c>
      <c r="B93" s="3">
        <v>80695.194269</v>
      </c>
      <c r="C93" s="3">
        <v>119283.91715757</v>
      </c>
      <c r="D93" s="5">
        <v>11.17</v>
      </c>
      <c r="E93" s="5">
        <v>8.2046370201127896</v>
      </c>
    </row>
    <row r="94" spans="1:8" x14ac:dyDescent="0.25">
      <c r="A94" s="2">
        <v>44958</v>
      </c>
      <c r="B94" s="3">
        <v>81073.982497999998</v>
      </c>
      <c r="C94" s="3">
        <v>125008.51064371999</v>
      </c>
      <c r="D94" s="5">
        <v>11.713956000745092</v>
      </c>
      <c r="E94" s="5">
        <v>8.2884696220951444</v>
      </c>
    </row>
    <row r="95" spans="1:8" x14ac:dyDescent="0.25">
      <c r="A95" s="2">
        <v>44986</v>
      </c>
      <c r="B95" s="3">
        <v>82634.711209000001</v>
      </c>
      <c r="C95" s="3">
        <v>125378.32540272</v>
      </c>
      <c r="D95" s="5">
        <v>12.26</v>
      </c>
      <c r="E95" s="5">
        <v>8.8974679093165925</v>
      </c>
    </row>
    <row r="96" spans="1:8" x14ac:dyDescent="0.25">
      <c r="A96" s="2">
        <v>45017</v>
      </c>
      <c r="B96" s="3">
        <v>83229.723125000004</v>
      </c>
      <c r="C96" s="3">
        <v>127634.47442778001</v>
      </c>
      <c r="D96" s="5">
        <v>12.577691276744266</v>
      </c>
      <c r="E96" s="5">
        <v>9.065548499307118</v>
      </c>
    </row>
    <row r="97" spans="1:5" x14ac:dyDescent="0.25">
      <c r="A97" s="2">
        <v>45047</v>
      </c>
      <c r="B97" s="3">
        <v>84032.610538399997</v>
      </c>
      <c r="C97" s="3">
        <v>133896.26069831999</v>
      </c>
      <c r="D97" s="5">
        <v>12.835956546983159</v>
      </c>
      <c r="E97" s="5">
        <v>8.7659360857289439</v>
      </c>
    </row>
    <row r="98" spans="1:5" x14ac:dyDescent="0.25">
      <c r="A98" s="2">
        <v>45078</v>
      </c>
      <c r="B98" s="3">
        <v>86121.546470400004</v>
      </c>
      <c r="C98" s="3">
        <v>129692.17224812001</v>
      </c>
      <c r="D98" s="5">
        <v>13.03</v>
      </c>
      <c r="E98" s="5">
        <v>9.3481134938089507</v>
      </c>
    </row>
    <row r="99" spans="1:5" x14ac:dyDescent="0.25">
      <c r="A99" s="2">
        <v>45108</v>
      </c>
      <c r="B99" s="3">
        <v>87260.802715400016</v>
      </c>
      <c r="C99" s="3">
        <v>129758.17161578001</v>
      </c>
      <c r="D99" s="5">
        <v>13.11</v>
      </c>
      <c r="E99" s="5">
        <v>9.5126997705153915</v>
      </c>
    </row>
    <row r="100" spans="1:5" x14ac:dyDescent="0.25">
      <c r="A100" s="2">
        <v>45139</v>
      </c>
      <c r="B100" s="3">
        <v>87102.781121399996</v>
      </c>
      <c r="C100" s="3">
        <v>132228.45240022999</v>
      </c>
      <c r="D100" s="5">
        <v>13.17</v>
      </c>
      <c r="E100" s="5">
        <v>9.4134004313967079</v>
      </c>
    </row>
    <row r="101" spans="1:5" x14ac:dyDescent="0.25">
      <c r="A101" s="2">
        <v>45170</v>
      </c>
      <c r="B101" s="3">
        <v>86266.347602400012</v>
      </c>
      <c r="C101" s="3">
        <v>133134.96050850002</v>
      </c>
      <c r="D101" s="5">
        <v>13.197407462702648</v>
      </c>
      <c r="E101" s="5">
        <v>9.3249915188419017</v>
      </c>
    </row>
    <row r="102" spans="1:5" x14ac:dyDescent="0.25">
      <c r="A102" s="2">
        <v>45200</v>
      </c>
      <c r="B102" s="3">
        <v>84746.957992399999</v>
      </c>
      <c r="C102" s="3">
        <v>131587.51297290999</v>
      </c>
      <c r="D102" s="5">
        <v>13.203506596579103</v>
      </c>
      <c r="E102" s="5">
        <v>9.2988322512675392</v>
      </c>
    </row>
    <row r="103" spans="1:5" x14ac:dyDescent="0.25">
      <c r="A103" s="2">
        <v>45231</v>
      </c>
      <c r="B103" s="3">
        <v>85474.42488440001</v>
      </c>
      <c r="C103" s="3">
        <v>141522.23981115001</v>
      </c>
      <c r="D103" s="5">
        <v>13.170191070803247</v>
      </c>
      <c r="E103" s="5">
        <v>8.3050135186873302</v>
      </c>
    </row>
    <row r="104" spans="1:5" x14ac:dyDescent="0.25">
      <c r="A104" s="2">
        <v>45261</v>
      </c>
      <c r="B104" s="3">
        <v>85038.369594400006</v>
      </c>
      <c r="C104" s="3">
        <v>188005.79568551003</v>
      </c>
      <c r="D104" s="5">
        <v>13.037303892755617</v>
      </c>
      <c r="E104" s="5">
        <v>10.135300704306204</v>
      </c>
    </row>
    <row r="105" spans="1:5" x14ac:dyDescent="0.25">
      <c r="A105" s="2">
        <v>45292</v>
      </c>
      <c r="B105" s="3">
        <v>86109.523930399999</v>
      </c>
      <c r="C105" s="3">
        <v>187764.20697589</v>
      </c>
      <c r="D105" s="5">
        <v>13.038457300469888</v>
      </c>
      <c r="E105" s="5">
        <v>10.22378465496142</v>
      </c>
    </row>
    <row r="106" spans="1:5" x14ac:dyDescent="0.25">
      <c r="A106" s="2">
        <v>45323</v>
      </c>
      <c r="B106" s="3">
        <v>90581.595677399993</v>
      </c>
      <c r="C106" s="3">
        <v>198973.39606805</v>
      </c>
      <c r="D106" s="5">
        <v>12.860663917280798</v>
      </c>
      <c r="E106" s="5">
        <v>9.8967201289297897</v>
      </c>
    </row>
    <row r="107" spans="1:5" x14ac:dyDescent="0.25">
      <c r="A107" s="2">
        <v>45352</v>
      </c>
      <c r="B107" s="3">
        <v>89035.283443400011</v>
      </c>
      <c r="C107" s="3">
        <v>198589.85573359003</v>
      </c>
      <c r="D107" s="5">
        <v>12.684885444233123</v>
      </c>
      <c r="E107" s="5">
        <v>9.7398434226545536</v>
      </c>
    </row>
    <row r="108" spans="1:5" x14ac:dyDescent="0.25">
      <c r="A108" s="2">
        <v>45383</v>
      </c>
      <c r="B108" s="3">
        <v>89901.619893399999</v>
      </c>
      <c r="C108" s="3">
        <v>194584.70275366001</v>
      </c>
      <c r="D108" s="5">
        <v>12.410821109029511</v>
      </c>
      <c r="E108" s="5">
        <v>9.7495041728588099</v>
      </c>
    </row>
    <row r="109" spans="1:5" x14ac:dyDescent="0.25">
      <c r="A109" s="2">
        <v>45413</v>
      </c>
      <c r="B109" s="3">
        <v>90253.219354400004</v>
      </c>
      <c r="C109" s="3">
        <v>191985.43920251</v>
      </c>
      <c r="D109" s="5">
        <v>12.128640215837828</v>
      </c>
      <c r="E109" s="5">
        <v>9.7296935193296701</v>
      </c>
    </row>
    <row r="110" spans="1:5" x14ac:dyDescent="0.25">
      <c r="A110" s="2">
        <v>45444</v>
      </c>
      <c r="B110" s="3">
        <v>91133.023184999998</v>
      </c>
      <c r="C110" s="3">
        <v>197118.251032</v>
      </c>
      <c r="D110" s="5">
        <v>11.805197805874121</v>
      </c>
      <c r="E110" s="5">
        <v>8.8709048855363992</v>
      </c>
    </row>
    <row r="111" spans="1:5" x14ac:dyDescent="0.25">
      <c r="A111" s="2">
        <v>45474</v>
      </c>
      <c r="B111" s="3">
        <v>90868.151676400012</v>
      </c>
      <c r="C111" s="3">
        <v>195610.28090437999</v>
      </c>
      <c r="D111" s="5">
        <v>11.552063369988602</v>
      </c>
      <c r="E111" s="5">
        <v>8.9583149947467806</v>
      </c>
    </row>
    <row r="112" spans="1:5" x14ac:dyDescent="0.25">
      <c r="A112" s="2">
        <v>45505</v>
      </c>
      <c r="B112" s="3">
        <v>89989.975714399989</v>
      </c>
      <c r="C112" s="3">
        <v>194749.65584185999</v>
      </c>
      <c r="D112" s="5">
        <v>11.286618929999999</v>
      </c>
      <c r="E112" s="5">
        <v>8.659358797191226</v>
      </c>
    </row>
    <row r="113" spans="1:5" x14ac:dyDescent="0.25">
      <c r="A113" s="2">
        <v>45536</v>
      </c>
      <c r="B113" s="3">
        <v>90280.665459400014</v>
      </c>
      <c r="C113" s="3">
        <v>193508.91866671</v>
      </c>
      <c r="D113" s="5">
        <v>11.104271574106191</v>
      </c>
      <c r="E113" s="5">
        <v>8.4839738770256226</v>
      </c>
    </row>
    <row r="114" spans="1:5" x14ac:dyDescent="0.25">
      <c r="A114" s="2">
        <v>45566</v>
      </c>
      <c r="B114" s="3">
        <v>88235.778234400015</v>
      </c>
      <c r="C114" s="3">
        <v>192628.94739985003</v>
      </c>
      <c r="D114" s="5">
        <v>10.934381500000001</v>
      </c>
      <c r="E114" s="5">
        <v>8.3133747602058445</v>
      </c>
    </row>
    <row r="115" spans="1:5" x14ac:dyDescent="0.25">
      <c r="A115" s="2">
        <v>45597</v>
      </c>
      <c r="B115" s="3">
        <v>87723.37234039999</v>
      </c>
      <c r="C115" s="3">
        <v>207183.73129920999</v>
      </c>
      <c r="D115" s="5">
        <v>10.8266147</v>
      </c>
      <c r="E115" s="5">
        <v>7.6921450384192234</v>
      </c>
    </row>
  </sheetData>
  <mergeCells count="3">
    <mergeCell ref="K26:N26"/>
    <mergeCell ref="K3:N3"/>
    <mergeCell ref="V3:Y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46AB6-88A2-4731-972B-5C2C17075133}">
  <dimension ref="A1:N123"/>
  <sheetViews>
    <sheetView topLeftCell="I1" zoomScale="80" zoomScaleNormal="80" workbookViewId="0">
      <pane ySplit="1" topLeftCell="A23" activePane="bottomLeft" state="frozen"/>
      <selection pane="bottomLeft" activeCell="H49" activeCellId="2" sqref="A49:A61 C49:D61 H49:I61"/>
    </sheetView>
  </sheetViews>
  <sheetFormatPr baseColWidth="10" defaultRowHeight="15" x14ac:dyDescent="0.25"/>
  <cols>
    <col min="3" max="3" width="18.42578125" customWidth="1"/>
    <col min="7" max="7" width="13.5703125" customWidth="1"/>
    <col min="8" max="8" width="17.5703125" customWidth="1"/>
    <col min="11" max="11" width="12.42578125" customWidth="1"/>
    <col min="13" max="13" width="14.5703125" bestFit="1" customWidth="1"/>
    <col min="15" max="15" width="15" customWidth="1"/>
  </cols>
  <sheetData>
    <row r="1" spans="1:14" ht="75" x14ac:dyDescent="0.25">
      <c r="A1" t="s">
        <v>1</v>
      </c>
      <c r="B1" t="s">
        <v>12</v>
      </c>
      <c r="C1" s="29" t="s">
        <v>14</v>
      </c>
      <c r="D1" s="29" t="s">
        <v>16</v>
      </c>
      <c r="F1" s="1" t="s">
        <v>1</v>
      </c>
      <c r="G1" s="1" t="s">
        <v>13</v>
      </c>
      <c r="H1" s="29" t="s">
        <v>15</v>
      </c>
      <c r="I1" s="29" t="s">
        <v>17</v>
      </c>
      <c r="K1" s="1" t="s">
        <v>1</v>
      </c>
      <c r="L1" s="1" t="s">
        <v>13</v>
      </c>
      <c r="M1" s="1" t="s">
        <v>40</v>
      </c>
      <c r="N1" s="1" t="s">
        <v>17</v>
      </c>
    </row>
    <row r="2" spans="1:14" x14ac:dyDescent="0.25">
      <c r="A2" s="2">
        <v>44197</v>
      </c>
      <c r="B2" s="9">
        <v>73465.213948000004</v>
      </c>
      <c r="C2" s="9">
        <v>30.582708</v>
      </c>
      <c r="D2" s="6">
        <f>+C2/B2</f>
        <v>4.1628828606756645E-4</v>
      </c>
      <c r="F2" s="2">
        <v>44197</v>
      </c>
      <c r="G2" s="9">
        <v>10715.62264451</v>
      </c>
      <c r="H2" s="9">
        <v>15.835613</v>
      </c>
      <c r="I2" s="6">
        <f>+H2/G2</f>
        <v>1.477806145787819E-3</v>
      </c>
      <c r="K2" s="2">
        <v>44197</v>
      </c>
      <c r="L2" s="9"/>
      <c r="M2" s="9"/>
      <c r="N2" s="6"/>
    </row>
    <row r="3" spans="1:14" x14ac:dyDescent="0.25">
      <c r="A3" s="2">
        <v>44228</v>
      </c>
      <c r="B3" s="9">
        <v>73772.071054</v>
      </c>
      <c r="C3" s="9">
        <v>573.4735271016915</v>
      </c>
      <c r="D3" s="6">
        <f>+C3/B3</f>
        <v>7.7735858422887149E-3</v>
      </c>
      <c r="F3" s="2">
        <v>44228</v>
      </c>
      <c r="G3" s="9">
        <v>12802.95152158</v>
      </c>
      <c r="H3" s="9">
        <v>12.637</v>
      </c>
      <c r="I3" s="6">
        <f t="shared" ref="I3:I52" si="0">+H3/G3</f>
        <v>9.8703802624728514E-4</v>
      </c>
      <c r="K3" s="2">
        <v>44228</v>
      </c>
      <c r="L3" s="9"/>
      <c r="M3" s="9"/>
      <c r="N3" s="6"/>
    </row>
    <row r="4" spans="1:14" x14ac:dyDescent="0.25">
      <c r="A4" s="2">
        <v>44256</v>
      </c>
      <c r="B4" s="9">
        <v>74767.064746999997</v>
      </c>
      <c r="C4" s="9">
        <v>334.56443000000002</v>
      </c>
      <c r="D4" s="6">
        <f t="shared" ref="D4:D42" si="1">+C4/B4</f>
        <v>4.4747567813731015E-3</v>
      </c>
      <c r="F4" s="2">
        <v>44256</v>
      </c>
      <c r="G4" s="9">
        <v>14401.29949397</v>
      </c>
      <c r="H4" s="9">
        <v>12.563000000000001</v>
      </c>
      <c r="I4" s="6">
        <f t="shared" si="0"/>
        <v>8.7235183222599336E-4</v>
      </c>
      <c r="K4" s="2">
        <v>44256</v>
      </c>
      <c r="L4" s="9"/>
      <c r="M4" s="9"/>
      <c r="N4" s="6"/>
    </row>
    <row r="5" spans="1:14" x14ac:dyDescent="0.25">
      <c r="A5" s="2">
        <v>44287</v>
      </c>
      <c r="B5" s="9">
        <v>75881.322916999998</v>
      </c>
      <c r="C5" s="9">
        <v>278.07418000000001</v>
      </c>
      <c r="D5" s="6">
        <f t="shared" si="1"/>
        <v>3.6645932004132462E-3</v>
      </c>
      <c r="F5" s="2">
        <v>44287</v>
      </c>
      <c r="G5" s="9">
        <v>12282.45509186</v>
      </c>
      <c r="H5" s="9">
        <v>15.426565</v>
      </c>
      <c r="I5" s="6">
        <f t="shared" si="0"/>
        <v>1.2559838309707078E-3</v>
      </c>
      <c r="K5" s="2">
        <v>44287</v>
      </c>
      <c r="L5" s="9"/>
      <c r="M5" s="9"/>
      <c r="N5" s="6"/>
    </row>
    <row r="6" spans="1:14" x14ac:dyDescent="0.25">
      <c r="A6" s="2">
        <v>44317</v>
      </c>
      <c r="B6" s="9">
        <v>76659.537345000004</v>
      </c>
      <c r="C6" s="9">
        <v>625.48145399999999</v>
      </c>
      <c r="D6" s="6">
        <f t="shared" si="1"/>
        <v>8.1592124823956554E-3</v>
      </c>
      <c r="F6" s="2">
        <v>44317</v>
      </c>
      <c r="G6" s="9">
        <v>14058.860973999999</v>
      </c>
      <c r="H6" s="9">
        <v>12.316000000000001</v>
      </c>
      <c r="I6" s="6">
        <f t="shared" si="0"/>
        <v>8.7603113956221713E-4</v>
      </c>
      <c r="K6" s="2">
        <v>44317</v>
      </c>
      <c r="L6" s="9"/>
      <c r="M6" s="9"/>
      <c r="N6" s="6"/>
    </row>
    <row r="7" spans="1:14" x14ac:dyDescent="0.25">
      <c r="A7" s="2">
        <v>44348</v>
      </c>
      <c r="B7" s="9">
        <v>77468.472332000005</v>
      </c>
      <c r="C7" s="9">
        <v>304.87300399999998</v>
      </c>
      <c r="D7" s="6">
        <f t="shared" si="1"/>
        <v>3.9354461863328324E-3</v>
      </c>
      <c r="F7" s="2">
        <v>44348</v>
      </c>
      <c r="G7" s="9">
        <v>15849.70398</v>
      </c>
      <c r="H7" s="9">
        <v>22.291884</v>
      </c>
      <c r="I7" s="6">
        <f t="shared" si="0"/>
        <v>1.4064542800376011E-3</v>
      </c>
      <c r="K7" s="2">
        <v>44348</v>
      </c>
      <c r="L7" s="9"/>
      <c r="M7" s="9"/>
      <c r="N7" s="6"/>
    </row>
    <row r="8" spans="1:14" x14ac:dyDescent="0.25">
      <c r="A8" s="2">
        <v>44378</v>
      </c>
      <c r="B8" s="9">
        <v>77975.239790000007</v>
      </c>
      <c r="C8" s="9">
        <v>254.602677</v>
      </c>
      <c r="D8" s="6">
        <f t="shared" si="1"/>
        <v>3.2651733766473354E-3</v>
      </c>
      <c r="F8" s="2">
        <v>44378</v>
      </c>
      <c r="G8" s="9">
        <v>17418.549802860001</v>
      </c>
      <c r="H8" s="9">
        <v>26.017389000000001</v>
      </c>
      <c r="I8" s="6">
        <f t="shared" si="0"/>
        <v>1.4936598795226989E-3</v>
      </c>
      <c r="K8" s="2">
        <v>44378</v>
      </c>
      <c r="L8" s="9"/>
      <c r="M8" s="9"/>
      <c r="N8" s="6"/>
    </row>
    <row r="9" spans="1:14" x14ac:dyDescent="0.25">
      <c r="A9" s="2">
        <v>44409</v>
      </c>
      <c r="B9" s="9">
        <v>78706.551277999999</v>
      </c>
      <c r="C9" s="9">
        <v>237.70465200000001</v>
      </c>
      <c r="D9" s="6">
        <f t="shared" si="1"/>
        <v>3.0201380716123826E-3</v>
      </c>
      <c r="F9" s="2">
        <v>44409</v>
      </c>
      <c r="G9" s="9">
        <v>18977.502239860001</v>
      </c>
      <c r="H9" s="9">
        <v>66.852284999999995</v>
      </c>
      <c r="I9" s="6">
        <f t="shared" si="0"/>
        <v>3.5227125337698377E-3</v>
      </c>
      <c r="K9" s="2">
        <v>44409</v>
      </c>
      <c r="L9" s="9"/>
      <c r="M9" s="9"/>
      <c r="N9" s="6"/>
    </row>
    <row r="10" spans="1:14" x14ac:dyDescent="0.25">
      <c r="A10" s="2">
        <v>44440</v>
      </c>
      <c r="B10" s="9">
        <v>80386.805416999996</v>
      </c>
      <c r="C10" s="9">
        <v>168.53287</v>
      </c>
      <c r="D10" s="6">
        <f t="shared" si="1"/>
        <v>2.0965240393090567E-3</v>
      </c>
      <c r="F10" s="2">
        <v>44440</v>
      </c>
      <c r="G10" s="9">
        <v>20781.489081</v>
      </c>
      <c r="H10" s="9">
        <v>42.453499999999998</v>
      </c>
      <c r="I10" s="6">
        <f t="shared" si="0"/>
        <v>2.0428516856770473E-3</v>
      </c>
      <c r="K10" s="2">
        <v>44440</v>
      </c>
      <c r="L10" s="9"/>
      <c r="M10" s="9"/>
      <c r="N10" s="6"/>
    </row>
    <row r="11" spans="1:14" x14ac:dyDescent="0.25">
      <c r="A11" s="2">
        <v>44470</v>
      </c>
      <c r="B11" s="9">
        <v>81623.998382000005</v>
      </c>
      <c r="C11" s="9">
        <v>210.48352600000001</v>
      </c>
      <c r="D11" s="6">
        <f t="shared" si="1"/>
        <v>2.5786965864492192E-3</v>
      </c>
      <c r="F11" s="2">
        <v>44470</v>
      </c>
      <c r="G11" s="9">
        <v>22134.822557</v>
      </c>
      <c r="H11" s="9">
        <v>61.403238000000002</v>
      </c>
      <c r="I11" s="6">
        <f t="shared" si="0"/>
        <v>2.774056030577106E-3</v>
      </c>
      <c r="K11" s="2">
        <v>44470</v>
      </c>
      <c r="L11" s="9"/>
      <c r="M11" s="9"/>
      <c r="N11" s="6"/>
    </row>
    <row r="12" spans="1:14" x14ac:dyDescent="0.25">
      <c r="A12" s="2">
        <v>44501</v>
      </c>
      <c r="B12" s="9">
        <v>82695.78284</v>
      </c>
      <c r="C12" s="9">
        <v>168.987809</v>
      </c>
      <c r="D12" s="6">
        <f t="shared" si="1"/>
        <v>2.043487626533E-3</v>
      </c>
      <c r="F12" s="2">
        <v>44501</v>
      </c>
      <c r="G12" s="9">
        <v>7886.8414949999997</v>
      </c>
      <c r="H12" s="9">
        <v>25.894601999999999</v>
      </c>
      <c r="I12" s="6">
        <f t="shared" si="0"/>
        <v>3.2832664402367324E-3</v>
      </c>
      <c r="K12" s="2">
        <v>44501</v>
      </c>
      <c r="L12" s="9"/>
      <c r="M12" s="9"/>
      <c r="N12" s="6"/>
    </row>
    <row r="13" spans="1:14" x14ac:dyDescent="0.25">
      <c r="A13" s="2">
        <v>44531</v>
      </c>
      <c r="B13" s="9">
        <v>79148.030771000005</v>
      </c>
      <c r="C13" s="9">
        <v>209.75199599999999</v>
      </c>
      <c r="D13" s="6">
        <f t="shared" si="1"/>
        <v>2.6501227378212112E-3</v>
      </c>
      <c r="F13" s="2">
        <v>44531</v>
      </c>
      <c r="G13" s="9">
        <v>9136.6101039999994</v>
      </c>
      <c r="H13" s="9">
        <v>28.986039000000002</v>
      </c>
      <c r="I13" s="6">
        <f t="shared" si="0"/>
        <v>3.1725157000307958E-3</v>
      </c>
      <c r="K13" s="2">
        <v>44531</v>
      </c>
      <c r="L13" s="9"/>
      <c r="M13" s="9"/>
      <c r="N13" s="6"/>
    </row>
    <row r="14" spans="1:14" x14ac:dyDescent="0.25">
      <c r="A14" s="2">
        <v>44562</v>
      </c>
      <c r="B14" s="9">
        <v>81436.113307000007</v>
      </c>
      <c r="C14" s="9">
        <v>503.82922600000001</v>
      </c>
      <c r="D14" s="6">
        <f t="shared" si="1"/>
        <v>6.1868034406388148E-3</v>
      </c>
      <c r="F14" s="2">
        <v>44562</v>
      </c>
      <c r="G14" s="9">
        <v>10526.252531</v>
      </c>
      <c r="H14" s="9">
        <v>38.435572000000001</v>
      </c>
      <c r="I14" s="6">
        <f t="shared" si="0"/>
        <v>3.651401283296839E-3</v>
      </c>
      <c r="K14" s="2">
        <v>44562</v>
      </c>
      <c r="L14" s="9"/>
      <c r="M14" s="9"/>
      <c r="N14" s="6"/>
    </row>
    <row r="15" spans="1:14" x14ac:dyDescent="0.25">
      <c r="A15" s="2">
        <v>44593</v>
      </c>
      <c r="B15" s="9">
        <v>81607.054306610007</v>
      </c>
      <c r="C15" s="9">
        <v>140.48452599999999</v>
      </c>
      <c r="D15" s="6">
        <f t="shared" si="1"/>
        <v>1.7214752718824825E-3</v>
      </c>
      <c r="F15" s="2">
        <v>44593</v>
      </c>
      <c r="G15" s="9">
        <v>12582.862709000001</v>
      </c>
      <c r="H15" s="9">
        <v>35.166179999999997</v>
      </c>
      <c r="I15" s="6">
        <f t="shared" si="0"/>
        <v>2.7947678372781644E-3</v>
      </c>
      <c r="K15" s="2">
        <v>44593</v>
      </c>
      <c r="L15" s="9"/>
      <c r="M15" s="9"/>
      <c r="N15" s="6"/>
    </row>
    <row r="16" spans="1:14" x14ac:dyDescent="0.25">
      <c r="A16" s="2">
        <v>44621</v>
      </c>
      <c r="B16" s="9">
        <v>81954.331266609996</v>
      </c>
      <c r="C16" s="9">
        <v>345.06838099999999</v>
      </c>
      <c r="D16" s="6">
        <f t="shared" si="1"/>
        <v>4.2104959636293012E-3</v>
      </c>
      <c r="F16" s="2">
        <v>44621</v>
      </c>
      <c r="G16" s="9">
        <v>13911.542353999999</v>
      </c>
      <c r="H16" s="9">
        <v>42.184407</v>
      </c>
      <c r="I16" s="6">
        <f t="shared" si="0"/>
        <v>3.0323314213876996E-3</v>
      </c>
      <c r="K16" s="2">
        <v>44621</v>
      </c>
      <c r="L16" s="9"/>
      <c r="M16" s="9"/>
      <c r="N16" s="6"/>
    </row>
    <row r="17" spans="1:14" x14ac:dyDescent="0.25">
      <c r="A17" s="2">
        <v>44652</v>
      </c>
      <c r="B17" s="9">
        <v>81239.419766609994</v>
      </c>
      <c r="C17" s="9">
        <v>351.08195000000001</v>
      </c>
      <c r="D17" s="6">
        <f t="shared" si="1"/>
        <v>4.321571362875456E-3</v>
      </c>
      <c r="F17" s="2">
        <v>44652</v>
      </c>
      <c r="G17" s="9">
        <v>12001.434764</v>
      </c>
      <c r="H17" s="9">
        <v>46.583832999999998</v>
      </c>
      <c r="I17" s="6">
        <f t="shared" si="0"/>
        <v>3.8815219943314438E-3</v>
      </c>
      <c r="K17" s="2">
        <v>44652</v>
      </c>
      <c r="L17" s="9"/>
      <c r="M17" s="9"/>
      <c r="N17" s="6"/>
    </row>
    <row r="18" spans="1:14" x14ac:dyDescent="0.25">
      <c r="A18" s="2">
        <v>44682</v>
      </c>
      <c r="B18" s="9">
        <v>81082.510229609994</v>
      </c>
      <c r="C18" s="9">
        <v>923.67903899999999</v>
      </c>
      <c r="D18" s="6">
        <f t="shared" si="1"/>
        <v>1.1391840686534241E-2</v>
      </c>
      <c r="F18" s="2">
        <v>44682</v>
      </c>
      <c r="G18" s="9">
        <v>13444.235945</v>
      </c>
      <c r="H18" s="9">
        <v>55.143583</v>
      </c>
      <c r="I18" s="6">
        <f t="shared" si="0"/>
        <v>4.1016524275229085E-3</v>
      </c>
      <c r="K18" s="2">
        <v>44682</v>
      </c>
      <c r="L18" s="9"/>
      <c r="M18" s="9"/>
      <c r="N18" s="6"/>
    </row>
    <row r="19" spans="1:14" x14ac:dyDescent="0.25">
      <c r="A19" s="2">
        <v>44713</v>
      </c>
      <c r="B19" s="9">
        <v>82317.524451610007</v>
      </c>
      <c r="C19" s="9">
        <v>791.217491</v>
      </c>
      <c r="D19" s="6">
        <f t="shared" si="1"/>
        <v>9.6117746041441479E-3</v>
      </c>
      <c r="F19" s="2">
        <v>44713</v>
      </c>
      <c r="G19" s="9">
        <v>15165.586669</v>
      </c>
      <c r="H19" s="9">
        <v>61.891364000000003</v>
      </c>
      <c r="I19" s="6">
        <f t="shared" si="0"/>
        <v>4.0810398800141534E-3</v>
      </c>
      <c r="K19" s="2">
        <v>44713</v>
      </c>
      <c r="L19" s="9"/>
      <c r="M19" s="9"/>
      <c r="N19" s="6"/>
    </row>
    <row r="20" spans="1:14" x14ac:dyDescent="0.25">
      <c r="A20" s="2">
        <v>44743</v>
      </c>
      <c r="B20" s="9">
        <v>80154.970491610002</v>
      </c>
      <c r="C20" s="9">
        <v>2126.6262660000002</v>
      </c>
      <c r="D20" s="6">
        <f t="shared" si="1"/>
        <v>2.6531433458921914E-2</v>
      </c>
      <c r="F20" s="2">
        <v>44743</v>
      </c>
      <c r="G20" s="9">
        <v>16422.508809999999</v>
      </c>
      <c r="H20" s="9">
        <v>103.028597</v>
      </c>
      <c r="I20" s="6">
        <f t="shared" si="0"/>
        <v>6.2736210521783251E-3</v>
      </c>
      <c r="K20" s="2">
        <v>44743</v>
      </c>
      <c r="L20" s="9"/>
      <c r="M20" s="9"/>
      <c r="N20" s="6"/>
    </row>
    <row r="21" spans="1:14" x14ac:dyDescent="0.25">
      <c r="A21" s="2">
        <v>44774</v>
      </c>
      <c r="B21" s="9">
        <v>81139.092000000004</v>
      </c>
      <c r="C21" s="9">
        <v>241.04706400000001</v>
      </c>
      <c r="D21" s="6">
        <f t="shared" si="1"/>
        <v>2.9707882853803689E-3</v>
      </c>
      <c r="F21" s="2">
        <v>44774</v>
      </c>
      <c r="G21" s="9">
        <v>17924.783264000002</v>
      </c>
      <c r="H21" s="9">
        <v>126.812094</v>
      </c>
      <c r="I21" s="6">
        <f t="shared" si="0"/>
        <v>7.0746793493837359E-3</v>
      </c>
      <c r="K21" s="2">
        <v>44774</v>
      </c>
      <c r="L21" s="9"/>
      <c r="M21" s="9"/>
      <c r="N21" s="6"/>
    </row>
    <row r="22" spans="1:14" x14ac:dyDescent="0.25">
      <c r="A22" s="2">
        <v>44805</v>
      </c>
      <c r="B22" s="9">
        <v>79904.874540999997</v>
      </c>
      <c r="C22" s="9">
        <v>1524.663407</v>
      </c>
      <c r="D22" s="6">
        <f t="shared" si="1"/>
        <v>1.9080981176156905E-2</v>
      </c>
      <c r="F22" s="2">
        <v>44805</v>
      </c>
      <c r="G22" s="9">
        <v>19623.833551</v>
      </c>
      <c r="H22" s="9">
        <v>120.299813</v>
      </c>
      <c r="I22" s="6">
        <f t="shared" si="0"/>
        <v>6.1302911425209121E-3</v>
      </c>
      <c r="K22" s="2">
        <v>44805</v>
      </c>
      <c r="L22" s="9"/>
      <c r="M22" s="9"/>
      <c r="N22" s="6"/>
    </row>
    <row r="23" spans="1:14" x14ac:dyDescent="0.25">
      <c r="A23" s="2">
        <v>44835</v>
      </c>
      <c r="B23" s="9">
        <v>79059.218022000001</v>
      </c>
      <c r="C23" s="9">
        <v>1403.8268109999999</v>
      </c>
      <c r="D23" s="6">
        <f t="shared" si="1"/>
        <v>1.7756649333533169E-2</v>
      </c>
      <c r="F23" s="2">
        <v>44835</v>
      </c>
      <c r="G23" s="9">
        <v>20897.628548000001</v>
      </c>
      <c r="H23" s="9">
        <v>114.383319</v>
      </c>
      <c r="I23" s="6">
        <f t="shared" si="0"/>
        <v>5.4735071368156273E-3</v>
      </c>
      <c r="K23" s="2">
        <v>44835</v>
      </c>
      <c r="L23" s="9"/>
      <c r="M23" s="9"/>
      <c r="N23" s="6"/>
    </row>
    <row r="24" spans="1:14" x14ac:dyDescent="0.25">
      <c r="A24" s="2">
        <v>44866</v>
      </c>
      <c r="B24" s="9">
        <v>80080.081797000006</v>
      </c>
      <c r="C24" s="9">
        <v>1807.300313</v>
      </c>
      <c r="D24" s="6">
        <f t="shared" si="1"/>
        <v>2.2568662174714534E-2</v>
      </c>
      <c r="F24" s="2">
        <v>44866</v>
      </c>
      <c r="G24" s="9">
        <v>7741.3751908099994</v>
      </c>
      <c r="H24" s="9">
        <v>104.03067062000001</v>
      </c>
      <c r="I24" s="6">
        <f t="shared" si="0"/>
        <v>1.3438267498453981E-2</v>
      </c>
      <c r="K24" s="2">
        <v>44866</v>
      </c>
      <c r="L24" s="9"/>
      <c r="M24" s="9"/>
      <c r="N24" s="6"/>
    </row>
    <row r="25" spans="1:14" x14ac:dyDescent="0.25">
      <c r="A25" s="2">
        <v>44896</v>
      </c>
      <c r="B25" s="9">
        <v>80687.643922000003</v>
      </c>
      <c r="C25" s="9">
        <v>606.384772</v>
      </c>
      <c r="D25" s="6">
        <f t="shared" si="1"/>
        <v>7.5152122744615831E-3</v>
      </c>
      <c r="F25" s="2">
        <v>44896</v>
      </c>
      <c r="G25" s="9">
        <v>9058.6890900499984</v>
      </c>
      <c r="H25" s="9">
        <v>81.473685760000009</v>
      </c>
      <c r="I25" s="6">
        <f t="shared" si="0"/>
        <v>8.9939819051180533E-3</v>
      </c>
      <c r="K25" s="2">
        <v>44896</v>
      </c>
      <c r="L25" s="9"/>
      <c r="M25" s="9"/>
      <c r="N25" s="6"/>
    </row>
    <row r="26" spans="1:14" x14ac:dyDescent="0.25">
      <c r="A26" s="2">
        <v>44927</v>
      </c>
      <c r="B26" s="9">
        <v>80695.194269</v>
      </c>
      <c r="C26" s="9">
        <v>575.80768899999998</v>
      </c>
      <c r="D26" s="6">
        <f t="shared" si="1"/>
        <v>7.1355883608201836E-3</v>
      </c>
      <c r="F26" s="2">
        <v>44927</v>
      </c>
      <c r="G26" s="9">
        <v>10538.672129049999</v>
      </c>
      <c r="H26" s="9">
        <v>49.663387</v>
      </c>
      <c r="I26" s="6">
        <f t="shared" si="0"/>
        <v>4.7124899979668379E-3</v>
      </c>
      <c r="K26" s="2">
        <v>44927</v>
      </c>
      <c r="L26" s="9"/>
      <c r="M26" s="9"/>
      <c r="N26" s="6"/>
    </row>
    <row r="27" spans="1:14" x14ac:dyDescent="0.25">
      <c r="A27" s="2">
        <v>44958</v>
      </c>
      <c r="B27" s="9">
        <v>81073.982497999998</v>
      </c>
      <c r="C27" s="9">
        <v>221.907758</v>
      </c>
      <c r="D27" s="6">
        <f t="shared" si="1"/>
        <v>2.7371019797315893E-3</v>
      </c>
      <c r="F27" s="2">
        <v>44958</v>
      </c>
      <c r="G27" s="9">
        <v>12827.25789205</v>
      </c>
      <c r="H27" s="9">
        <v>24.332000000000001</v>
      </c>
      <c r="I27" s="6">
        <f t="shared" si="0"/>
        <v>1.896898012402194E-3</v>
      </c>
      <c r="K27" s="2">
        <v>44958</v>
      </c>
      <c r="L27" s="9"/>
      <c r="M27" s="9"/>
      <c r="N27" s="6"/>
    </row>
    <row r="28" spans="1:14" x14ac:dyDescent="0.25">
      <c r="A28" s="2">
        <v>44986</v>
      </c>
      <c r="B28" s="9">
        <f>+Hoja1!C28</f>
        <v>82634.711209000001</v>
      </c>
      <c r="C28" s="9">
        <v>172.72103200000001</v>
      </c>
      <c r="D28" s="6">
        <f t="shared" si="1"/>
        <v>2.0901752964701888E-3</v>
      </c>
      <c r="F28" s="2">
        <v>44986</v>
      </c>
      <c r="G28" s="9">
        <f>+Hoja1!D28</f>
        <v>14388.775267000001</v>
      </c>
      <c r="H28" s="9">
        <v>45.348536000000003</v>
      </c>
      <c r="I28" s="6">
        <f t="shared" si="0"/>
        <v>3.1516605936576687E-3</v>
      </c>
      <c r="K28" s="2">
        <v>44986</v>
      </c>
      <c r="L28" s="9"/>
      <c r="M28" s="9"/>
      <c r="N28" s="6"/>
    </row>
    <row r="29" spans="1:14" x14ac:dyDescent="0.25">
      <c r="A29" s="2">
        <v>45017</v>
      </c>
      <c r="B29" s="9">
        <f>+Hoja1!C29</f>
        <v>83229.723125000004</v>
      </c>
      <c r="C29" s="9">
        <v>474.14702299999999</v>
      </c>
      <c r="D29" s="6">
        <f t="shared" si="1"/>
        <v>5.6968472944202162E-3</v>
      </c>
      <c r="F29" s="2">
        <v>45017</v>
      </c>
      <c r="G29" s="9">
        <f>+Hoja1!D29</f>
        <v>13038.809031999999</v>
      </c>
      <c r="H29" s="9">
        <v>33.841852000000003</v>
      </c>
      <c r="I29" s="6">
        <f t="shared" si="0"/>
        <v>2.5954710983913431E-3</v>
      </c>
      <c r="K29" s="2">
        <v>45017</v>
      </c>
      <c r="L29" s="9"/>
      <c r="M29" s="9"/>
      <c r="N29" s="6"/>
    </row>
    <row r="30" spans="1:14" x14ac:dyDescent="0.25">
      <c r="A30" s="2">
        <v>45047</v>
      </c>
      <c r="B30" s="9">
        <f>+Hoja1!C30</f>
        <v>84032.610538399997</v>
      </c>
      <c r="C30" s="9">
        <v>267.786205</v>
      </c>
      <c r="D30" s="6">
        <f t="shared" si="1"/>
        <v>3.1866938713944982E-3</v>
      </c>
      <c r="F30" s="2">
        <v>45047</v>
      </c>
      <c r="G30" s="9">
        <f>+Hoja1!D30</f>
        <v>14494.992435</v>
      </c>
      <c r="H30" s="9">
        <v>56.990132000000003</v>
      </c>
      <c r="I30" s="6">
        <f t="shared" si="0"/>
        <v>3.9317117449740842E-3</v>
      </c>
      <c r="K30" s="2">
        <v>45047</v>
      </c>
      <c r="L30" s="9"/>
      <c r="M30" s="9"/>
      <c r="N30" s="6"/>
    </row>
    <row r="31" spans="1:14" x14ac:dyDescent="0.25">
      <c r="A31" s="2">
        <v>45078</v>
      </c>
      <c r="B31" s="9">
        <f>+Hoja1!C31</f>
        <v>86121.546470400004</v>
      </c>
      <c r="C31" s="9">
        <v>391.54470800000001</v>
      </c>
      <c r="D31" s="6">
        <f t="shared" si="1"/>
        <v>4.5464198455211673E-3</v>
      </c>
      <c r="F31" s="2">
        <v>45078</v>
      </c>
      <c r="G31" s="9">
        <f>+Hoja1!D31</f>
        <v>16689.804267</v>
      </c>
      <c r="H31" s="9">
        <v>37.654482999999999</v>
      </c>
      <c r="I31" s="6">
        <f t="shared" si="0"/>
        <v>2.2561368843883041E-3</v>
      </c>
      <c r="K31" s="2">
        <v>45078</v>
      </c>
      <c r="L31" s="9"/>
      <c r="M31" s="9"/>
      <c r="N31" s="6"/>
    </row>
    <row r="32" spans="1:14" x14ac:dyDescent="0.25">
      <c r="A32" s="2">
        <v>45108</v>
      </c>
      <c r="B32" s="9">
        <f>+Hoja1!C32</f>
        <v>87260.802715400016</v>
      </c>
      <c r="C32" s="9">
        <v>1092.0679150000001</v>
      </c>
      <c r="D32" s="6">
        <f t="shared" si="1"/>
        <v>1.2514988185036133E-2</v>
      </c>
      <c r="F32" s="2">
        <v>45108</v>
      </c>
      <c r="G32" s="9">
        <f>+Hoja1!D32</f>
        <v>18288.248457000002</v>
      </c>
      <c r="H32" s="9">
        <v>53.141945</v>
      </c>
      <c r="I32" s="6">
        <f t="shared" si="0"/>
        <v>2.9057974100116413E-3</v>
      </c>
      <c r="K32" s="2">
        <v>45108</v>
      </c>
      <c r="L32" s="9"/>
      <c r="M32" s="9"/>
      <c r="N32" s="6"/>
    </row>
    <row r="33" spans="1:14" x14ac:dyDescent="0.25">
      <c r="A33" s="2">
        <v>45139</v>
      </c>
      <c r="B33" s="9">
        <f>+Hoja1!C33</f>
        <v>87102.781121399996</v>
      </c>
      <c r="C33" s="9">
        <v>316.56073600000002</v>
      </c>
      <c r="D33" s="6">
        <f t="shared" si="1"/>
        <v>3.634335573726305E-3</v>
      </c>
      <c r="F33" s="2">
        <v>45139</v>
      </c>
      <c r="G33" s="9">
        <f>+Hoja1!D33</f>
        <v>20014.299515999999</v>
      </c>
      <c r="H33" s="9">
        <v>81.828417999999999</v>
      </c>
      <c r="I33" s="6">
        <f t="shared" si="0"/>
        <v>4.0884977230696501E-3</v>
      </c>
      <c r="K33" s="2">
        <v>45139</v>
      </c>
      <c r="L33" s="9"/>
      <c r="M33" s="9"/>
      <c r="N33" s="6"/>
    </row>
    <row r="34" spans="1:14" x14ac:dyDescent="0.25">
      <c r="A34" s="2">
        <v>45170</v>
      </c>
      <c r="B34" s="9">
        <f>+Hoja1!C34</f>
        <v>86266.347602400012</v>
      </c>
      <c r="C34" s="9">
        <v>450.91626400000001</v>
      </c>
      <c r="D34" s="6">
        <f t="shared" si="1"/>
        <v>5.2270239384454376E-3</v>
      </c>
      <c r="F34" s="2">
        <v>45170</v>
      </c>
      <c r="G34" s="9">
        <f>+Hoja1!D34</f>
        <v>22131.719505000001</v>
      </c>
      <c r="H34" s="9">
        <v>74.638999999999996</v>
      </c>
      <c r="I34" s="6">
        <f t="shared" si="0"/>
        <v>3.3724898773968984E-3</v>
      </c>
      <c r="K34" s="2">
        <v>45170</v>
      </c>
      <c r="L34" s="9"/>
      <c r="M34" s="9"/>
      <c r="N34" s="6"/>
    </row>
    <row r="35" spans="1:14" x14ac:dyDescent="0.25">
      <c r="A35" s="2">
        <v>45200</v>
      </c>
      <c r="B35" s="9">
        <f>+Hoja1!C35</f>
        <v>84746.957992399999</v>
      </c>
      <c r="C35" s="9">
        <v>196.35698300000001</v>
      </c>
      <c r="D35" s="6">
        <f t="shared" si="1"/>
        <v>2.3169797199990242E-3</v>
      </c>
      <c r="F35" s="2">
        <v>45200</v>
      </c>
      <c r="G35" s="9">
        <f>+Hoja1!D35</f>
        <v>23592.291436</v>
      </c>
      <c r="H35" s="9">
        <v>67.426043000000007</v>
      </c>
      <c r="I35" s="6">
        <f t="shared" si="0"/>
        <v>2.8579692304543641E-3</v>
      </c>
      <c r="K35" s="2">
        <v>45200</v>
      </c>
      <c r="L35" s="9"/>
      <c r="M35" s="9"/>
      <c r="N35" s="6"/>
    </row>
    <row r="36" spans="1:14" x14ac:dyDescent="0.25">
      <c r="A36" s="2">
        <v>45231</v>
      </c>
      <c r="B36" s="9">
        <v>85474.42488440001</v>
      </c>
      <c r="C36" s="9">
        <v>249.12222399999999</v>
      </c>
      <c r="D36" s="6">
        <f t="shared" si="1"/>
        <v>2.9145820441251946E-3</v>
      </c>
      <c r="F36" s="2">
        <v>45231</v>
      </c>
      <c r="G36" s="9">
        <v>9947.7146690000009</v>
      </c>
      <c r="H36" s="9">
        <v>54.79</v>
      </c>
      <c r="I36" s="6">
        <f t="shared" si="0"/>
        <v>5.5077977025961272E-3</v>
      </c>
      <c r="K36" s="2">
        <v>45231</v>
      </c>
      <c r="L36" s="9"/>
      <c r="M36" s="9"/>
      <c r="N36" s="6"/>
    </row>
    <row r="37" spans="1:14" x14ac:dyDescent="0.25">
      <c r="A37" s="2">
        <v>45261</v>
      </c>
      <c r="B37" s="9">
        <v>85038.369594400006</v>
      </c>
      <c r="C37" s="9">
        <v>1103.5206109999999</v>
      </c>
      <c r="D37" s="6">
        <f t="shared" si="1"/>
        <v>1.2976737633416122E-2</v>
      </c>
      <c r="F37" s="2">
        <v>45261</v>
      </c>
      <c r="G37" s="9">
        <v>11207.771678999999</v>
      </c>
      <c r="H37" s="9">
        <v>26.414037</v>
      </c>
      <c r="I37" s="6">
        <f t="shared" si="0"/>
        <v>2.3567608046023971E-3</v>
      </c>
      <c r="K37" s="2">
        <v>45261</v>
      </c>
      <c r="L37" s="9">
        <v>59203.979072560003</v>
      </c>
      <c r="M37" s="9">
        <v>27.880648600000001</v>
      </c>
      <c r="N37" s="6">
        <f t="shared" ref="N37:N57" si="2">+M37/L37</f>
        <v>4.7092524922741531E-4</v>
      </c>
    </row>
    <row r="38" spans="1:14" x14ac:dyDescent="0.25">
      <c r="A38" s="2">
        <v>45292</v>
      </c>
      <c r="B38" s="9">
        <v>86109.523930399999</v>
      </c>
      <c r="C38" s="9">
        <v>499.27863600000001</v>
      </c>
      <c r="D38" s="6">
        <f t="shared" si="1"/>
        <v>5.7981813533605582E-3</v>
      </c>
      <c r="F38" s="2">
        <v>45292</v>
      </c>
      <c r="G38" s="9">
        <v>12855.044673</v>
      </c>
      <c r="H38" s="9">
        <v>32.972152000000001</v>
      </c>
      <c r="I38" s="6">
        <f t="shared" si="0"/>
        <v>2.5649192856756712E-3</v>
      </c>
      <c r="K38" s="2">
        <v>45292</v>
      </c>
      <c r="L38" s="9">
        <v>59214.37918992</v>
      </c>
      <c r="M38" s="9">
        <v>402.65972961</v>
      </c>
      <c r="N38" s="6">
        <f t="shared" si="2"/>
        <v>6.8000329500802117E-3</v>
      </c>
    </row>
    <row r="39" spans="1:14" x14ac:dyDescent="0.25">
      <c r="A39" s="2">
        <v>45323</v>
      </c>
      <c r="B39" s="9">
        <v>90581.595677399993</v>
      </c>
      <c r="C39" s="9">
        <v>360.73408799999999</v>
      </c>
      <c r="D39" s="6">
        <f t="shared" si="1"/>
        <v>3.982421432326376E-3</v>
      </c>
      <c r="F39" s="2">
        <v>45323</v>
      </c>
      <c r="G39" s="9">
        <v>15200.212921</v>
      </c>
      <c r="H39" s="9">
        <v>70.210525000000004</v>
      </c>
      <c r="I39" s="6">
        <f t="shared" si="0"/>
        <v>4.619048783389079E-3</v>
      </c>
      <c r="K39" s="2">
        <v>45323</v>
      </c>
      <c r="L39" s="9">
        <v>58754.179516830001</v>
      </c>
      <c r="M39" s="9">
        <v>854.96555712999998</v>
      </c>
      <c r="N39" s="6">
        <f t="shared" si="2"/>
        <v>1.4551570018692832E-2</v>
      </c>
    </row>
    <row r="40" spans="1:14" x14ac:dyDescent="0.25">
      <c r="A40" s="2">
        <v>45352</v>
      </c>
      <c r="B40" s="9">
        <f>+Hoja1!C40</f>
        <v>89035.283443400011</v>
      </c>
      <c r="C40" s="9">
        <v>4043.130459</v>
      </c>
      <c r="D40" s="6">
        <f t="shared" si="1"/>
        <v>4.5410429468338016E-2</v>
      </c>
      <c r="F40" s="2">
        <v>45352</v>
      </c>
      <c r="G40" s="9">
        <f>+Hoja1!D40</f>
        <v>16632.486199999999</v>
      </c>
      <c r="H40" s="9">
        <v>91.949513999999894</v>
      </c>
      <c r="I40" s="6">
        <f t="shared" si="0"/>
        <v>5.5283084497614009E-3</v>
      </c>
      <c r="K40" s="2">
        <v>45352</v>
      </c>
      <c r="L40" s="9">
        <f>+Hoja1!E40</f>
        <v>58123.988787460003</v>
      </c>
      <c r="M40" s="9">
        <v>1149.1598975899999</v>
      </c>
      <c r="N40" s="6">
        <f t="shared" si="2"/>
        <v>1.9770836819064389E-2</v>
      </c>
    </row>
    <row r="41" spans="1:14" x14ac:dyDescent="0.25">
      <c r="A41" s="2">
        <v>45383</v>
      </c>
      <c r="B41" s="9">
        <f>+Hoja1!C41</f>
        <v>89901.619893399999</v>
      </c>
      <c r="C41" s="9">
        <v>206.32628199999999</v>
      </c>
      <c r="D41" s="6">
        <f t="shared" si="1"/>
        <v>2.2950229622630764E-3</v>
      </c>
      <c r="F41" s="2">
        <v>45383</v>
      </c>
      <c r="G41" s="9">
        <f>+Hoja1!D41</f>
        <v>14920.795801</v>
      </c>
      <c r="H41" s="9">
        <v>76.426908999999995</v>
      </c>
      <c r="I41" s="6">
        <f t="shared" si="0"/>
        <v>5.1221737780821194E-3</v>
      </c>
      <c r="K41" s="2">
        <v>45383</v>
      </c>
      <c r="L41" s="9">
        <f>+Hoja1!E41</f>
        <v>56911.790666940004</v>
      </c>
      <c r="M41" s="9">
        <v>1309.8839023200001</v>
      </c>
      <c r="N41" s="6">
        <f t="shared" si="2"/>
        <v>2.3016037396990745E-2</v>
      </c>
    </row>
    <row r="42" spans="1:14" x14ac:dyDescent="0.25">
      <c r="A42" s="2">
        <v>45413</v>
      </c>
      <c r="B42" s="9">
        <f>+Hoja1!C42</f>
        <v>90253.219354399989</v>
      </c>
      <c r="C42" s="9">
        <v>307.39010200000001</v>
      </c>
      <c r="D42" s="6">
        <f t="shared" si="1"/>
        <v>3.4058630173951156E-3</v>
      </c>
      <c r="F42" s="2">
        <v>45413</v>
      </c>
      <c r="G42" s="9">
        <f>+Hoja1!D42</f>
        <v>15971.981019999999</v>
      </c>
      <c r="H42" s="9">
        <v>49.529561000000001</v>
      </c>
      <c r="I42" s="6">
        <f t="shared" si="0"/>
        <v>3.1010280401648012E-3</v>
      </c>
      <c r="K42" s="2">
        <v>45413</v>
      </c>
      <c r="L42" s="9">
        <f>+Hoja1!E42</f>
        <v>56512.459360160006</v>
      </c>
      <c r="M42" s="9">
        <v>1084.7299909999999</v>
      </c>
      <c r="N42" s="6">
        <f t="shared" si="2"/>
        <v>1.9194528132051351E-2</v>
      </c>
    </row>
    <row r="43" spans="1:14" x14ac:dyDescent="0.25">
      <c r="A43" s="2">
        <v>45444</v>
      </c>
      <c r="B43" s="9">
        <v>91133.023185399987</v>
      </c>
      <c r="C43" s="9">
        <v>160.629696</v>
      </c>
      <c r="D43" s="6">
        <f t="shared" ref="D43:D61" si="3">+C43/B43</f>
        <v>1.7625849597156101E-3</v>
      </c>
      <c r="F43" s="2">
        <v>45444</v>
      </c>
      <c r="G43" s="9">
        <v>17668.676959</v>
      </c>
      <c r="H43" s="9">
        <v>103.763239</v>
      </c>
      <c r="I43" s="6">
        <f t="shared" si="0"/>
        <v>5.8727226289088663E-3</v>
      </c>
      <c r="K43" s="2">
        <v>45444</v>
      </c>
      <c r="L43" s="9">
        <v>55984.563043809998</v>
      </c>
      <c r="M43" s="9">
        <v>1549.04289378</v>
      </c>
      <c r="N43" s="6">
        <f t="shared" si="2"/>
        <v>2.7669107510365248E-2</v>
      </c>
    </row>
    <row r="44" spans="1:14" x14ac:dyDescent="0.25">
      <c r="A44" s="2">
        <v>45474</v>
      </c>
      <c r="B44" s="3">
        <v>90868.151676400012</v>
      </c>
      <c r="C44" s="9">
        <v>678.32309699999996</v>
      </c>
      <c r="D44" s="6">
        <f t="shared" si="3"/>
        <v>7.4649157541538495E-3</v>
      </c>
      <c r="F44" s="2">
        <v>45474</v>
      </c>
      <c r="G44" s="9">
        <v>18790.596345000002</v>
      </c>
      <c r="H44" s="9">
        <v>140.705309</v>
      </c>
      <c r="I44" s="6">
        <f t="shared" si="0"/>
        <v>7.4880704378198371E-3</v>
      </c>
      <c r="K44" s="2">
        <v>45474</v>
      </c>
      <c r="L44" s="9">
        <v>55405.982269740001</v>
      </c>
      <c r="M44" s="9">
        <v>1294.435477</v>
      </c>
      <c r="N44" s="6">
        <f t="shared" si="2"/>
        <v>2.3362738534227854E-2</v>
      </c>
    </row>
    <row r="45" spans="1:14" x14ac:dyDescent="0.25">
      <c r="A45" s="2">
        <v>45505</v>
      </c>
      <c r="B45" s="9">
        <f>+Hoja1!C45</f>
        <v>89989.975714399989</v>
      </c>
      <c r="C45" s="9">
        <v>272.73853500000001</v>
      </c>
      <c r="D45" s="6">
        <f t="shared" si="3"/>
        <v>3.0307657362369641E-3</v>
      </c>
      <c r="F45" s="2">
        <v>45505</v>
      </c>
      <c r="G45" s="9">
        <f>+Hoja1!D45</f>
        <v>20195.29379</v>
      </c>
      <c r="H45" s="9">
        <v>99.214483000000001</v>
      </c>
      <c r="I45" s="6">
        <f t="shared" si="0"/>
        <v>4.9127526458232328E-3</v>
      </c>
      <c r="K45" s="2">
        <v>45505</v>
      </c>
      <c r="L45" s="9">
        <f>+Hoja1!E45</f>
        <v>55250.080713339994</v>
      </c>
      <c r="M45" s="9">
        <v>862.06801216999997</v>
      </c>
      <c r="N45" s="6">
        <f t="shared" si="2"/>
        <v>1.5603018150195314E-2</v>
      </c>
    </row>
    <row r="46" spans="1:14" x14ac:dyDescent="0.25">
      <c r="A46" s="2">
        <v>45536</v>
      </c>
      <c r="B46" s="9">
        <f>+Hoja1!C46</f>
        <v>90280.665459400014</v>
      </c>
      <c r="C46" s="9">
        <v>48.185889000000003</v>
      </c>
      <c r="D46" s="6">
        <f t="shared" si="3"/>
        <v>5.3373431348564446E-4</v>
      </c>
      <c r="F46" s="2">
        <v>45536</v>
      </c>
      <c r="G46" s="9">
        <f>+Hoja1!D46</f>
        <v>22074.321141</v>
      </c>
      <c r="H46" s="9">
        <v>86.030428000000001</v>
      </c>
      <c r="I46" s="6">
        <f t="shared" si="0"/>
        <v>3.8973079829037359E-3</v>
      </c>
      <c r="K46" s="2">
        <v>45536</v>
      </c>
      <c r="L46" s="9">
        <f>+Hoja1!E46</f>
        <v>54685.055435679998</v>
      </c>
      <c r="M46" s="9">
        <v>1172.6747931499999</v>
      </c>
      <c r="N46" s="6">
        <f t="shared" si="2"/>
        <v>2.144415478428632E-2</v>
      </c>
    </row>
    <row r="47" spans="1:14" x14ac:dyDescent="0.25">
      <c r="A47" s="2">
        <v>45566</v>
      </c>
      <c r="B47" s="9">
        <f>+Hoja1!C47</f>
        <v>88235.778234400015</v>
      </c>
      <c r="C47" s="9">
        <v>1361.528554</v>
      </c>
      <c r="D47" s="6">
        <f t="shared" si="3"/>
        <v>1.54305722830831E-2</v>
      </c>
      <c r="F47" s="2">
        <v>45566</v>
      </c>
      <c r="G47" s="9">
        <f>+Hoja1!D47</f>
        <v>23069.178348000001</v>
      </c>
      <c r="H47" s="9">
        <v>123.91804500000001</v>
      </c>
      <c r="I47" s="6">
        <f t="shared" si="0"/>
        <v>5.3715846802468879E-3</v>
      </c>
      <c r="K47" s="2">
        <v>45566</v>
      </c>
      <c r="L47" s="9">
        <f>+Hoja1!E47</f>
        <v>54017.92807034</v>
      </c>
      <c r="M47" s="9">
        <v>933.56014892999997</v>
      </c>
      <c r="N47" s="6">
        <f t="shared" si="2"/>
        <v>1.7282413122442518E-2</v>
      </c>
    </row>
    <row r="48" spans="1:14" x14ac:dyDescent="0.25">
      <c r="A48" s="2">
        <v>45597</v>
      </c>
      <c r="B48" s="9">
        <f>+Hoja1!C48</f>
        <v>87723.37234039999</v>
      </c>
      <c r="C48" s="9">
        <v>792.85436200000004</v>
      </c>
      <c r="D48" s="6">
        <f t="shared" si="3"/>
        <v>9.0381199542058661E-3</v>
      </c>
      <c r="F48" s="2">
        <v>45597</v>
      </c>
      <c r="G48" s="9">
        <f>+Hoja1!D48</f>
        <v>9512.7389870000006</v>
      </c>
      <c r="H48" s="9">
        <v>123</v>
      </c>
      <c r="I48" s="6">
        <f t="shared" si="0"/>
        <v>1.2930029949112487E-2</v>
      </c>
      <c r="K48" s="2">
        <v>45597</v>
      </c>
      <c r="L48" s="9">
        <f>+Hoja1!E48</f>
        <v>53846.862055089994</v>
      </c>
      <c r="M48" s="9">
        <v>899.83803799999998</v>
      </c>
      <c r="N48" s="6">
        <f t="shared" si="2"/>
        <v>1.6711058057187953E-2</v>
      </c>
    </row>
    <row r="49" spans="1:14" x14ac:dyDescent="0.25">
      <c r="A49" s="2">
        <v>45627</v>
      </c>
      <c r="B49" s="9">
        <f>+Hoja1!C49</f>
        <v>89551.24295439999</v>
      </c>
      <c r="C49" s="9">
        <v>207.906373</v>
      </c>
      <c r="D49" s="6">
        <f t="shared" si="3"/>
        <v>2.3216469826763558E-3</v>
      </c>
      <c r="F49" s="2">
        <v>45627</v>
      </c>
      <c r="G49" s="9">
        <f>+Hoja1!D49</f>
        <v>10492.840273</v>
      </c>
      <c r="H49" s="9">
        <v>55.641219</v>
      </c>
      <c r="I49" s="6">
        <f t="shared" si="0"/>
        <v>5.3027795670515495E-3</v>
      </c>
      <c r="K49" s="2">
        <v>45627</v>
      </c>
      <c r="L49" s="9">
        <f>+Hoja1!E49</f>
        <v>53741.097186779996</v>
      </c>
      <c r="M49" s="9">
        <v>776.45373600000005</v>
      </c>
      <c r="N49" s="6">
        <f t="shared" si="2"/>
        <v>1.4448043985804652E-2</v>
      </c>
    </row>
    <row r="50" spans="1:14" x14ac:dyDescent="0.25">
      <c r="A50" s="2">
        <v>45658</v>
      </c>
      <c r="B50" s="9">
        <f>+Hoja1!C50</f>
        <v>91352.12850240001</v>
      </c>
      <c r="C50" s="9">
        <v>286.401928</v>
      </c>
      <c r="D50" s="6">
        <f t="shared" si="3"/>
        <v>3.1351423628019309E-3</v>
      </c>
      <c r="F50" s="2">
        <v>45658</v>
      </c>
      <c r="G50" s="9">
        <f>+Hoja1!D50</f>
        <v>12226.253343</v>
      </c>
      <c r="H50" s="9">
        <v>36.679225000000002</v>
      </c>
      <c r="I50" s="6">
        <f t="shared" si="0"/>
        <v>3.000038030538625E-3</v>
      </c>
      <c r="K50" s="2">
        <v>45658</v>
      </c>
      <c r="L50" s="9">
        <f>+Hoja1!E50</f>
        <v>53567.8609564</v>
      </c>
      <c r="M50" s="9">
        <v>462.207492</v>
      </c>
      <c r="N50" s="6">
        <f t="shared" si="2"/>
        <v>8.6284477996274728E-3</v>
      </c>
    </row>
    <row r="51" spans="1:14" x14ac:dyDescent="0.25">
      <c r="A51" s="2">
        <v>45689</v>
      </c>
      <c r="B51" s="9">
        <f>+Hoja1!C51</f>
        <v>92480.890455999994</v>
      </c>
      <c r="C51" s="9">
        <v>619.50145999999995</v>
      </c>
      <c r="D51" s="6">
        <f t="shared" si="3"/>
        <v>6.698696962641624E-3</v>
      </c>
      <c r="F51" s="2">
        <v>45689</v>
      </c>
      <c r="G51" s="9">
        <f>+Hoja1!D51</f>
        <v>14315.477568</v>
      </c>
      <c r="H51" s="9">
        <v>72.481138000000001</v>
      </c>
      <c r="I51" s="6">
        <f t="shared" si="0"/>
        <v>5.0631309822328384E-3</v>
      </c>
      <c r="K51" s="2">
        <v>45689</v>
      </c>
      <c r="L51" s="9">
        <f>+Hoja1!E51</f>
        <v>52938.945718459996</v>
      </c>
      <c r="M51" s="9">
        <v>1363.25242</v>
      </c>
      <c r="N51" s="6">
        <f t="shared" si="2"/>
        <v>2.5751408561289674E-2</v>
      </c>
    </row>
    <row r="52" spans="1:14" x14ac:dyDescent="0.25">
      <c r="A52" s="2">
        <v>45717</v>
      </c>
      <c r="B52" s="9">
        <f>+Hoja1!C52</f>
        <v>92822.723035000003</v>
      </c>
      <c r="C52" s="9">
        <v>140.01309499999999</v>
      </c>
      <c r="D52" s="6">
        <f t="shared" si="3"/>
        <v>1.5083924541537772E-3</v>
      </c>
      <c r="F52" s="2">
        <v>45717</v>
      </c>
      <c r="G52" s="9">
        <f>+Hoja1!D52</f>
        <v>16034.148997</v>
      </c>
      <c r="H52" s="9">
        <v>55.188676999999998</v>
      </c>
      <c r="I52" s="6">
        <f t="shared" si="0"/>
        <v>3.4419461245075019E-3</v>
      </c>
      <c r="K52" s="2">
        <v>45717</v>
      </c>
      <c r="L52" s="9">
        <f>+Hoja1!E52</f>
        <v>52629.357376020002</v>
      </c>
      <c r="M52" s="9">
        <v>893.95885299999998</v>
      </c>
      <c r="N52" s="6">
        <f t="shared" si="2"/>
        <v>1.6985935180871554E-2</v>
      </c>
    </row>
    <row r="53" spans="1:14" x14ac:dyDescent="0.25">
      <c r="A53" s="2">
        <v>45748</v>
      </c>
      <c r="B53" s="9">
        <f>+Hoja1!C53</f>
        <v>92923.129864999995</v>
      </c>
      <c r="C53" s="9">
        <v>362.73032899999998</v>
      </c>
      <c r="D53" s="6">
        <f t="shared" si="3"/>
        <v>3.9035526410591162E-3</v>
      </c>
      <c r="F53" s="2">
        <v>45748</v>
      </c>
      <c r="G53" s="9">
        <f>+Hoja1!D53</f>
        <v>14963.165435000001</v>
      </c>
      <c r="H53" s="9">
        <v>63.397567000000002</v>
      </c>
      <c r="I53" s="6">
        <f t="shared" ref="I53:I61" si="4">+H53/G53</f>
        <v>4.2369087794557284E-3</v>
      </c>
      <c r="K53" s="2">
        <v>45748</v>
      </c>
      <c r="L53" s="9">
        <f>+Hoja1!E53</f>
        <v>52559.051662470003</v>
      </c>
      <c r="M53" s="9">
        <v>804.33192651000002</v>
      </c>
      <c r="N53" s="6">
        <f t="shared" si="2"/>
        <v>1.5303394963732505E-2</v>
      </c>
    </row>
    <row r="54" spans="1:14" x14ac:dyDescent="0.25">
      <c r="A54" s="2">
        <v>45778</v>
      </c>
      <c r="B54" s="9">
        <f>+Hoja1!C54</f>
        <v>93039.532621999999</v>
      </c>
      <c r="C54" s="9">
        <v>861.01872900000001</v>
      </c>
      <c r="D54" s="6">
        <f t="shared" si="3"/>
        <v>9.254332053645814E-3</v>
      </c>
      <c r="F54" s="2">
        <v>45778</v>
      </c>
      <c r="G54" s="9">
        <f>+Hoja1!D54</f>
        <v>16500.702423999999</v>
      </c>
      <c r="H54" s="9">
        <v>44.036746999999998</v>
      </c>
      <c r="I54" s="6">
        <f t="shared" si="4"/>
        <v>2.6687801445318643E-3</v>
      </c>
      <c r="K54" s="2">
        <v>45778</v>
      </c>
      <c r="L54" s="9">
        <f>+Hoja1!E54</f>
        <v>52530.324475499998</v>
      </c>
      <c r="M54" s="9">
        <v>777.540978</v>
      </c>
      <c r="N54" s="6">
        <f t="shared" si="2"/>
        <v>1.4801754715271995E-2</v>
      </c>
    </row>
    <row r="55" spans="1:14" x14ac:dyDescent="0.25">
      <c r="A55" s="2">
        <v>45809</v>
      </c>
      <c r="B55" s="9">
        <f>+Hoja1!C55</f>
        <v>96739.680731</v>
      </c>
      <c r="C55" s="9">
        <v>19.545981000000001</v>
      </c>
      <c r="D55" s="6">
        <f t="shared" si="3"/>
        <v>2.0204719358492298E-4</v>
      </c>
      <c r="F55" s="2">
        <v>45809</v>
      </c>
      <c r="G55" s="9">
        <f>+Hoja1!D55</f>
        <v>18455.995974000001</v>
      </c>
      <c r="H55" s="9">
        <v>65.094532999999998</v>
      </c>
      <c r="I55" s="6">
        <f t="shared" si="4"/>
        <v>3.5270127438097802E-3</v>
      </c>
      <c r="K55" s="2">
        <v>45809</v>
      </c>
      <c r="L55" s="9">
        <f>+Hoja1!E55</f>
        <v>52528.584659</v>
      </c>
      <c r="M55" s="9">
        <v>611.82780400000001</v>
      </c>
      <c r="N55" s="6">
        <f t="shared" si="2"/>
        <v>1.1647521211009296E-2</v>
      </c>
    </row>
    <row r="56" spans="1:14" x14ac:dyDescent="0.25">
      <c r="A56" s="2">
        <v>45839</v>
      </c>
      <c r="B56" s="9">
        <f>+Hoja1!C56</f>
        <v>100212.81626199999</v>
      </c>
      <c r="C56" s="9">
        <v>214.567161</v>
      </c>
      <c r="D56" s="6">
        <f t="shared" si="3"/>
        <v>2.1411149691575168E-3</v>
      </c>
      <c r="F56" s="2">
        <v>45839</v>
      </c>
      <c r="G56" s="9">
        <f>+Hoja1!D56</f>
        <v>20047.431488999999</v>
      </c>
      <c r="H56" s="9">
        <v>94.030844999999999</v>
      </c>
      <c r="I56" s="6">
        <f t="shared" si="4"/>
        <v>4.6904185731521074E-3</v>
      </c>
      <c r="K56" s="2">
        <v>45839</v>
      </c>
      <c r="L56" s="9">
        <f>+Hoja1!E56</f>
        <v>52497.182231209998</v>
      </c>
      <c r="M56" s="32">
        <v>460.03569700000003</v>
      </c>
      <c r="N56" s="6">
        <f t="shared" si="2"/>
        <v>8.7630550335805468E-3</v>
      </c>
    </row>
    <row r="57" spans="1:14" x14ac:dyDescent="0.25">
      <c r="A57" s="2">
        <v>45870</v>
      </c>
      <c r="B57" s="9">
        <f>+Hoja1!C57</f>
        <v>103031.082476</v>
      </c>
      <c r="C57" s="9">
        <v>267.68353999999999</v>
      </c>
      <c r="D57" s="6">
        <f t="shared" si="3"/>
        <v>2.5980852920025766E-3</v>
      </c>
      <c r="F57" s="2">
        <v>45870</v>
      </c>
      <c r="G57" s="9">
        <f>+Hoja1!D57</f>
        <v>21944.876471</v>
      </c>
      <c r="H57" s="9">
        <v>84.104546999999997</v>
      </c>
      <c r="I57" s="6">
        <f t="shared" si="4"/>
        <v>3.8325368161057352E-3</v>
      </c>
      <c r="K57" s="2">
        <v>45870</v>
      </c>
      <c r="L57" s="9">
        <f>+Hoja1!E57</f>
        <v>52650.209710000003</v>
      </c>
      <c r="M57" s="9">
        <v>742.52669700000001</v>
      </c>
      <c r="N57" s="6">
        <f t="shared" si="2"/>
        <v>1.4103014994429734E-2</v>
      </c>
    </row>
    <row r="58" spans="1:14" x14ac:dyDescent="0.25">
      <c r="A58" s="2">
        <v>45901</v>
      </c>
      <c r="B58" s="9">
        <f>+Hoja1!C58</f>
        <v>107019.998305</v>
      </c>
      <c r="C58" s="9">
        <v>272.06645900000001</v>
      </c>
      <c r="D58" s="6">
        <f t="shared" si="3"/>
        <v>2.5422020492340915E-3</v>
      </c>
      <c r="F58" s="2">
        <v>45901</v>
      </c>
      <c r="G58" s="9">
        <f>+Hoja1!D58</f>
        <v>24201.65913</v>
      </c>
      <c r="H58" s="9">
        <v>14.4494527</v>
      </c>
      <c r="I58" s="6">
        <f t="shared" si="4"/>
        <v>5.9704388952775073E-4</v>
      </c>
      <c r="K58" s="2">
        <v>45901</v>
      </c>
      <c r="L58" s="9">
        <f>+Hoja1!E58</f>
        <v>51734.270165000002</v>
      </c>
      <c r="M58" s="9">
        <v>835.96431600000005</v>
      </c>
      <c r="N58" s="6">
        <f>+M58/L58</f>
        <v>1.6158811428745319E-2</v>
      </c>
    </row>
    <row r="59" spans="1:14" x14ac:dyDescent="0.25">
      <c r="A59" s="2">
        <v>45931</v>
      </c>
      <c r="B59" s="9">
        <f>+Hoja1!C59</f>
        <v>107711.847996</v>
      </c>
      <c r="C59" s="9">
        <v>746.92165799999998</v>
      </c>
      <c r="D59" s="6">
        <f t="shared" si="3"/>
        <v>6.9344428853150659E-3</v>
      </c>
      <c r="F59" s="2">
        <v>45931</v>
      </c>
      <c r="G59" s="9">
        <f>+Hoja1!D59</f>
        <v>25620.820239000001</v>
      </c>
      <c r="H59" s="9">
        <v>13.180054500000001</v>
      </c>
      <c r="I59" s="6">
        <f t="shared" si="4"/>
        <v>5.1442749986346369E-4</v>
      </c>
      <c r="K59" s="2">
        <v>45931</v>
      </c>
      <c r="L59" s="9">
        <f>+Hoja1!E59</f>
        <v>51646.937841999999</v>
      </c>
      <c r="M59" s="9">
        <v>683.62389099999996</v>
      </c>
      <c r="N59" s="6">
        <f>+M59/L59</f>
        <v>1.3236484476414933E-2</v>
      </c>
    </row>
    <row r="60" spans="1:14" x14ac:dyDescent="0.25">
      <c r="A60" s="2">
        <v>45962</v>
      </c>
      <c r="B60" s="9">
        <f>+Hoja1!C60</f>
        <v>110869.99139</v>
      </c>
      <c r="C60" s="9">
        <v>631.88958500000001</v>
      </c>
      <c r="D60" s="6">
        <f t="shared" si="3"/>
        <v>5.6993743489818088E-3</v>
      </c>
      <c r="F60" s="2">
        <v>45962</v>
      </c>
      <c r="G60" s="9">
        <f>+Hoja1!D60</f>
        <v>11080.241754000001</v>
      </c>
      <c r="H60" s="9">
        <v>16.5879577</v>
      </c>
      <c r="I60" s="6">
        <f t="shared" si="4"/>
        <v>1.4970754310492998E-3</v>
      </c>
      <c r="K60" s="2">
        <v>45962</v>
      </c>
      <c r="L60" s="9">
        <f>+Hoja1!E60</f>
        <v>51680.282883</v>
      </c>
      <c r="M60" s="9">
        <v>459.14029599999998</v>
      </c>
      <c r="N60" s="6">
        <f>+M60/L60</f>
        <v>8.8842450231833413E-3</v>
      </c>
    </row>
    <row r="61" spans="1:14" x14ac:dyDescent="0.25">
      <c r="A61" s="2">
        <v>45992</v>
      </c>
      <c r="B61" s="9">
        <f>+Hoja1!C61</f>
        <v>114965.343452</v>
      </c>
      <c r="C61" s="9">
        <v>318.48111399999999</v>
      </c>
      <c r="D61" s="6">
        <f t="shared" si="3"/>
        <v>2.770235833140196E-3</v>
      </c>
      <c r="F61" s="2">
        <v>45992</v>
      </c>
      <c r="G61" s="9">
        <f>+Hoja1!D61</f>
        <v>12003.76993</v>
      </c>
      <c r="H61" s="9">
        <v>10.4091819</v>
      </c>
      <c r="I61" s="6">
        <f t="shared" si="4"/>
        <v>8.6715939748105452E-4</v>
      </c>
      <c r="K61" s="2">
        <v>45992</v>
      </c>
      <c r="L61" s="9">
        <f>+Hoja1!E61</f>
        <v>51956.527615999999</v>
      </c>
      <c r="M61" s="9">
        <v>366.38995399999999</v>
      </c>
      <c r="N61" s="6">
        <f>+M61/L61</f>
        <v>7.0518560575855401E-3</v>
      </c>
    </row>
    <row r="62" spans="1:14" x14ac:dyDescent="0.25">
      <c r="M62" s="32"/>
    </row>
    <row r="63" spans="1:14" x14ac:dyDescent="0.25">
      <c r="B63" s="38" t="s">
        <v>5</v>
      </c>
      <c r="C63" s="38"/>
      <c r="D63" s="38"/>
      <c r="E63" s="38"/>
      <c r="F63" t="s">
        <v>18</v>
      </c>
    </row>
    <row r="82" spans="2:6" x14ac:dyDescent="0.25">
      <c r="B82" s="38" t="s">
        <v>5</v>
      </c>
      <c r="C82" s="38"/>
      <c r="D82" s="38"/>
      <c r="E82" s="38"/>
      <c r="F82" t="s">
        <v>18</v>
      </c>
    </row>
    <row r="103" spans="2:6" x14ac:dyDescent="0.25">
      <c r="B103" s="38" t="s">
        <v>5</v>
      </c>
      <c r="C103" s="38"/>
      <c r="D103" s="38"/>
      <c r="E103" s="38"/>
      <c r="F103" t="s">
        <v>18</v>
      </c>
    </row>
    <row r="123" spans="2:6" x14ac:dyDescent="0.25">
      <c r="B123" s="38" t="s">
        <v>5</v>
      </c>
      <c r="C123" s="38"/>
      <c r="D123" s="38"/>
      <c r="E123" s="38"/>
      <c r="F123" t="s">
        <v>18</v>
      </c>
    </row>
  </sheetData>
  <mergeCells count="4">
    <mergeCell ref="B63:E63"/>
    <mergeCell ref="B82:E82"/>
    <mergeCell ref="B103:E103"/>
    <mergeCell ref="B123:E123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74BFC-6F20-4910-88A5-1BDBBE850D40}">
  <dimension ref="A1:E14"/>
  <sheetViews>
    <sheetView workbookViewId="0">
      <selection activeCell="G1" sqref="G1"/>
    </sheetView>
  </sheetViews>
  <sheetFormatPr baseColWidth="10" defaultRowHeight="15" x14ac:dyDescent="0.25"/>
  <sheetData>
    <row r="1" spans="1:5" ht="90" x14ac:dyDescent="0.25">
      <c r="A1" t="s">
        <v>1</v>
      </c>
      <c r="B1" s="29" t="s">
        <v>14</v>
      </c>
      <c r="C1" s="29" t="s">
        <v>16</v>
      </c>
      <c r="D1" s="29" t="s">
        <v>15</v>
      </c>
      <c r="E1" s="29" t="s">
        <v>17</v>
      </c>
    </row>
    <row r="2" spans="1:5" x14ac:dyDescent="0.25">
      <c r="A2" s="2">
        <v>45627</v>
      </c>
      <c r="B2" s="9">
        <v>207.906373</v>
      </c>
      <c r="C2" s="6">
        <v>2.3216469826763558E-3</v>
      </c>
      <c r="D2" s="9">
        <v>55.641219</v>
      </c>
      <c r="E2" s="6">
        <v>5.3027795670515495E-3</v>
      </c>
    </row>
    <row r="3" spans="1:5" x14ac:dyDescent="0.25">
      <c r="A3" s="2">
        <v>45658</v>
      </c>
      <c r="B3" s="9">
        <v>286.401928</v>
      </c>
      <c r="C3" s="6">
        <v>3.1351423628019309E-3</v>
      </c>
      <c r="D3" s="9">
        <v>36.679225000000002</v>
      </c>
      <c r="E3" s="6">
        <v>3.000038030538625E-3</v>
      </c>
    </row>
    <row r="4" spans="1:5" x14ac:dyDescent="0.25">
      <c r="A4" s="2">
        <v>45689</v>
      </c>
      <c r="B4" s="9">
        <v>619.50145999999995</v>
      </c>
      <c r="C4" s="6">
        <v>6.698696962641624E-3</v>
      </c>
      <c r="D4" s="9">
        <v>72.481138000000001</v>
      </c>
      <c r="E4" s="6">
        <v>5.0631309822328384E-3</v>
      </c>
    </row>
    <row r="5" spans="1:5" x14ac:dyDescent="0.25">
      <c r="A5" s="2">
        <v>45717</v>
      </c>
      <c r="B5" s="9">
        <v>140.01309499999999</v>
      </c>
      <c r="C5" s="6">
        <v>1.5083924541537772E-3</v>
      </c>
      <c r="D5" s="9">
        <v>55.188676999999998</v>
      </c>
      <c r="E5" s="6">
        <v>3.4419461245075019E-3</v>
      </c>
    </row>
    <row r="6" spans="1:5" x14ac:dyDescent="0.25">
      <c r="A6" s="2">
        <v>45748</v>
      </c>
      <c r="B6" s="9">
        <v>362.73032899999998</v>
      </c>
      <c r="C6" s="6">
        <v>3.9035526410591162E-3</v>
      </c>
      <c r="D6" s="9">
        <v>63.397567000000002</v>
      </c>
      <c r="E6" s="6">
        <v>4.2369087794557284E-3</v>
      </c>
    </row>
    <row r="7" spans="1:5" x14ac:dyDescent="0.25">
      <c r="A7" s="2">
        <v>45778</v>
      </c>
      <c r="B7" s="9">
        <v>861.01872900000001</v>
      </c>
      <c r="C7" s="6">
        <v>9.254332053645814E-3</v>
      </c>
      <c r="D7" s="9">
        <v>44.036746999999998</v>
      </c>
      <c r="E7" s="6">
        <v>2.6687801445318643E-3</v>
      </c>
    </row>
    <row r="8" spans="1:5" x14ac:dyDescent="0.25">
      <c r="A8" s="2">
        <v>45809</v>
      </c>
      <c r="B8" s="9">
        <v>19.545981000000001</v>
      </c>
      <c r="C8" s="6">
        <v>2.0204719358492298E-4</v>
      </c>
      <c r="D8" s="9">
        <v>65.094532999999998</v>
      </c>
      <c r="E8" s="6">
        <v>3.5270127438097802E-3</v>
      </c>
    </row>
    <row r="9" spans="1:5" x14ac:dyDescent="0.25">
      <c r="A9" s="2">
        <v>45839</v>
      </c>
      <c r="B9" s="9">
        <v>214.567161</v>
      </c>
      <c r="C9" s="6">
        <v>2.1411149691575168E-3</v>
      </c>
      <c r="D9" s="9">
        <v>94.030844999999999</v>
      </c>
      <c r="E9" s="6">
        <v>4.6904185731521074E-3</v>
      </c>
    </row>
    <row r="10" spans="1:5" x14ac:dyDescent="0.25">
      <c r="A10" s="2">
        <v>45870</v>
      </c>
      <c r="B10" s="9">
        <v>267.68353999999999</v>
      </c>
      <c r="C10" s="6">
        <v>2.5980852920025766E-3</v>
      </c>
      <c r="D10" s="9">
        <v>84.104546999999997</v>
      </c>
      <c r="E10" s="6">
        <v>3.8325368161057352E-3</v>
      </c>
    </row>
    <row r="11" spans="1:5" x14ac:dyDescent="0.25">
      <c r="A11" s="2">
        <v>45901</v>
      </c>
      <c r="B11" s="9">
        <v>272.06645900000001</v>
      </c>
      <c r="C11" s="6">
        <v>2.5422020492340915E-3</v>
      </c>
      <c r="D11" s="9">
        <v>14.4494527</v>
      </c>
      <c r="E11" s="6">
        <v>5.9704388952775073E-4</v>
      </c>
    </row>
    <row r="12" spans="1:5" x14ac:dyDescent="0.25">
      <c r="A12" s="2">
        <v>45931</v>
      </c>
      <c r="B12" s="9">
        <v>746.92165799999998</v>
      </c>
      <c r="C12" s="6">
        <v>6.9344428853150659E-3</v>
      </c>
      <c r="D12" s="9">
        <v>13.180054500000001</v>
      </c>
      <c r="E12" s="6">
        <v>5.1442749986346369E-4</v>
      </c>
    </row>
    <row r="13" spans="1:5" x14ac:dyDescent="0.25">
      <c r="A13" s="2">
        <v>45962</v>
      </c>
      <c r="B13" s="9">
        <v>631.88958500000001</v>
      </c>
      <c r="C13" s="6">
        <v>5.6993743489818088E-3</v>
      </c>
      <c r="D13" s="9">
        <v>16.5879577</v>
      </c>
      <c r="E13" s="6">
        <v>1.4970754310492998E-3</v>
      </c>
    </row>
    <row r="14" spans="1:5" x14ac:dyDescent="0.25">
      <c r="A14" s="2">
        <v>45992</v>
      </c>
      <c r="B14" s="9">
        <v>318.48111399999999</v>
      </c>
      <c r="C14" s="6">
        <v>2.770235833140196E-3</v>
      </c>
      <c r="D14" s="9">
        <v>10.4091819</v>
      </c>
      <c r="E14" s="6">
        <v>8.6715939748105452E-4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39818-73A3-47E4-8D5D-F4DEC13EC588}">
  <dimension ref="A1:U16"/>
  <sheetViews>
    <sheetView zoomScale="92" workbookViewId="0">
      <selection activeCell="F16" sqref="F16"/>
    </sheetView>
  </sheetViews>
  <sheetFormatPr baseColWidth="10" defaultRowHeight="15" x14ac:dyDescent="0.25"/>
  <cols>
    <col min="2" max="2" width="14.5703125" bestFit="1" customWidth="1"/>
    <col min="3" max="3" width="11" bestFit="1" customWidth="1"/>
    <col min="4" max="4" width="13.5703125" bestFit="1" customWidth="1"/>
    <col min="5" max="5" width="11" bestFit="1" customWidth="1"/>
    <col min="6" max="6" width="24.42578125" bestFit="1" customWidth="1"/>
    <col min="7" max="7" width="11" bestFit="1" customWidth="1"/>
    <col min="8" max="8" width="27.42578125" customWidth="1"/>
    <col min="9" max="9" width="11" bestFit="1" customWidth="1"/>
    <col min="10" max="10" width="13.5703125" bestFit="1" customWidth="1"/>
    <col min="11" max="11" width="12.42578125" bestFit="1" customWidth="1"/>
    <col min="12" max="12" width="16" customWidth="1"/>
    <col min="13" max="13" width="10.42578125" customWidth="1"/>
    <col min="14" max="14" width="10.5703125" customWidth="1"/>
    <col min="15" max="15" width="12.42578125" customWidth="1"/>
    <col min="16" max="17" width="8.5703125" customWidth="1"/>
    <col min="18" max="18" width="14.5703125" customWidth="1"/>
    <col min="20" max="20" width="12.42578125" customWidth="1"/>
  </cols>
  <sheetData>
    <row r="1" spans="1:21" ht="15.75" thickBot="1" x14ac:dyDescent="0.3">
      <c r="A1" t="s">
        <v>30</v>
      </c>
      <c r="B1" t="s">
        <v>31</v>
      </c>
      <c r="C1" t="s">
        <v>32</v>
      </c>
      <c r="D1" t="s">
        <v>33</v>
      </c>
      <c r="E1" t="s">
        <v>32</v>
      </c>
      <c r="F1" t="s">
        <v>34</v>
      </c>
      <c r="G1" t="s">
        <v>32</v>
      </c>
      <c r="H1" t="s">
        <v>35</v>
      </c>
      <c r="I1" t="s">
        <v>32</v>
      </c>
      <c r="J1" t="s">
        <v>36</v>
      </c>
      <c r="K1" t="s">
        <v>32</v>
      </c>
      <c r="L1" t="s">
        <v>37</v>
      </c>
      <c r="M1" t="s">
        <v>38</v>
      </c>
    </row>
    <row r="2" spans="1:21" ht="12.75" customHeight="1" thickBot="1" x14ac:dyDescent="0.3">
      <c r="A2" s="2">
        <v>45261</v>
      </c>
      <c r="B2" s="9">
        <f>(136107053.72/A15)/1000</f>
        <v>136.10705372000001</v>
      </c>
      <c r="C2" s="3">
        <v>38</v>
      </c>
      <c r="D2" s="9">
        <f>(48823537.87/A15)/1000</f>
        <v>48.823537870000003</v>
      </c>
      <c r="E2" s="3">
        <v>14</v>
      </c>
      <c r="F2" s="9">
        <f>(7277466.03/A15)/1000</f>
        <v>7.2774660300000003</v>
      </c>
      <c r="G2" s="3">
        <v>4</v>
      </c>
      <c r="H2" s="3">
        <f>(139709334.65/A15)/1000</f>
        <v>139.70933465000002</v>
      </c>
      <c r="I2" s="3">
        <f>64+17</f>
        <v>81</v>
      </c>
      <c r="J2" s="3"/>
      <c r="K2" s="3"/>
      <c r="L2" s="9">
        <f>+(B2+D2+F2+H2)</f>
        <v>331.91739227000005</v>
      </c>
      <c r="M2" s="3">
        <f t="shared" ref="M2:M4" si="0">+C2+E2+G2+I2</f>
        <v>137</v>
      </c>
      <c r="Q2" s="39" t="s">
        <v>42</v>
      </c>
      <c r="R2" s="40"/>
      <c r="S2" s="40"/>
      <c r="T2" s="41"/>
    </row>
    <row r="3" spans="1:21" ht="24.75" customHeight="1" thickBot="1" x14ac:dyDescent="0.3">
      <c r="A3" s="2">
        <v>45292</v>
      </c>
      <c r="B3" s="9">
        <f>(484361705.727/A15)/1000</f>
        <v>484.36170572700001</v>
      </c>
      <c r="C3" s="3">
        <v>138</v>
      </c>
      <c r="D3" s="9">
        <f>(103895026.872/A15)/1000</f>
        <v>103.89502687199999</v>
      </c>
      <c r="E3" s="3">
        <v>59</v>
      </c>
      <c r="F3" s="9">
        <f>(77455798.96/A15)/1000</f>
        <v>77.455798959999996</v>
      </c>
      <c r="G3" s="3">
        <v>19</v>
      </c>
      <c r="H3" s="3">
        <f>(402659729.61/A15)/1000</f>
        <v>402.65972961000006</v>
      </c>
      <c r="I3" s="3">
        <v>165</v>
      </c>
      <c r="J3" s="3"/>
      <c r="K3" s="3"/>
      <c r="L3" s="9">
        <f>(+B3+D3+F3+H3)</f>
        <v>1068.372261169</v>
      </c>
      <c r="M3" s="3">
        <f t="shared" si="0"/>
        <v>381</v>
      </c>
      <c r="Q3" s="19" t="s">
        <v>31</v>
      </c>
      <c r="R3" s="19" t="s">
        <v>41</v>
      </c>
      <c r="S3" s="19" t="s">
        <v>43</v>
      </c>
      <c r="T3" s="19" t="s">
        <v>37</v>
      </c>
    </row>
    <row r="4" spans="1:21" ht="15.75" thickBot="1" x14ac:dyDescent="0.3">
      <c r="A4" s="2">
        <v>45323</v>
      </c>
      <c r="B4" s="9">
        <f>(457715701.781/A15)/1000</f>
        <v>457.71570178100001</v>
      </c>
      <c r="C4" s="3">
        <v>99</v>
      </c>
      <c r="D4" s="9">
        <f>(84458080.105/A15)/1000</f>
        <v>84.458080105000008</v>
      </c>
      <c r="E4" s="3">
        <v>28</v>
      </c>
      <c r="F4" s="9">
        <f>(322918345.978/A15)/1000</f>
        <v>322.91834597799999</v>
      </c>
      <c r="G4" s="3">
        <v>69</v>
      </c>
      <c r="H4" s="3">
        <f>(854965557.13/A15)/1000</f>
        <v>854.96555712999998</v>
      </c>
      <c r="I4" s="3">
        <v>462</v>
      </c>
      <c r="J4" s="3">
        <v>0</v>
      </c>
      <c r="K4" s="3">
        <v>0</v>
      </c>
      <c r="L4" s="9">
        <f>(+B4+D4+F4+H4)</f>
        <v>1720.0576849940001</v>
      </c>
      <c r="M4" s="3">
        <f t="shared" si="0"/>
        <v>658</v>
      </c>
      <c r="P4" s="20">
        <v>45261</v>
      </c>
      <c r="Q4" s="13">
        <v>38</v>
      </c>
      <c r="R4" s="13">
        <v>14</v>
      </c>
      <c r="S4" s="13">
        <v>4</v>
      </c>
      <c r="T4" s="16">
        <v>137</v>
      </c>
    </row>
    <row r="5" spans="1:21" ht="15.75" thickBot="1" x14ac:dyDescent="0.3">
      <c r="A5" s="2">
        <v>45352</v>
      </c>
      <c r="B5" s="9">
        <f>(325075195.74/A15)/1000</f>
        <v>325.07519573999997</v>
      </c>
      <c r="C5" s="3">
        <v>71</v>
      </c>
      <c r="D5" s="9">
        <f>(24815932.99/A15)/1000</f>
        <v>24.815932989999997</v>
      </c>
      <c r="E5" s="3">
        <v>11</v>
      </c>
      <c r="F5" s="9">
        <f>(273992603.07/A15)/1000</f>
        <v>273.99260307000003</v>
      </c>
      <c r="G5" s="3">
        <v>98</v>
      </c>
      <c r="H5" s="3">
        <f>(1149159897.59/A15)/1000</f>
        <v>1149.1598975899999</v>
      </c>
      <c r="I5" s="3">
        <v>440</v>
      </c>
      <c r="L5" s="9">
        <f>(+B5+D5+F5+H5)</f>
        <v>1773.04362939</v>
      </c>
      <c r="M5" s="3">
        <f t="shared" ref="M5:M6" si="1">+C5+E5+G5+I5</f>
        <v>620</v>
      </c>
      <c r="P5" s="20">
        <v>45292</v>
      </c>
      <c r="Q5" s="14">
        <v>138</v>
      </c>
      <c r="R5" s="14">
        <v>59</v>
      </c>
      <c r="S5" s="14">
        <v>19</v>
      </c>
      <c r="T5" s="17">
        <v>381</v>
      </c>
    </row>
    <row r="6" spans="1:21" ht="15.75" thickBot="1" x14ac:dyDescent="0.3">
      <c r="A6" s="2">
        <v>45383</v>
      </c>
      <c r="B6" s="9">
        <v>207.25432162000001</v>
      </c>
      <c r="C6" s="3">
        <v>69</v>
      </c>
      <c r="D6" s="9">
        <v>119.5490911</v>
      </c>
      <c r="E6" s="3">
        <v>12</v>
      </c>
      <c r="F6" s="9">
        <v>201.36193700999999</v>
      </c>
      <c r="G6" s="3">
        <v>81</v>
      </c>
      <c r="H6" s="9">
        <v>1309.8839023200001</v>
      </c>
      <c r="I6" s="3">
        <v>413</v>
      </c>
      <c r="L6" s="9">
        <f>(+B6+D6+F6+H6)</f>
        <v>1838.0492520500002</v>
      </c>
      <c r="M6" s="3">
        <f t="shared" si="1"/>
        <v>575</v>
      </c>
      <c r="P6" s="20">
        <v>45323</v>
      </c>
      <c r="Q6" s="14">
        <v>99</v>
      </c>
      <c r="R6" s="14">
        <v>28</v>
      </c>
      <c r="S6" s="14">
        <v>69</v>
      </c>
      <c r="T6" s="17">
        <v>658</v>
      </c>
    </row>
    <row r="7" spans="1:21" ht="15.75" thickBot="1" x14ac:dyDescent="0.3">
      <c r="A7" s="2">
        <v>45413</v>
      </c>
      <c r="B7" s="9">
        <v>234.74695600000001</v>
      </c>
      <c r="C7" s="3">
        <v>68</v>
      </c>
      <c r="D7" s="9">
        <v>21.366571</v>
      </c>
      <c r="E7" s="3">
        <v>6</v>
      </c>
      <c r="F7" s="9">
        <v>173.91316</v>
      </c>
      <c r="G7" s="3">
        <v>70</v>
      </c>
      <c r="H7" s="9">
        <v>1084.7299909999999</v>
      </c>
      <c r="I7" s="3">
        <v>478</v>
      </c>
      <c r="L7" s="9">
        <f t="shared" ref="L7:M7" si="2">+B7+D7+F7+H7</f>
        <v>1514.756678</v>
      </c>
      <c r="M7" s="3">
        <f t="shared" si="2"/>
        <v>622</v>
      </c>
      <c r="P7" s="20">
        <v>45352</v>
      </c>
      <c r="Q7" s="15">
        <v>71</v>
      </c>
      <c r="R7" s="15">
        <v>11</v>
      </c>
      <c r="S7" s="15">
        <v>98</v>
      </c>
      <c r="T7" s="18">
        <v>620</v>
      </c>
    </row>
    <row r="8" spans="1:21" ht="12.75" customHeight="1" thickBot="1" x14ac:dyDescent="0.3">
      <c r="A8" s="2">
        <v>45444</v>
      </c>
      <c r="B8" s="9">
        <v>371.76217398</v>
      </c>
      <c r="C8" s="3">
        <v>63</v>
      </c>
      <c r="D8" s="9">
        <v>476.7800512</v>
      </c>
      <c r="E8" s="3">
        <v>27</v>
      </c>
      <c r="F8" s="9">
        <v>98.423323679999996</v>
      </c>
      <c r="G8" s="3">
        <v>52</v>
      </c>
      <c r="H8" s="9">
        <v>1549.04289378</v>
      </c>
      <c r="I8" s="3">
        <v>464</v>
      </c>
      <c r="L8" s="9">
        <f>+B8+D8+F8+H8</f>
        <v>2496.0084426399999</v>
      </c>
      <c r="M8" s="3">
        <f t="shared" ref="M8" si="3">+C8+E8+G8+I8</f>
        <v>606</v>
      </c>
    </row>
    <row r="9" spans="1:21" ht="16.5" customHeight="1" thickBot="1" x14ac:dyDescent="0.3">
      <c r="A9" s="2">
        <v>45474</v>
      </c>
      <c r="B9" s="9">
        <v>172.183606</v>
      </c>
      <c r="C9" s="3">
        <v>55</v>
      </c>
      <c r="D9" s="9">
        <v>77.316094179999993</v>
      </c>
      <c r="E9" s="3">
        <v>38</v>
      </c>
      <c r="F9" s="9">
        <v>114.69601474</v>
      </c>
      <c r="G9" s="3">
        <v>33</v>
      </c>
      <c r="H9" s="9">
        <v>1294.435477</v>
      </c>
      <c r="I9" s="3">
        <v>310</v>
      </c>
      <c r="L9" s="9">
        <f t="shared" ref="L9" si="4">+B9+D9+F9+H9</f>
        <v>1658.63119192</v>
      </c>
      <c r="M9" s="3">
        <f t="shared" ref="M9:M10" si="5">+C9+E9+G9+I9</f>
        <v>436</v>
      </c>
      <c r="R9" s="39" t="s">
        <v>42</v>
      </c>
      <c r="S9" s="41"/>
      <c r="T9" s="25"/>
      <c r="U9" s="25"/>
    </row>
    <row r="10" spans="1:21" ht="22.5" customHeight="1" thickBot="1" x14ac:dyDescent="0.3">
      <c r="A10" s="2">
        <v>45505</v>
      </c>
      <c r="B10" s="31">
        <v>244.48025469999999</v>
      </c>
      <c r="C10" s="3">
        <v>59</v>
      </c>
      <c r="D10" s="31">
        <v>47.38130675</v>
      </c>
      <c r="E10" s="3">
        <v>16</v>
      </c>
      <c r="F10" s="9">
        <v>67.646783220000003</v>
      </c>
      <c r="G10" s="3">
        <v>42</v>
      </c>
      <c r="H10" s="9">
        <v>862.06801216999997</v>
      </c>
      <c r="I10" s="3">
        <v>306</v>
      </c>
      <c r="L10" s="9">
        <f>+B10+D10+F10+H10</f>
        <v>1221.57635684</v>
      </c>
      <c r="M10" s="3">
        <f t="shared" si="5"/>
        <v>423</v>
      </c>
      <c r="R10" s="24" t="s">
        <v>44</v>
      </c>
      <c r="S10" s="19" t="s">
        <v>37</v>
      </c>
    </row>
    <row r="11" spans="1:21" ht="13.5" customHeight="1" thickBot="1" x14ac:dyDescent="0.3">
      <c r="A11" s="2">
        <v>45536</v>
      </c>
      <c r="B11" s="9">
        <v>344.43536605999998</v>
      </c>
      <c r="C11" s="3">
        <v>78</v>
      </c>
      <c r="D11" s="9">
        <v>33.309769119999999</v>
      </c>
      <c r="E11" s="3">
        <v>17</v>
      </c>
      <c r="F11" s="9">
        <v>57.964716430000003</v>
      </c>
      <c r="G11" s="3">
        <v>28</v>
      </c>
      <c r="H11" s="9">
        <v>1172.6747931499999</v>
      </c>
      <c r="I11" s="3">
        <v>417</v>
      </c>
      <c r="L11" s="9">
        <f>+B11+D11+F11+H11</f>
        <v>1608.3846447599999</v>
      </c>
      <c r="Q11" s="20">
        <v>45261</v>
      </c>
      <c r="R11" s="21">
        <f>64+17</f>
        <v>81</v>
      </c>
      <c r="S11" s="16">
        <v>137</v>
      </c>
    </row>
    <row r="12" spans="1:21" ht="15.75" thickBot="1" x14ac:dyDescent="0.3">
      <c r="A12" s="2">
        <v>45596</v>
      </c>
      <c r="B12" s="9">
        <v>357.70556377000003</v>
      </c>
      <c r="C12" s="3">
        <v>60</v>
      </c>
      <c r="D12" s="9">
        <v>11.275683539999999</v>
      </c>
      <c r="E12" s="3">
        <v>13</v>
      </c>
      <c r="F12" s="9">
        <v>46.701909219999997</v>
      </c>
      <c r="G12" s="3">
        <v>25</v>
      </c>
      <c r="H12" s="9">
        <v>933.56014892999997</v>
      </c>
      <c r="I12" s="3">
        <v>389</v>
      </c>
      <c r="L12" s="3">
        <v>1349.2433054600001</v>
      </c>
      <c r="M12" s="3">
        <v>487</v>
      </c>
    </row>
    <row r="13" spans="1:21" ht="15.75" thickBot="1" x14ac:dyDescent="0.3">
      <c r="A13" s="2">
        <v>45626</v>
      </c>
      <c r="Q13" s="20">
        <v>45292</v>
      </c>
      <c r="R13" s="22">
        <v>165</v>
      </c>
      <c r="S13" s="17">
        <v>381</v>
      </c>
    </row>
    <row r="14" spans="1:21" ht="15.75" thickBot="1" x14ac:dyDescent="0.3">
      <c r="Q14" s="20">
        <v>45323</v>
      </c>
      <c r="R14" s="22">
        <v>462</v>
      </c>
      <c r="S14" s="17">
        <v>658</v>
      </c>
    </row>
    <row r="15" spans="1:21" ht="15.75" thickBot="1" x14ac:dyDescent="0.3">
      <c r="A15" s="3">
        <v>1000</v>
      </c>
      <c r="Q15" s="20">
        <v>45352</v>
      </c>
      <c r="R15" s="23">
        <v>440</v>
      </c>
      <c r="S15" s="18">
        <v>620</v>
      </c>
    </row>
    <row r="16" spans="1:21" x14ac:dyDescent="0.25">
      <c r="A16" s="2">
        <v>1000000</v>
      </c>
    </row>
  </sheetData>
  <mergeCells count="2">
    <mergeCell ref="Q2:T2"/>
    <mergeCell ref="R9:S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ED91E-1D60-4096-9005-416BD2F8FB75}">
  <dimension ref="A1:F41"/>
  <sheetViews>
    <sheetView topLeftCell="A28" zoomScaleNormal="100" workbookViewId="0">
      <selection activeCell="F40" sqref="F40"/>
    </sheetView>
  </sheetViews>
  <sheetFormatPr baseColWidth="10" defaultRowHeight="15" x14ac:dyDescent="0.25"/>
  <sheetData>
    <row r="1" spans="1:6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 spans="1:6" x14ac:dyDescent="0.25">
      <c r="A2" s="2">
        <v>44621</v>
      </c>
      <c r="B2">
        <v>5</v>
      </c>
      <c r="C2">
        <v>5</v>
      </c>
      <c r="D2">
        <v>5</v>
      </c>
      <c r="E2">
        <v>9</v>
      </c>
    </row>
    <row r="3" spans="1:6" x14ac:dyDescent="0.25">
      <c r="A3" s="2">
        <v>44652</v>
      </c>
      <c r="B3">
        <v>6</v>
      </c>
      <c r="C3">
        <v>7</v>
      </c>
      <c r="D3">
        <v>7</v>
      </c>
      <c r="E3">
        <v>7</v>
      </c>
      <c r="F3">
        <v>6</v>
      </c>
    </row>
    <row r="4" spans="1:6" x14ac:dyDescent="0.25">
      <c r="A4" s="2">
        <v>44682</v>
      </c>
      <c r="B4">
        <v>6</v>
      </c>
      <c r="C4">
        <v>7</v>
      </c>
      <c r="D4">
        <v>7</v>
      </c>
      <c r="E4">
        <v>7</v>
      </c>
      <c r="F4">
        <v>6</v>
      </c>
    </row>
    <row r="5" spans="1:6" x14ac:dyDescent="0.25">
      <c r="A5" s="2">
        <v>44713</v>
      </c>
      <c r="B5">
        <v>7</v>
      </c>
      <c r="C5">
        <v>8</v>
      </c>
      <c r="D5">
        <v>9</v>
      </c>
      <c r="E5">
        <v>9</v>
      </c>
      <c r="F5">
        <v>7</v>
      </c>
    </row>
    <row r="6" spans="1:6" x14ac:dyDescent="0.25">
      <c r="A6" s="2">
        <v>44743</v>
      </c>
      <c r="B6">
        <v>10</v>
      </c>
      <c r="C6">
        <v>11</v>
      </c>
      <c r="D6">
        <v>11</v>
      </c>
      <c r="E6">
        <v>11</v>
      </c>
      <c r="F6">
        <v>9</v>
      </c>
    </row>
    <row r="7" spans="1:6" x14ac:dyDescent="0.25">
      <c r="A7" s="2">
        <v>44774</v>
      </c>
      <c r="B7">
        <v>10</v>
      </c>
      <c r="C7">
        <v>10</v>
      </c>
      <c r="D7">
        <v>10</v>
      </c>
      <c r="E7">
        <v>9</v>
      </c>
      <c r="F7">
        <v>7</v>
      </c>
    </row>
    <row r="8" spans="1:6" x14ac:dyDescent="0.25">
      <c r="A8" s="2">
        <v>44805</v>
      </c>
      <c r="B8">
        <v>9</v>
      </c>
      <c r="C8">
        <v>10</v>
      </c>
      <c r="D8">
        <v>8</v>
      </c>
      <c r="E8">
        <v>8</v>
      </c>
      <c r="F8">
        <v>7</v>
      </c>
    </row>
    <row r="9" spans="1:6" x14ac:dyDescent="0.25">
      <c r="A9" s="2">
        <v>44835</v>
      </c>
      <c r="B9">
        <v>8</v>
      </c>
      <c r="C9">
        <v>10</v>
      </c>
      <c r="D9">
        <v>8</v>
      </c>
      <c r="E9">
        <v>9</v>
      </c>
      <c r="F9">
        <v>7</v>
      </c>
    </row>
    <row r="10" spans="1:6" x14ac:dyDescent="0.25">
      <c r="A10" s="2">
        <v>44866</v>
      </c>
      <c r="B10">
        <v>9</v>
      </c>
      <c r="C10">
        <v>10</v>
      </c>
      <c r="D10">
        <v>10</v>
      </c>
      <c r="E10">
        <v>9</v>
      </c>
      <c r="F10">
        <v>6</v>
      </c>
    </row>
    <row r="11" spans="1:6" x14ac:dyDescent="0.25">
      <c r="A11" s="2">
        <v>44896</v>
      </c>
      <c r="B11">
        <v>9</v>
      </c>
      <c r="C11">
        <v>10</v>
      </c>
      <c r="D11">
        <v>10</v>
      </c>
      <c r="E11">
        <v>9</v>
      </c>
      <c r="F11">
        <v>7</v>
      </c>
    </row>
    <row r="12" spans="1:6" x14ac:dyDescent="0.25">
      <c r="A12" s="2">
        <v>44927</v>
      </c>
      <c r="B12">
        <v>7</v>
      </c>
      <c r="C12">
        <v>10</v>
      </c>
      <c r="D12">
        <v>10</v>
      </c>
      <c r="E12">
        <v>9</v>
      </c>
      <c r="F12">
        <v>6</v>
      </c>
    </row>
    <row r="13" spans="1:6" x14ac:dyDescent="0.25">
      <c r="A13" s="2">
        <v>44958</v>
      </c>
      <c r="B13">
        <v>8</v>
      </c>
      <c r="C13">
        <v>9</v>
      </c>
      <c r="D13">
        <v>9</v>
      </c>
      <c r="E13">
        <v>8</v>
      </c>
      <c r="F13">
        <v>4</v>
      </c>
    </row>
    <row r="14" spans="1:6" x14ac:dyDescent="0.25">
      <c r="A14" s="2">
        <v>44986</v>
      </c>
      <c r="B14">
        <v>8</v>
      </c>
      <c r="C14">
        <v>7</v>
      </c>
      <c r="D14">
        <v>3</v>
      </c>
      <c r="E14">
        <v>3</v>
      </c>
      <c r="F14">
        <v>1</v>
      </c>
    </row>
    <row r="15" spans="1:6" x14ac:dyDescent="0.25">
      <c r="A15" s="2">
        <v>45017</v>
      </c>
      <c r="B15">
        <v>3</v>
      </c>
      <c r="C15">
        <v>2</v>
      </c>
      <c r="D15">
        <v>1</v>
      </c>
      <c r="E15">
        <v>1</v>
      </c>
      <c r="F15">
        <v>1</v>
      </c>
    </row>
    <row r="16" spans="1:6" x14ac:dyDescent="0.25">
      <c r="A16" s="2">
        <v>45047</v>
      </c>
      <c r="B16">
        <v>1</v>
      </c>
      <c r="C16">
        <v>1</v>
      </c>
      <c r="D16">
        <v>1</v>
      </c>
      <c r="E16">
        <v>2</v>
      </c>
      <c r="F16">
        <v>2</v>
      </c>
    </row>
    <row r="17" spans="1:6" x14ac:dyDescent="0.25">
      <c r="A17" s="2">
        <v>45078</v>
      </c>
      <c r="B17">
        <v>3</v>
      </c>
      <c r="C17">
        <v>6</v>
      </c>
      <c r="D17">
        <v>5</v>
      </c>
      <c r="E17">
        <v>4</v>
      </c>
      <c r="F17">
        <v>3</v>
      </c>
    </row>
    <row r="18" spans="1:6" x14ac:dyDescent="0.25">
      <c r="A18" s="2">
        <v>45108</v>
      </c>
      <c r="B18">
        <v>5</v>
      </c>
      <c r="C18">
        <v>8</v>
      </c>
      <c r="D18">
        <v>5</v>
      </c>
      <c r="E18">
        <v>6</v>
      </c>
      <c r="F18">
        <v>3</v>
      </c>
    </row>
    <row r="19" spans="1:6" x14ac:dyDescent="0.25">
      <c r="A19" s="2">
        <v>45139</v>
      </c>
      <c r="B19">
        <v>9</v>
      </c>
      <c r="C19">
        <v>9</v>
      </c>
      <c r="D19">
        <v>9</v>
      </c>
      <c r="E19">
        <v>6</v>
      </c>
      <c r="F19">
        <v>3</v>
      </c>
    </row>
    <row r="20" spans="1:6" x14ac:dyDescent="0.25">
      <c r="A20" s="2">
        <v>45170</v>
      </c>
      <c r="B20">
        <v>4</v>
      </c>
      <c r="C20">
        <v>6</v>
      </c>
      <c r="D20">
        <v>2</v>
      </c>
      <c r="E20">
        <v>1</v>
      </c>
      <c r="F20">
        <v>1</v>
      </c>
    </row>
    <row r="21" spans="1:6" x14ac:dyDescent="0.25">
      <c r="A21" s="2">
        <v>45200</v>
      </c>
      <c r="B21">
        <v>5</v>
      </c>
      <c r="C21">
        <v>4</v>
      </c>
      <c r="D21">
        <v>1</v>
      </c>
      <c r="E21">
        <v>2</v>
      </c>
      <c r="F21">
        <v>2</v>
      </c>
    </row>
    <row r="22" spans="1:6" x14ac:dyDescent="0.25">
      <c r="A22" s="2">
        <v>45231</v>
      </c>
      <c r="B22">
        <v>3</v>
      </c>
      <c r="C22">
        <v>1</v>
      </c>
      <c r="D22">
        <v>1</v>
      </c>
      <c r="E22">
        <v>1</v>
      </c>
      <c r="F22">
        <v>2</v>
      </c>
    </row>
    <row r="23" spans="1:6" x14ac:dyDescent="0.25">
      <c r="A23" s="2">
        <v>45261</v>
      </c>
      <c r="B23">
        <v>1</v>
      </c>
      <c r="C23">
        <v>1</v>
      </c>
      <c r="D23">
        <v>1</v>
      </c>
      <c r="E23">
        <v>1</v>
      </c>
      <c r="F23">
        <v>2</v>
      </c>
    </row>
    <row r="24" spans="1:6" x14ac:dyDescent="0.25">
      <c r="A24" s="2">
        <v>45292</v>
      </c>
      <c r="B24">
        <v>1</v>
      </c>
      <c r="C24">
        <v>1</v>
      </c>
      <c r="D24">
        <v>1</v>
      </c>
      <c r="E24">
        <v>1</v>
      </c>
      <c r="F24">
        <v>1</v>
      </c>
    </row>
    <row r="25" spans="1:6" x14ac:dyDescent="0.25">
      <c r="A25" s="2">
        <v>45323</v>
      </c>
      <c r="B25">
        <v>1</v>
      </c>
      <c r="C25">
        <v>1</v>
      </c>
      <c r="D25">
        <v>1</v>
      </c>
      <c r="E25">
        <v>1</v>
      </c>
      <c r="F25">
        <v>1</v>
      </c>
    </row>
    <row r="26" spans="1:6" x14ac:dyDescent="0.25">
      <c r="A26" s="2">
        <v>45352</v>
      </c>
      <c r="B26">
        <v>1</v>
      </c>
      <c r="C26">
        <v>1</v>
      </c>
      <c r="D26">
        <v>1</v>
      </c>
      <c r="E26">
        <v>1</v>
      </c>
      <c r="F26">
        <v>1</v>
      </c>
    </row>
    <row r="27" spans="1:6" x14ac:dyDescent="0.25">
      <c r="A27" s="2">
        <v>45383</v>
      </c>
      <c r="B27">
        <v>1</v>
      </c>
      <c r="C27">
        <v>1</v>
      </c>
      <c r="D27">
        <v>1</v>
      </c>
      <c r="E27">
        <v>1</v>
      </c>
      <c r="F27">
        <v>1</v>
      </c>
    </row>
    <row r="28" spans="1:6" x14ac:dyDescent="0.25">
      <c r="A28" s="2">
        <v>45413</v>
      </c>
      <c r="B28">
        <v>1</v>
      </c>
      <c r="C28">
        <v>1</v>
      </c>
      <c r="D28">
        <v>2</v>
      </c>
      <c r="E28">
        <v>2</v>
      </c>
      <c r="F28">
        <v>1</v>
      </c>
    </row>
    <row r="29" spans="1:6" x14ac:dyDescent="0.25">
      <c r="A29" s="2">
        <v>45444</v>
      </c>
      <c r="B29">
        <v>1</v>
      </c>
      <c r="C29">
        <v>1</v>
      </c>
      <c r="D29">
        <v>1</v>
      </c>
      <c r="E29">
        <v>3</v>
      </c>
      <c r="F29">
        <v>1</v>
      </c>
    </row>
    <row r="30" spans="1:6" x14ac:dyDescent="0.25">
      <c r="A30" s="2">
        <v>45474</v>
      </c>
      <c r="B30">
        <v>1</v>
      </c>
      <c r="C30">
        <v>1</v>
      </c>
      <c r="D30">
        <v>1</v>
      </c>
      <c r="E30">
        <v>3</v>
      </c>
      <c r="F30">
        <v>1</v>
      </c>
    </row>
    <row r="31" spans="1:6" x14ac:dyDescent="0.25">
      <c r="A31" s="2">
        <v>45505</v>
      </c>
      <c r="B31">
        <v>1</v>
      </c>
      <c r="C31">
        <v>1</v>
      </c>
      <c r="D31">
        <v>1</v>
      </c>
      <c r="E31">
        <v>3</v>
      </c>
      <c r="F31">
        <v>3</v>
      </c>
    </row>
    <row r="32" spans="1:6" x14ac:dyDescent="0.25">
      <c r="A32" s="2">
        <v>45536</v>
      </c>
      <c r="B32">
        <v>7</v>
      </c>
      <c r="C32">
        <v>1</v>
      </c>
      <c r="D32">
        <v>1</v>
      </c>
      <c r="E32">
        <v>2</v>
      </c>
      <c r="F32">
        <v>2</v>
      </c>
    </row>
    <row r="33" spans="1:6" x14ac:dyDescent="0.25">
      <c r="A33" s="2">
        <v>45566</v>
      </c>
      <c r="B33">
        <v>1</v>
      </c>
      <c r="C33">
        <v>1</v>
      </c>
      <c r="D33">
        <v>1</v>
      </c>
      <c r="E33">
        <v>2</v>
      </c>
      <c r="F33">
        <v>2</v>
      </c>
    </row>
    <row r="34" spans="1:6" x14ac:dyDescent="0.25">
      <c r="A34" s="2">
        <v>45597</v>
      </c>
      <c r="B34">
        <v>1</v>
      </c>
      <c r="C34">
        <v>1</v>
      </c>
      <c r="D34">
        <v>1</v>
      </c>
      <c r="E34">
        <v>2</v>
      </c>
      <c r="F34">
        <v>2</v>
      </c>
    </row>
    <row r="35" spans="1:6" x14ac:dyDescent="0.25">
      <c r="A35" s="2">
        <v>45627</v>
      </c>
      <c r="B35">
        <v>1</v>
      </c>
      <c r="C35">
        <v>1</v>
      </c>
      <c r="D35">
        <v>1</v>
      </c>
      <c r="E35">
        <v>4</v>
      </c>
      <c r="F35">
        <v>3</v>
      </c>
    </row>
    <row r="36" spans="1:6" x14ac:dyDescent="0.25">
      <c r="A36" s="2">
        <v>45658</v>
      </c>
      <c r="B36">
        <v>1</v>
      </c>
      <c r="C36">
        <v>1</v>
      </c>
      <c r="D36">
        <v>1</v>
      </c>
      <c r="E36">
        <v>4</v>
      </c>
      <c r="F36">
        <v>3</v>
      </c>
    </row>
    <row r="37" spans="1:6" x14ac:dyDescent="0.25">
      <c r="A37" s="2">
        <v>45689</v>
      </c>
      <c r="B37">
        <v>1</v>
      </c>
      <c r="C37">
        <v>1</v>
      </c>
      <c r="D37">
        <v>1</v>
      </c>
      <c r="E37">
        <v>4</v>
      </c>
      <c r="F37">
        <v>2</v>
      </c>
    </row>
    <row r="38" spans="1:6" x14ac:dyDescent="0.25">
      <c r="A38" s="2">
        <v>45717</v>
      </c>
      <c r="B38">
        <v>1</v>
      </c>
      <c r="C38">
        <v>1</v>
      </c>
      <c r="D38">
        <v>1</v>
      </c>
      <c r="E38">
        <v>3</v>
      </c>
      <c r="F38">
        <v>4</v>
      </c>
    </row>
    <row r="39" spans="1:6" x14ac:dyDescent="0.25">
      <c r="A39" s="2">
        <v>45748</v>
      </c>
      <c r="B39">
        <v>1</v>
      </c>
      <c r="C39">
        <v>1</v>
      </c>
      <c r="D39">
        <v>1</v>
      </c>
      <c r="E39">
        <v>4</v>
      </c>
      <c r="F39">
        <v>3</v>
      </c>
    </row>
    <row r="40" spans="1:6" x14ac:dyDescent="0.25">
      <c r="A40" s="2">
        <v>45778</v>
      </c>
      <c r="B40">
        <v>1</v>
      </c>
      <c r="C40">
        <v>1</v>
      </c>
      <c r="D40">
        <v>1</v>
      </c>
      <c r="E40">
        <v>2</v>
      </c>
      <c r="F40">
        <v>3</v>
      </c>
    </row>
    <row r="41" spans="1:6" x14ac:dyDescent="0.25">
      <c r="A41" s="2">
        <v>45809</v>
      </c>
      <c r="B41">
        <v>1</v>
      </c>
      <c r="C41">
        <v>1</v>
      </c>
      <c r="D41">
        <v>1</v>
      </c>
      <c r="E41">
        <v>2</v>
      </c>
      <c r="F41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CDATS - TPP</vt:lpstr>
      <vt:lpstr>Cancelación Anticp</vt:lpstr>
      <vt:lpstr>Hoja2</vt:lpstr>
      <vt:lpstr>Futuro</vt:lpstr>
      <vt:lpstr>Evolución Rking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JUAN ANDRES MIRANDA ROJO</cp:lastModifiedBy>
  <dcterms:created xsi:type="dcterms:W3CDTF">2023-03-03T13:36:37Z</dcterms:created>
  <dcterms:modified xsi:type="dcterms:W3CDTF">2026-01-22T03:56:20Z</dcterms:modified>
</cp:coreProperties>
</file>