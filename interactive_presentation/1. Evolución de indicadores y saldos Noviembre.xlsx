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.gemini\antigravity\scratch\nomina_colombia\web\interactive_presentation\"/>
    </mc:Choice>
  </mc:AlternateContent>
  <xr:revisionPtr revIDLastSave="0" documentId="13_ncr:1_{1A3B0BDA-4121-4E9B-ACC9-3B09D076EA38}" xr6:coauthVersionLast="47" xr6:coauthVersionMax="47" xr10:uidLastSave="{00000000-0000-0000-0000-000000000000}"/>
  <bookViews>
    <workbookView xWindow="-120" yWindow="-120" windowWidth="20730" windowHeight="11040" xr2:uid="{24F6E12E-46BF-4CDE-BCAB-0F1AFA29701A}"/>
  </bookViews>
  <sheets>
    <sheet name="Hoja1" sheetId="1" r:id="rId1"/>
    <sheet name="da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9" i="1" l="1"/>
  <c r="BV9" i="1"/>
  <c r="BU9" i="1"/>
  <c r="BT9" i="1"/>
  <c r="BS9" i="1"/>
  <c r="BR9" i="1"/>
  <c r="BQ9" i="1"/>
  <c r="BP9" i="1"/>
  <c r="BF2" i="2"/>
  <c r="BF3" i="2"/>
  <c r="BF4" i="2"/>
  <c r="BF5" i="2"/>
  <c r="BF6" i="2"/>
  <c r="BF7" i="2"/>
  <c r="BF8" i="2"/>
  <c r="BF9" i="2"/>
  <c r="BO9" i="1"/>
  <c r="BE2" i="2"/>
  <c r="BE3" i="2"/>
  <c r="BE4" i="2"/>
  <c r="BE5" i="2"/>
  <c r="BE6" i="2"/>
  <c r="BE7" i="2"/>
  <c r="BE8" i="2"/>
  <c r="BE9" i="2"/>
  <c r="BN9" i="1"/>
  <c r="BD2" i="2"/>
  <c r="BD3" i="2"/>
  <c r="BD4" i="2"/>
  <c r="BD5" i="2"/>
  <c r="BD6" i="2"/>
  <c r="BD7" i="2"/>
  <c r="BD8" i="2"/>
  <c r="BM9" i="1"/>
  <c r="BD9" i="2" s="1"/>
  <c r="BC2" i="2"/>
  <c r="BC3" i="2"/>
  <c r="BC4" i="2"/>
  <c r="BC5" i="2"/>
  <c r="BC6" i="2"/>
  <c r="BC7" i="2"/>
  <c r="BC8" i="2"/>
  <c r="BC9" i="2"/>
  <c r="BL9" i="1" l="1"/>
  <c r="AZ2" i="2"/>
  <c r="BA2" i="2"/>
  <c r="BB2" i="2"/>
  <c r="AZ3" i="2"/>
  <c r="BA3" i="2"/>
  <c r="BB3" i="2"/>
  <c r="AZ4" i="2"/>
  <c r="BA4" i="2"/>
  <c r="BB4" i="2"/>
  <c r="AZ5" i="2"/>
  <c r="BA5" i="2"/>
  <c r="BB5" i="2"/>
  <c r="AZ6" i="2"/>
  <c r="BA6" i="2"/>
  <c r="BB6" i="2"/>
  <c r="AZ7" i="2"/>
  <c r="BA7" i="2"/>
  <c r="BB7" i="2"/>
  <c r="AZ8" i="2"/>
  <c r="BA8" i="2"/>
  <c r="BB8" i="2"/>
  <c r="AZ9" i="2"/>
  <c r="BA9" i="2"/>
  <c r="BB9" i="2"/>
  <c r="BK9" i="1"/>
  <c r="BJ9" i="1"/>
  <c r="BI9" i="1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J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B9" i="2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AC9" i="1"/>
  <c r="AB9" i="1"/>
  <c r="AY3" i="2"/>
  <c r="AX3" i="2"/>
  <c r="AY6" i="2"/>
  <c r="AY2" i="2"/>
  <c r="AY4" i="2"/>
  <c r="AY5" i="2"/>
  <c r="AY7" i="2"/>
  <c r="AY8" i="2"/>
  <c r="AX2" i="2"/>
  <c r="AX4" i="2"/>
  <c r="AX5" i="2"/>
  <c r="AX6" i="2"/>
  <c r="AX7" i="2"/>
  <c r="AX8" i="2"/>
  <c r="AW2" i="2"/>
  <c r="AW3" i="2"/>
  <c r="AW4" i="2"/>
  <c r="AW5" i="2"/>
  <c r="AW6" i="2"/>
  <c r="AW7" i="2"/>
  <c r="AW8" i="2"/>
  <c r="AU2" i="2"/>
  <c r="AV2" i="2"/>
  <c r="AU3" i="2"/>
  <c r="AV3" i="2"/>
  <c r="AU4" i="2"/>
  <c r="AV4" i="2"/>
  <c r="AU5" i="2"/>
  <c r="AV5" i="2"/>
  <c r="AU6" i="2"/>
  <c r="AV6" i="2"/>
  <c r="AU7" i="2"/>
  <c r="AV7" i="2"/>
  <c r="AU8" i="2"/>
  <c r="AV8" i="2"/>
  <c r="AT2" i="2"/>
  <c r="AT3" i="2"/>
  <c r="AT4" i="2"/>
  <c r="AT5" i="2"/>
  <c r="AT6" i="2"/>
  <c r="AT7" i="2"/>
  <c r="AT8" i="2"/>
  <c r="AS2" i="2"/>
  <c r="AS3" i="2"/>
  <c r="AS4" i="2"/>
  <c r="AS5" i="2"/>
  <c r="AS6" i="2"/>
  <c r="AS7" i="2"/>
  <c r="AS8" i="2"/>
  <c r="AR2" i="2"/>
  <c r="AR3" i="2"/>
  <c r="AR4" i="2"/>
  <c r="AR5" i="2"/>
  <c r="AR6" i="2"/>
  <c r="AR7" i="2"/>
  <c r="AR8" i="2"/>
  <c r="AQ8" i="2"/>
  <c r="AQ3" i="2"/>
  <c r="AN2" i="2"/>
  <c r="AO2" i="2"/>
  <c r="AP2" i="2"/>
  <c r="AQ2" i="2"/>
  <c r="AN3" i="2"/>
  <c r="AO3" i="2"/>
  <c r="AP3" i="2"/>
  <c r="AN4" i="2"/>
  <c r="AO4" i="2"/>
  <c r="AP4" i="2"/>
  <c r="AQ4" i="2"/>
  <c r="AN5" i="2"/>
  <c r="AO5" i="2"/>
  <c r="AP5" i="2"/>
  <c r="AQ5" i="2"/>
  <c r="AN6" i="2"/>
  <c r="AO6" i="2"/>
  <c r="AP6" i="2"/>
  <c r="AQ6" i="2"/>
  <c r="AN7" i="2"/>
  <c r="AO7" i="2"/>
  <c r="AP7" i="2"/>
  <c r="AQ7" i="2"/>
  <c r="AN8" i="2"/>
  <c r="AO8" i="2"/>
  <c r="AP8" i="2"/>
  <c r="AL8" i="2"/>
  <c r="AM8" i="2"/>
  <c r="AL7" i="2"/>
  <c r="AM7" i="2"/>
  <c r="AL6" i="2"/>
  <c r="AM6" i="2"/>
  <c r="AL3" i="2"/>
  <c r="AM3" i="2"/>
  <c r="AL2" i="2"/>
  <c r="AM2" i="2"/>
  <c r="AK4" i="2"/>
  <c r="AK5" i="2"/>
  <c r="AK6" i="2"/>
  <c r="AK7" i="2"/>
  <c r="AK8" i="2"/>
  <c r="AK3" i="2"/>
  <c r="AK2" i="2"/>
  <c r="AM4" i="2"/>
  <c r="AM5" i="2"/>
  <c r="AL4" i="2"/>
  <c r="AL5" i="2"/>
  <c r="AJ3" i="2"/>
  <c r="AJ4" i="2"/>
  <c r="AJ5" i="2"/>
  <c r="AJ6" i="2"/>
  <c r="AJ7" i="2"/>
  <c r="AJ8" i="2"/>
  <c r="AJ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C4" i="2"/>
  <c r="C5" i="2"/>
  <c r="C6" i="2"/>
  <c r="C7" i="2"/>
  <c r="C8" i="2"/>
  <c r="C3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C2" i="2" l="1"/>
</calcChain>
</file>

<file path=xl/sharedStrings.xml><?xml version="1.0" encoding="utf-8"?>
<sst xmlns="http://schemas.openxmlformats.org/spreadsheetml/2006/main" count="34" uniqueCount="24">
  <si>
    <t>Evolución indicadores</t>
  </si>
  <si>
    <t>IBR plazo un mes</t>
  </si>
  <si>
    <t>REPO</t>
  </si>
  <si>
    <t>IPC</t>
  </si>
  <si>
    <t>DTF</t>
  </si>
  <si>
    <t>IBR PY</t>
  </si>
  <si>
    <t>IBR plazo un mes PY (implicitas en SWAPS overnight)</t>
  </si>
  <si>
    <t>https://totoro.banrep.gov.co/analytics/saw.dll?Download&amp;Format=excel2007&amp;Extension=.xls&amp;BypassCache=true&amp;path=%2Fshared%2FSeries%20Estad%C3%ADsticas_T%2F1.%20Tasas%20de%20Captaci%C3%B3n%2F1.1%20Serie%20empalmada%2F1.1.3%20Mensuales%20-%20(Desde%20enero%20de%201986)%2F1.1.3.1.TCA_Para%20un%20rango%20de%20fechas%20dado%20(DTF)%20IQY&amp;NQUser=publico&amp;NQPassword=publico123&amp;SyncOperation=1</t>
  </si>
  <si>
    <t>https://totoro.banrep.gov.co/analytics/saw.dll?Download&amp;Format=excel2007&amp;Extension=.xlsx&amp;BypassCache=true&amp;path=%2Fshared%2fSeries%20Estad%c3%adsticas_T%2F1.%20IBR%2F%201.2.IBR_Plazo%20un%20mes%20nominal%20para%20un%20rango%20de%20fechas%20dado%20IQY&amp;lang=es&amp;NQUser=publico&amp;NQPassword=publico123&amp;SyncOperation=1</t>
  </si>
  <si>
    <t>https://totoro.banrep.gov.co/analytics/saw.dll?Download&amp;Format=excel2007&amp;Extension=.xls&amp;BypassCache=true&amp;lang=es&amp;NQUser=publico&amp;NQPassword=publico123&amp;path=%2Fshared%2FSeries%20Estad%C3%ADsticas_T%2F1.%20IPC%20base%202018%2F1.2.%20Por%20a%C3%B1o%2F1.2.5.IPC_Serie_variaciones</t>
  </si>
  <si>
    <t>https://totoro.banrep.gov.co/analytics/saw.dll?Download&amp;Format=excel2007&amp;Extension=.xlsx&amp;BypassCache=true&amp;path=%2Fshared%2fSeries%20Estad%c3%adsticas_T%2F1.%20Tasa%20de%20intervenci%C3%B3n%20de%20pol%C3%ADtica%20monetaria%2F1.1.TIP_Serie%20hist%C3%B3rica%20seg%C3%BAn%20fecha%20de%20modificaci%C3%B3n%20IQY&amp;lang=es&amp;NQUser=publico&amp;NQPassword=publico123&amp;SyncOperation=1</t>
  </si>
  <si>
    <t>REPO (TIP)</t>
  </si>
  <si>
    <t>Fuentes:</t>
  </si>
  <si>
    <t>https://www.banrep.gov.co/es/catalogo-estadisticas-disponibles#ibr</t>
  </si>
  <si>
    <t>Fuente principal:</t>
  </si>
  <si>
    <t>IBR plazo un mes py</t>
  </si>
  <si>
    <t>*</t>
  </si>
  <si>
    <t>1M</t>
  </si>
  <si>
    <t>https://investigaciones.corficolombiana.com/macroeconomia-y-mercados?tab=publicaciones</t>
  </si>
  <si>
    <t>(Se busca el Informe semanal - PDF)</t>
  </si>
  <si>
    <t>Título: "Tasa IBR overnight implícita en los swaps (Tasas E.A.)"</t>
  </si>
  <si>
    <t>Inflación anual</t>
  </si>
  <si>
    <t>ACTUALIZADO</t>
  </si>
  <si>
    <t>Diferencia entre IPC y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</si>
</sst>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&quot;$&quot;\ #,##0;\(&quot;$&quot;\ #,##0\)"/>
    <numFmt numFmtId="166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8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EE82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43868"/>
        <bgColor indexed="64"/>
      </patternFill>
    </fill>
    <fill>
      <patternFill patternType="solid">
        <fgColor rgb="FFA8004A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/>
      <bottom/>
      <diagonal/>
    </border>
    <border>
      <left style="thin">
        <color theme="7"/>
      </left>
      <right/>
      <top/>
      <bottom/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/>
      <right/>
      <top style="thin">
        <color theme="7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979991"/>
      </top>
      <bottom style="thin">
        <color rgb="FF97999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0"/>
    <xf numFmtId="0" fontId="12" fillId="0" borderId="0"/>
    <xf numFmtId="0" fontId="13" fillId="0" borderId="0"/>
    <xf numFmtId="0" fontId="15" fillId="0" borderId="0"/>
  </cellStyleXfs>
  <cellXfs count="97">
    <xf numFmtId="0" fontId="0" fillId="0" borderId="0" xfId="0"/>
    <xf numFmtId="4" fontId="5" fillId="3" borderId="3" xfId="3" applyNumberFormat="1" applyFont="1" applyFill="1" applyBorder="1" applyAlignment="1">
      <alignment horizontal="left" vertical="center"/>
    </xf>
    <xf numFmtId="2" fontId="6" fillId="0" borderId="5" xfId="0" applyNumberFormat="1" applyFont="1" applyBorder="1" applyAlignment="1">
      <alignment horizontal="center"/>
    </xf>
    <xf numFmtId="165" fontId="6" fillId="4" borderId="6" xfId="3" applyNumberFormat="1" applyFont="1" applyFill="1" applyBorder="1" applyAlignment="1">
      <alignment vertical="center"/>
    </xf>
    <xf numFmtId="2" fontId="6" fillId="0" borderId="0" xfId="0" applyNumberFormat="1" applyFont="1" applyAlignment="1">
      <alignment horizontal="center"/>
    </xf>
    <xf numFmtId="2" fontId="6" fillId="0" borderId="7" xfId="0" applyNumberFormat="1" applyFont="1" applyBorder="1" applyAlignment="1">
      <alignment horizontal="center"/>
    </xf>
    <xf numFmtId="165" fontId="5" fillId="4" borderId="6" xfId="3" applyNumberFormat="1" applyFont="1" applyFill="1" applyBorder="1" applyAlignment="1">
      <alignment vertical="center"/>
    </xf>
    <xf numFmtId="2" fontId="6" fillId="0" borderId="7" xfId="0" applyNumberFormat="1" applyFont="1" applyBorder="1" applyAlignment="1">
      <alignment horizontal="left"/>
    </xf>
    <xf numFmtId="17" fontId="5" fillId="3" borderId="4" xfId="3" applyNumberFormat="1" applyFont="1" applyFill="1" applyBorder="1" applyAlignment="1">
      <alignment horizontal="center" vertical="center"/>
    </xf>
    <xf numFmtId="0" fontId="9" fillId="0" borderId="0" xfId="4"/>
    <xf numFmtId="0" fontId="0" fillId="0" borderId="0" xfId="0" applyAlignment="1">
      <alignment horizontal="left" indent="1"/>
    </xf>
    <xf numFmtId="165" fontId="7" fillId="4" borderId="8" xfId="3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0" fillId="4" borderId="0" xfId="0" applyFill="1"/>
    <xf numFmtId="0" fontId="11" fillId="0" borderId="0" xfId="0" applyFont="1"/>
    <xf numFmtId="0" fontId="8" fillId="2" borderId="0" xfId="0" applyFont="1" applyFill="1"/>
    <xf numFmtId="4" fontId="14" fillId="5" borderId="22" xfId="5" applyNumberFormat="1" applyFont="1" applyFill="1" applyBorder="1" applyAlignment="1">
      <alignment horizontal="right" vertical="top" wrapText="1"/>
    </xf>
    <xf numFmtId="2" fontId="0" fillId="0" borderId="0" xfId="0" applyNumberFormat="1" applyAlignment="1">
      <alignment horizontal="center"/>
    </xf>
    <xf numFmtId="17" fontId="2" fillId="0" borderId="0" xfId="0" applyNumberFormat="1" applyFont="1" applyAlignment="1">
      <alignment horizontal="center" vertical="center" wrapText="1"/>
    </xf>
    <xf numFmtId="4" fontId="5" fillId="0" borderId="0" xfId="3" applyNumberFormat="1" applyFont="1" applyAlignment="1">
      <alignment horizontal="left" vertical="center" wrapText="1"/>
    </xf>
    <xf numFmtId="17" fontId="16" fillId="7" borderId="10" xfId="0" applyNumberFormat="1" applyFont="1" applyFill="1" applyBorder="1" applyAlignment="1">
      <alignment horizontal="center" vertical="center" wrapText="1"/>
    </xf>
    <xf numFmtId="17" fontId="17" fillId="2" borderId="27" xfId="0" applyNumberFormat="1" applyFont="1" applyFill="1" applyBorder="1" applyAlignment="1">
      <alignment horizontal="center" vertical="center" wrapText="1"/>
    </xf>
    <xf numFmtId="17" fontId="17" fillId="2" borderId="1" xfId="0" applyNumberFormat="1" applyFont="1" applyFill="1" applyBorder="1" applyAlignment="1">
      <alignment horizontal="center" vertical="center" wrapText="1"/>
    </xf>
    <xf numFmtId="17" fontId="17" fillId="2" borderId="15" xfId="0" applyNumberFormat="1" applyFont="1" applyFill="1" applyBorder="1" applyAlignment="1">
      <alignment horizontal="center" vertical="center" wrapText="1"/>
    </xf>
    <xf numFmtId="17" fontId="17" fillId="2" borderId="21" xfId="0" applyNumberFormat="1" applyFont="1" applyFill="1" applyBorder="1" applyAlignment="1">
      <alignment horizontal="center" vertical="center" wrapText="1"/>
    </xf>
    <xf numFmtId="17" fontId="16" fillId="7" borderId="16" xfId="0" applyNumberFormat="1" applyFont="1" applyFill="1" applyBorder="1" applyAlignment="1">
      <alignment horizontal="center" vertical="center" wrapText="1"/>
    </xf>
    <xf numFmtId="164" fontId="18" fillId="4" borderId="28" xfId="2" applyNumberFormat="1" applyFont="1" applyFill="1" applyBorder="1"/>
    <xf numFmtId="164" fontId="18" fillId="4" borderId="2" xfId="2" applyNumberFormat="1" applyFont="1" applyFill="1" applyBorder="1"/>
    <xf numFmtId="0" fontId="18" fillId="4" borderId="2" xfId="2" applyNumberFormat="1" applyFont="1" applyFill="1" applyBorder="1"/>
    <xf numFmtId="2" fontId="18" fillId="4" borderId="2" xfId="2" applyNumberFormat="1" applyFont="1" applyFill="1" applyBorder="1"/>
    <xf numFmtId="2" fontId="18" fillId="4" borderId="11" xfId="2" applyNumberFormat="1" applyFont="1" applyFill="1" applyBorder="1"/>
    <xf numFmtId="2" fontId="14" fillId="5" borderId="12" xfId="0" applyNumberFormat="1" applyFont="1" applyFill="1" applyBorder="1" applyAlignment="1">
      <alignment horizontal="right" vertical="top" wrapText="1"/>
    </xf>
    <xf numFmtId="2" fontId="18" fillId="4" borderId="13" xfId="2" applyNumberFormat="1" applyFont="1" applyFill="1" applyBorder="1"/>
    <xf numFmtId="2" fontId="18" fillId="4" borderId="13" xfId="2" applyNumberFormat="1" applyFont="1" applyFill="1" applyBorder="1" applyAlignment="1"/>
    <xf numFmtId="2" fontId="18" fillId="0" borderId="13" xfId="2" applyNumberFormat="1" applyFont="1" applyFill="1" applyBorder="1"/>
    <xf numFmtId="2" fontId="18" fillId="0" borderId="19" xfId="2" applyNumberFormat="1" applyFont="1" applyFill="1" applyBorder="1"/>
    <xf numFmtId="2" fontId="18" fillId="0" borderId="17" xfId="0" applyNumberFormat="1" applyFont="1" applyBorder="1"/>
    <xf numFmtId="2" fontId="18" fillId="0" borderId="18" xfId="0" applyNumberFormat="1" applyFont="1" applyBorder="1"/>
    <xf numFmtId="2" fontId="18" fillId="0" borderId="20" xfId="0" applyNumberFormat="1" applyFont="1" applyBorder="1"/>
    <xf numFmtId="0" fontId="18" fillId="0" borderId="18" xfId="0" applyFont="1" applyBorder="1"/>
    <xf numFmtId="0" fontId="18" fillId="0" borderId="24" xfId="0" applyFont="1" applyBorder="1"/>
    <xf numFmtId="2" fontId="18" fillId="0" borderId="10" xfId="0" applyNumberFormat="1" applyFont="1" applyBorder="1"/>
    <xf numFmtId="2" fontId="18" fillId="0" borderId="10" xfId="0" applyNumberFormat="1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164" fontId="20" fillId="4" borderId="28" xfId="2" applyNumberFormat="1" applyFont="1" applyFill="1" applyBorder="1"/>
    <xf numFmtId="164" fontId="20" fillId="4" borderId="2" xfId="2" applyNumberFormat="1" applyFont="1" applyFill="1" applyBorder="1"/>
    <xf numFmtId="0" fontId="20" fillId="4" borderId="2" xfId="2" applyNumberFormat="1" applyFont="1" applyFill="1" applyBorder="1"/>
    <xf numFmtId="0" fontId="20" fillId="4" borderId="11" xfId="2" applyNumberFormat="1" applyFont="1" applyFill="1" applyBorder="1"/>
    <xf numFmtId="0" fontId="20" fillId="4" borderId="14" xfId="2" applyNumberFormat="1" applyFont="1" applyFill="1" applyBorder="1"/>
    <xf numFmtId="0" fontId="20" fillId="0" borderId="10" xfId="0" applyFont="1" applyBorder="1"/>
    <xf numFmtId="0" fontId="20" fillId="4" borderId="0" xfId="0" applyFont="1" applyFill="1"/>
    <xf numFmtId="0" fontId="20" fillId="0" borderId="16" xfId="1" applyNumberFormat="1" applyFont="1" applyFill="1" applyBorder="1"/>
    <xf numFmtId="0" fontId="20" fillId="0" borderId="20" xfId="2" applyNumberFormat="1" applyFont="1" applyFill="1" applyBorder="1"/>
    <xf numFmtId="0" fontId="20" fillId="0" borderId="20" xfId="0" applyFont="1" applyBorder="1"/>
    <xf numFmtId="0" fontId="20" fillId="0" borderId="18" xfId="0" applyFont="1" applyBorder="1"/>
    <xf numFmtId="0" fontId="20" fillId="0" borderId="24" xfId="0" applyFont="1" applyBorder="1"/>
    <xf numFmtId="164" fontId="18" fillId="0" borderId="28" xfId="2" applyNumberFormat="1" applyFont="1" applyBorder="1"/>
    <xf numFmtId="164" fontId="18" fillId="0" borderId="2" xfId="2" applyNumberFormat="1" applyFont="1" applyBorder="1"/>
    <xf numFmtId="0" fontId="18" fillId="0" borderId="2" xfId="2" applyNumberFormat="1" applyFont="1" applyBorder="1"/>
    <xf numFmtId="0" fontId="18" fillId="0" borderId="11" xfId="2" applyNumberFormat="1" applyFont="1" applyBorder="1"/>
    <xf numFmtId="0" fontId="18" fillId="0" borderId="14" xfId="2" applyNumberFormat="1" applyFont="1" applyBorder="1"/>
    <xf numFmtId="0" fontId="18" fillId="0" borderId="10" xfId="2" applyNumberFormat="1" applyFont="1" applyBorder="1"/>
    <xf numFmtId="0" fontId="18" fillId="0" borderId="16" xfId="2" applyNumberFormat="1" applyFont="1" applyFill="1" applyBorder="1"/>
    <xf numFmtId="0" fontId="18" fillId="0" borderId="20" xfId="2" applyNumberFormat="1" applyFont="1" applyFill="1" applyBorder="1"/>
    <xf numFmtId="0" fontId="18" fillId="0" borderId="20" xfId="0" applyFont="1" applyBorder="1"/>
    <xf numFmtId="0" fontId="18" fillId="0" borderId="10" xfId="0" applyFont="1" applyBorder="1"/>
    <xf numFmtId="0" fontId="18" fillId="4" borderId="11" xfId="2" applyNumberFormat="1" applyFont="1" applyFill="1" applyBorder="1"/>
    <xf numFmtId="0" fontId="18" fillId="4" borderId="14" xfId="2" applyNumberFormat="1" applyFont="1" applyFill="1" applyBorder="1"/>
    <xf numFmtId="0" fontId="18" fillId="4" borderId="10" xfId="2" applyNumberFormat="1" applyFont="1" applyFill="1" applyBorder="1"/>
    <xf numFmtId="2" fontId="18" fillId="0" borderId="20" xfId="2" applyNumberFormat="1" applyFont="1" applyFill="1" applyBorder="1"/>
    <xf numFmtId="0" fontId="18" fillId="0" borderId="20" xfId="1" applyNumberFormat="1" applyFont="1" applyFill="1" applyBorder="1"/>
    <xf numFmtId="2" fontId="18" fillId="5" borderId="25" xfId="7" applyNumberFormat="1" applyFont="1" applyFill="1" applyBorder="1" applyAlignment="1">
      <alignment horizontal="right" vertical="center"/>
    </xf>
    <xf numFmtId="166" fontId="18" fillId="0" borderId="10" xfId="0" applyNumberFormat="1" applyFont="1" applyBorder="1"/>
    <xf numFmtId="43" fontId="18" fillId="4" borderId="28" xfId="1" applyFont="1" applyFill="1" applyBorder="1"/>
    <xf numFmtId="43" fontId="18" fillId="4" borderId="2" xfId="1" applyFont="1" applyFill="1" applyBorder="1"/>
    <xf numFmtId="0" fontId="18" fillId="4" borderId="2" xfId="1" applyNumberFormat="1" applyFont="1" applyFill="1" applyBorder="1"/>
    <xf numFmtId="0" fontId="18" fillId="4" borderId="11" xfId="1" applyNumberFormat="1" applyFont="1" applyFill="1" applyBorder="1"/>
    <xf numFmtId="0" fontId="18" fillId="4" borderId="14" xfId="1" applyNumberFormat="1" applyFont="1" applyFill="1" applyBorder="1"/>
    <xf numFmtId="0" fontId="18" fillId="4" borderId="10" xfId="1" applyNumberFormat="1" applyFont="1" applyFill="1" applyBorder="1"/>
    <xf numFmtId="0" fontId="18" fillId="0" borderId="16" xfId="1" applyNumberFormat="1" applyFont="1" applyFill="1" applyBorder="1"/>
    <xf numFmtId="4" fontId="18" fillId="5" borderId="22" xfId="0" applyNumberFormat="1" applyFont="1" applyFill="1" applyBorder="1" applyAlignment="1">
      <alignment horizontal="right" vertical="top" wrapText="1"/>
    </xf>
    <xf numFmtId="0" fontId="18" fillId="0" borderId="23" xfId="0" applyFont="1" applyBorder="1"/>
    <xf numFmtId="43" fontId="18" fillId="4" borderId="29" xfId="1" applyFont="1" applyFill="1" applyBorder="1"/>
    <xf numFmtId="43" fontId="18" fillId="4" borderId="9" xfId="1" applyFont="1" applyFill="1" applyBorder="1"/>
    <xf numFmtId="0" fontId="18" fillId="4" borderId="9" xfId="1" applyNumberFormat="1" applyFont="1" applyFill="1" applyBorder="1"/>
    <xf numFmtId="43" fontId="18" fillId="4" borderId="0" xfId="1" applyFont="1" applyFill="1" applyBorder="1"/>
    <xf numFmtId="0" fontId="18" fillId="4" borderId="0" xfId="1" applyNumberFormat="1" applyFont="1" applyFill="1" applyBorder="1"/>
    <xf numFmtId="0" fontId="18" fillId="4" borderId="26" xfId="1" applyNumberFormat="1" applyFont="1" applyFill="1" applyBorder="1"/>
    <xf numFmtId="2" fontId="18" fillId="4" borderId="10" xfId="1" applyNumberFormat="1" applyFont="1" applyFill="1" applyBorder="1"/>
    <xf numFmtId="0" fontId="0" fillId="4" borderId="10" xfId="0" applyFill="1" applyBorder="1"/>
    <xf numFmtId="17" fontId="21" fillId="8" borderId="10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8" fillId="0" borderId="0" xfId="0" applyFont="1" applyAlignment="1">
      <alignment horizontal="center"/>
    </xf>
    <xf numFmtId="17" fontId="21" fillId="8" borderId="10" xfId="0" applyNumberFormat="1" applyFont="1" applyFill="1" applyBorder="1" applyAlignment="1">
      <alignment horizontal="center" vertical="center" wrapText="1"/>
    </xf>
    <xf numFmtId="17" fontId="17" fillId="0" borderId="10" xfId="0" applyNumberFormat="1" applyFont="1" applyBorder="1" applyAlignment="1">
      <alignment horizontal="center" vertical="center" wrapText="1"/>
    </xf>
    <xf numFmtId="17" fontId="19" fillId="0" borderId="10" xfId="0" applyNumberFormat="1" applyFont="1" applyBorder="1" applyAlignment="1">
      <alignment horizontal="center" vertical="top" wrapText="1"/>
    </xf>
  </cellXfs>
  <cellStyles count="9">
    <cellStyle name="Hipervínculo" xfId="4" builtinId="8"/>
    <cellStyle name="Millares" xfId="1" builtinId="3"/>
    <cellStyle name="Millares [0]" xfId="2" builtinId="6"/>
    <cellStyle name="Normal" xfId="0" builtinId="0"/>
    <cellStyle name="Normal 17" xfId="3" xr:uid="{B8804857-AF0E-41D5-B3CA-0C87DE69D174}"/>
    <cellStyle name="Normal 2" xfId="5" xr:uid="{94EA0533-EE58-4B39-A55F-1B62D21D9261}"/>
    <cellStyle name="Normal 3" xfId="6" xr:uid="{6D21483A-62A2-4637-9511-D50A5FE4284F}"/>
    <cellStyle name="Normal 4" xfId="7" xr:uid="{03CD01F5-1985-4ABC-A573-9999DC9F5B91}"/>
    <cellStyle name="Normal 5" xfId="8" xr:uid="{ACDC32AF-10D2-41F8-B9BD-F008D2420F22}"/>
  </cellStyles>
  <dxfs count="0"/>
  <tableStyles count="0" defaultTableStyle="TableStyleMedium2" defaultPivotStyle="PivotStyleLight16"/>
  <colors>
    <mruColors>
      <color rgb="FFA8004A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otoro.banrep.gov.co/analytics/saw.dll?Download&amp;Format=excel2007&amp;Extension=.xls&amp;BypassCache=true&amp;lang=es&amp;NQUser=publico&amp;NQPassword=publico123&amp;path=%2Fshared%2FSeries%20Estad%C3%ADsticas_T%2F1.%20IPC%20base%202018%2F1.2.%20Por%20a%C3%B1o%2F1.2.5.IPC_Serie_variacion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totoro.banrep.gov.co/analytics/saw.dll?Download&amp;Format=excel2007&amp;Extension=.xlsx&amp;BypassCache=true&amp;path=%2Fshared%2fSeries%20Estad%c3%adsticas_T%2F1.%20IBR%2F%201.2.IBR_Plazo%20un%20mes%20nominal%20para%20un%20rango%20de%20fechas%20dado%20IQY&amp;lang=es&amp;NQUser=publico&amp;NQPassword=publico123&amp;SyncOperation=1" TargetMode="External"/><Relationship Id="rId1" Type="http://schemas.openxmlformats.org/officeDocument/2006/relationships/hyperlink" Target="https://totoro.banrep.gov.co/analytics/saw.dll?Download&amp;Format=excel2007&amp;Extension=.xls&amp;BypassCache=true&amp;path=%2Fshared%2FSeries%20Estad%C3%ADsticas_T%2F1.%20Tasas%20de%20Captaci%C3%B3n%2F1.1%20Serie%20empalmada%2F1.1.3%20Mensuales%20-%20(Desde%20enero%20de%201986)%2F1.1.3.1.TCA_Para%20un%20rango%20de%20fechas%20dado%20(DTF)%20IQY&amp;NQUser=publico&amp;NQPassword=publico123&amp;SyncOperation=1" TargetMode="External"/><Relationship Id="rId6" Type="http://schemas.openxmlformats.org/officeDocument/2006/relationships/hyperlink" Target="https://investigaciones.corficolombiana.com/macroeconomia-y-mercados?tab=publicaciones" TargetMode="External"/><Relationship Id="rId5" Type="http://schemas.openxmlformats.org/officeDocument/2006/relationships/hyperlink" Target="https://www.banrep.gov.co/es/catalogo-estadisticas-disponibles" TargetMode="External"/><Relationship Id="rId4" Type="http://schemas.openxmlformats.org/officeDocument/2006/relationships/hyperlink" Target="https://totoro.banrep.gov.co/analytics/saw.dll?Download&amp;Format=excel2007&amp;Extension=.xlsx&amp;BypassCache=true&amp;path=%2Fshared%2fSeries%20Estad%c3%adsticas_T%2F1.%20Tasa%20de%20intervenci%C3%B3n%20de%20pol%C3%ADtica%20monetaria%2F1.1.TIP_Serie%20hist%C3%B3rica%20seg%C3%BAn%20fecha%20de%20modificaci%C3%B3n%20IQY&amp;lang=es&amp;NQUser=publico&amp;NQPassword=publico123&amp;SyncOperation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1678-42D1-462F-AB26-684694730937}">
  <dimension ref="A1:BW42"/>
  <sheetViews>
    <sheetView showGridLines="0" tabSelected="1" zoomScale="80" zoomScaleNormal="80" workbookViewId="0">
      <pane xSplit="2" topLeftCell="BJ1" activePane="topRight" state="frozen"/>
      <selection pane="topRight" activeCell="BR12" sqref="BR12"/>
    </sheetView>
  </sheetViews>
  <sheetFormatPr baseColWidth="10" defaultColWidth="42.140625" defaultRowHeight="15" x14ac:dyDescent="0.25"/>
  <cols>
    <col min="1" max="1" width="22.140625" customWidth="1"/>
    <col min="2" max="2" width="15" customWidth="1"/>
    <col min="3" max="3" width="20.7109375" hidden="1" customWidth="1"/>
    <col min="4" max="10" width="20.42578125" hidden="1" customWidth="1"/>
    <col min="11" max="11" width="21.140625" hidden="1" customWidth="1"/>
    <col min="12" max="12" width="11.5703125" hidden="1" customWidth="1"/>
    <col min="13" max="13" width="11.140625" hidden="1" customWidth="1"/>
    <col min="14" max="14" width="12.42578125" hidden="1" customWidth="1"/>
    <col min="15" max="17" width="12.85546875" hidden="1" customWidth="1"/>
    <col min="18" max="18" width="13.140625" hidden="1" customWidth="1"/>
    <col min="19" max="30" width="9.28515625" hidden="1" customWidth="1"/>
    <col min="31" max="31" width="9" hidden="1" customWidth="1"/>
    <col min="32" max="35" width="9.28515625" hidden="1" customWidth="1"/>
    <col min="36" max="36" width="8.5703125" hidden="1" customWidth="1"/>
    <col min="37" max="37" width="9.140625" hidden="1" customWidth="1"/>
    <col min="38" max="38" width="9.28515625" hidden="1" customWidth="1"/>
    <col min="39" max="39" width="9" hidden="1" customWidth="1"/>
    <col min="40" max="41" width="9.5703125" hidden="1" customWidth="1"/>
    <col min="42" max="42" width="11.42578125" hidden="1" customWidth="1"/>
    <col min="43" max="43" width="12.42578125" hidden="1" customWidth="1"/>
    <col min="44" max="44" width="13.85546875" hidden="1" customWidth="1"/>
    <col min="45" max="45" width="11.42578125" hidden="1" customWidth="1"/>
    <col min="46" max="46" width="13" hidden="1" customWidth="1"/>
    <col min="47" max="48" width="15" hidden="1" customWidth="1"/>
    <col min="49" max="49" width="15.85546875" hidden="1" customWidth="1"/>
    <col min="50" max="50" width="16.28515625" hidden="1" customWidth="1"/>
    <col min="51" max="51" width="15.85546875" hidden="1" customWidth="1"/>
    <col min="52" max="52" width="16.5703125" hidden="1" customWidth="1"/>
    <col min="53" max="53" width="15.5703125" hidden="1" customWidth="1"/>
    <col min="54" max="54" width="18.5703125" hidden="1" customWidth="1"/>
    <col min="55" max="56" width="14.85546875" hidden="1" customWidth="1"/>
    <col min="57" max="57" width="14.28515625" hidden="1" customWidth="1"/>
    <col min="58" max="58" width="13.42578125" hidden="1" customWidth="1"/>
    <col min="59" max="59" width="11.7109375" hidden="1" customWidth="1"/>
    <col min="60" max="60" width="13.5703125" hidden="1" customWidth="1"/>
    <col min="61" max="61" width="13.7109375" hidden="1" customWidth="1"/>
    <col min="62" max="62" width="15" customWidth="1"/>
    <col min="63" max="63" width="14.42578125" customWidth="1"/>
    <col min="64" max="64" width="14.7109375" customWidth="1"/>
    <col min="65" max="65" width="17.28515625" customWidth="1"/>
    <col min="66" max="66" width="15.42578125" customWidth="1"/>
    <col min="67" max="67" width="16.140625" customWidth="1"/>
    <col min="68" max="70" width="15.42578125" customWidth="1"/>
    <col min="71" max="71" width="16.85546875" customWidth="1"/>
    <col min="72" max="72" width="11.85546875" customWidth="1"/>
    <col min="73" max="73" width="18.42578125" customWidth="1"/>
    <col min="74" max="74" width="12.140625" customWidth="1"/>
    <col min="75" max="75" width="12.42578125" customWidth="1"/>
  </cols>
  <sheetData>
    <row r="1" spans="1:75" ht="15.75" thickBot="1" x14ac:dyDescent="0.3">
      <c r="Z1" s="13"/>
      <c r="AF1" s="13"/>
      <c r="AG1" s="13"/>
      <c r="AH1" s="13"/>
      <c r="AM1" s="13" t="s">
        <v>16</v>
      </c>
      <c r="AN1" s="13" t="s">
        <v>17</v>
      </c>
      <c r="AO1" s="13"/>
      <c r="AP1" s="13"/>
      <c r="AQ1" s="13"/>
      <c r="AR1" s="13"/>
      <c r="AS1" s="13"/>
      <c r="AT1" s="13"/>
    </row>
    <row r="2" spans="1:75" ht="16.5" thickBot="1" x14ac:dyDescent="0.3">
      <c r="A2" s="94" t="s">
        <v>0</v>
      </c>
      <c r="B2" s="94"/>
      <c r="C2" s="22">
        <v>43800</v>
      </c>
      <c r="D2" s="23">
        <v>43831</v>
      </c>
      <c r="E2" s="23">
        <v>43862</v>
      </c>
      <c r="F2" s="23">
        <v>43891</v>
      </c>
      <c r="G2" s="23">
        <v>43922</v>
      </c>
      <c r="H2" s="23">
        <v>43952</v>
      </c>
      <c r="I2" s="23">
        <v>43983</v>
      </c>
      <c r="J2" s="23">
        <v>44013</v>
      </c>
      <c r="K2" s="23">
        <v>44044</v>
      </c>
      <c r="L2" s="23">
        <v>44075</v>
      </c>
      <c r="M2" s="23">
        <v>44105</v>
      </c>
      <c r="N2" s="23">
        <v>44136</v>
      </c>
      <c r="O2" s="23">
        <v>44166</v>
      </c>
      <c r="P2" s="23">
        <v>44197</v>
      </c>
      <c r="Q2" s="23">
        <v>44228</v>
      </c>
      <c r="R2" s="23">
        <v>44256</v>
      </c>
      <c r="S2" s="23">
        <v>44287</v>
      </c>
      <c r="T2" s="23">
        <v>44317</v>
      </c>
      <c r="U2" s="23">
        <v>44348</v>
      </c>
      <c r="V2" s="23">
        <v>44378</v>
      </c>
      <c r="W2" s="23">
        <v>44409</v>
      </c>
      <c r="X2" s="23">
        <v>44440</v>
      </c>
      <c r="Y2" s="23">
        <v>44470</v>
      </c>
      <c r="Z2" s="23">
        <v>44501</v>
      </c>
      <c r="AA2" s="23">
        <v>44531</v>
      </c>
      <c r="AB2" s="23">
        <v>44562</v>
      </c>
      <c r="AC2" s="23">
        <v>44593</v>
      </c>
      <c r="AD2" s="23">
        <v>44621</v>
      </c>
      <c r="AE2" s="23">
        <v>44652</v>
      </c>
      <c r="AF2" s="23">
        <v>44682</v>
      </c>
      <c r="AG2" s="23">
        <v>44713</v>
      </c>
      <c r="AH2" s="23">
        <v>44743</v>
      </c>
      <c r="AI2" s="23">
        <v>44774</v>
      </c>
      <c r="AJ2" s="23">
        <v>44805</v>
      </c>
      <c r="AK2" s="23">
        <v>44835</v>
      </c>
      <c r="AL2" s="23">
        <v>44866</v>
      </c>
      <c r="AM2" s="23">
        <v>44896</v>
      </c>
      <c r="AN2" s="24">
        <v>44927</v>
      </c>
      <c r="AO2" s="24">
        <v>44958</v>
      </c>
      <c r="AP2" s="24">
        <v>44995</v>
      </c>
      <c r="AQ2" s="24">
        <v>45026</v>
      </c>
      <c r="AR2" s="24">
        <v>45056</v>
      </c>
      <c r="AS2" s="25">
        <v>45078</v>
      </c>
      <c r="AT2" s="25">
        <v>45108</v>
      </c>
      <c r="AU2" s="25">
        <v>45139</v>
      </c>
      <c r="AV2" s="25">
        <v>45170</v>
      </c>
      <c r="AW2" s="25">
        <v>45200</v>
      </c>
      <c r="AX2" s="24">
        <v>45231</v>
      </c>
      <c r="AY2" s="25">
        <v>45261</v>
      </c>
      <c r="AZ2" s="21">
        <v>45292</v>
      </c>
      <c r="BA2" s="21">
        <v>45323</v>
      </c>
      <c r="BB2" s="26">
        <v>45352</v>
      </c>
      <c r="BC2" s="21">
        <v>45383</v>
      </c>
      <c r="BD2" s="21">
        <v>45413</v>
      </c>
      <c r="BE2" s="21">
        <v>45444</v>
      </c>
      <c r="BF2" s="21">
        <v>45474</v>
      </c>
      <c r="BG2" s="21">
        <v>45505</v>
      </c>
      <c r="BH2" s="21">
        <v>45536</v>
      </c>
      <c r="BI2" s="21">
        <v>45566</v>
      </c>
      <c r="BJ2" s="91">
        <v>45597</v>
      </c>
      <c r="BK2" s="91">
        <v>45627</v>
      </c>
      <c r="BL2" s="91">
        <v>45658</v>
      </c>
      <c r="BM2" s="91">
        <v>45689</v>
      </c>
      <c r="BN2" s="91">
        <v>45717</v>
      </c>
      <c r="BO2" s="91">
        <v>45748</v>
      </c>
      <c r="BP2" s="91">
        <v>45778</v>
      </c>
      <c r="BQ2" s="91">
        <v>45809</v>
      </c>
      <c r="BR2" s="91">
        <v>45839</v>
      </c>
      <c r="BS2" s="91">
        <v>45870</v>
      </c>
      <c r="BT2" s="91">
        <v>45901</v>
      </c>
      <c r="BU2" s="91">
        <v>45931</v>
      </c>
      <c r="BV2" s="91">
        <v>45962</v>
      </c>
      <c r="BW2" s="91">
        <v>45992</v>
      </c>
    </row>
    <row r="3" spans="1:75" s="14" customFormat="1" ht="15.75" x14ac:dyDescent="0.25">
      <c r="A3" s="95" t="s">
        <v>1</v>
      </c>
      <c r="B3" s="95"/>
      <c r="C3" s="27">
        <v>4.25075</v>
      </c>
      <c r="D3" s="28">
        <v>4.2528095238095247</v>
      </c>
      <c r="E3" s="28">
        <v>4.2522000000000002</v>
      </c>
      <c r="F3" s="28">
        <v>4.1365714285714281</v>
      </c>
      <c r="G3" s="28">
        <v>3.3948999999999998</v>
      </c>
      <c r="H3" s="28">
        <v>2.9670526315789476</v>
      </c>
      <c r="I3" s="28">
        <v>2.568368421052631</v>
      </c>
      <c r="J3" s="28">
        <v>2.3429090909090906</v>
      </c>
      <c r="K3" s="28">
        <v>2.1171578947368421</v>
      </c>
      <c r="L3" s="28">
        <v>1.9192849999999999</v>
      </c>
      <c r="M3" s="28">
        <v>1.75</v>
      </c>
      <c r="N3" s="28">
        <v>1.75</v>
      </c>
      <c r="O3" s="28">
        <v>1.75</v>
      </c>
      <c r="P3" s="28">
        <v>1.69</v>
      </c>
      <c r="Q3" s="29">
        <v>1.75</v>
      </c>
      <c r="R3" s="29">
        <v>1.744</v>
      </c>
      <c r="S3" s="29">
        <v>1.7370000000000001</v>
      </c>
      <c r="T3" s="29">
        <v>1.756</v>
      </c>
      <c r="U3" s="29">
        <v>1.756</v>
      </c>
      <c r="V3" s="29">
        <v>1.7509999999999999</v>
      </c>
      <c r="W3" s="29">
        <v>1.7789999999999999</v>
      </c>
      <c r="X3" s="29">
        <v>2.0569999999999999</v>
      </c>
      <c r="Y3" s="29">
        <v>2.4239999999999999</v>
      </c>
      <c r="Z3" s="29">
        <v>2.6720000000000002</v>
      </c>
      <c r="AA3" s="29">
        <v>3.0489999999999999</v>
      </c>
      <c r="AB3" s="30">
        <v>4.0039999999999996</v>
      </c>
      <c r="AC3" s="30">
        <v>4.1070000000000002</v>
      </c>
      <c r="AD3" s="30">
        <v>5.4669999999999996</v>
      </c>
      <c r="AE3" s="30">
        <v>6.0460000000000003</v>
      </c>
      <c r="AF3" s="31">
        <v>6.0179999999999998</v>
      </c>
      <c r="AG3" s="32">
        <v>7.4969999999999999</v>
      </c>
      <c r="AH3" s="33">
        <v>8.9830000000000005</v>
      </c>
      <c r="AI3" s="33">
        <v>9</v>
      </c>
      <c r="AJ3" s="34">
        <v>10.029</v>
      </c>
      <c r="AK3" s="34">
        <v>10.43</v>
      </c>
      <c r="AL3" s="33">
        <v>11</v>
      </c>
      <c r="AM3" s="35">
        <v>11.997</v>
      </c>
      <c r="AN3" s="36">
        <v>12.739000000000001</v>
      </c>
      <c r="AO3" s="36">
        <v>12.750999999999999</v>
      </c>
      <c r="AP3" s="36">
        <v>12.992000000000001</v>
      </c>
      <c r="AQ3" s="36">
        <v>13.117000000000001</v>
      </c>
      <c r="AR3" s="36">
        <v>13.252000000000001</v>
      </c>
      <c r="AS3" s="37">
        <v>13.247</v>
      </c>
      <c r="AT3" s="38">
        <v>13.244</v>
      </c>
      <c r="AU3" s="38">
        <v>13.25</v>
      </c>
      <c r="AV3" s="38">
        <v>13.244999999999999</v>
      </c>
      <c r="AW3" s="38">
        <v>13.244999999999999</v>
      </c>
      <c r="AX3" s="39">
        <v>13.247</v>
      </c>
      <c r="AY3" s="40">
        <v>12.95</v>
      </c>
      <c r="AZ3" s="41">
        <v>12.62</v>
      </c>
      <c r="BA3" s="38">
        <v>12.43</v>
      </c>
      <c r="BB3" s="39">
        <v>12.311</v>
      </c>
      <c r="BC3" s="42">
        <v>11.77</v>
      </c>
      <c r="BD3" s="42">
        <v>11.52</v>
      </c>
      <c r="BE3" s="43">
        <v>11.22</v>
      </c>
      <c r="BF3" s="43">
        <v>10.738</v>
      </c>
      <c r="BG3" s="43">
        <v>10.733000000000001</v>
      </c>
      <c r="BH3" s="43">
        <v>10.17</v>
      </c>
      <c r="BI3" s="43">
        <v>9.73</v>
      </c>
      <c r="BJ3" s="44">
        <v>9.5909999999999993</v>
      </c>
      <c r="BK3" s="44">
        <v>9.5060000000000002</v>
      </c>
      <c r="BL3" s="43">
        <v>9.3550000000000004</v>
      </c>
      <c r="BM3" s="43">
        <v>9.4629999999999992</v>
      </c>
      <c r="BN3" s="43">
        <v>9.4179999999999993</v>
      </c>
      <c r="BO3" s="43">
        <v>9.26</v>
      </c>
      <c r="BP3" s="43">
        <v>9.23</v>
      </c>
      <c r="BQ3" s="43">
        <v>9.2490000000000006</v>
      </c>
      <c r="BR3" s="43">
        <v>9.2530000000000001</v>
      </c>
      <c r="BS3" s="43">
        <v>9.2479999999999993</v>
      </c>
      <c r="BT3" s="43">
        <v>9.2550000000000008</v>
      </c>
      <c r="BU3" s="43">
        <v>9.25</v>
      </c>
      <c r="BV3" s="43">
        <v>9.1720000000000006</v>
      </c>
      <c r="BW3" s="90">
        <v>9.4109999999999996</v>
      </c>
    </row>
    <row r="4" spans="1:75" s="14" customFormat="1" ht="15.75" hidden="1" x14ac:dyDescent="0.25">
      <c r="A4" s="96" t="s">
        <v>6</v>
      </c>
      <c r="B4" s="96"/>
      <c r="C4" s="45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>
        <v>1.75</v>
      </c>
      <c r="P4" s="46">
        <v>1.73</v>
      </c>
      <c r="Q4" s="47">
        <v>1.74</v>
      </c>
      <c r="R4" s="47">
        <v>1.66</v>
      </c>
      <c r="S4" s="47">
        <v>1.73</v>
      </c>
      <c r="T4" s="47">
        <v>1.76</v>
      </c>
      <c r="U4" s="47">
        <v>1.75</v>
      </c>
      <c r="V4" s="47">
        <v>1.76</v>
      </c>
      <c r="W4" s="47">
        <v>1.99</v>
      </c>
      <c r="X4" s="47">
        <v>2.0099999999999998</v>
      </c>
      <c r="Y4" s="47">
        <v>2.0299999999999998</v>
      </c>
      <c r="Z4" s="47">
        <v>2.5299999999999998</v>
      </c>
      <c r="AA4" s="47">
        <v>2.99</v>
      </c>
      <c r="AB4" s="47">
        <v>3.01</v>
      </c>
      <c r="AC4" s="47">
        <v>4</v>
      </c>
      <c r="AD4" s="47">
        <v>4.01</v>
      </c>
      <c r="AE4" s="47">
        <v>5.98</v>
      </c>
      <c r="AF4" s="48">
        <v>5.95</v>
      </c>
      <c r="AG4" s="49">
        <v>5.34</v>
      </c>
      <c r="AH4" s="50">
        <v>7.51</v>
      </c>
      <c r="AI4" s="50">
        <v>9.01</v>
      </c>
      <c r="AJ4" s="50">
        <v>8.98</v>
      </c>
      <c r="AK4" s="50">
        <v>10.039999999999999</v>
      </c>
      <c r="AL4" s="51">
        <v>10.945</v>
      </c>
      <c r="AM4" s="52">
        <v>11.968</v>
      </c>
      <c r="AN4" s="53">
        <v>11.99</v>
      </c>
      <c r="AO4" s="53">
        <v>12.2</v>
      </c>
      <c r="AP4" s="53">
        <v>12.342000000000001</v>
      </c>
      <c r="AQ4" s="53"/>
      <c r="AR4" s="53"/>
      <c r="AS4" s="54">
        <v>12.558999999999999</v>
      </c>
      <c r="AT4" s="54">
        <v>12.558999999999999</v>
      </c>
      <c r="AU4" s="54">
        <v>12.558999999999999</v>
      </c>
      <c r="AV4" s="55">
        <v>12.76</v>
      </c>
      <c r="AW4" s="55">
        <v>12.76</v>
      </c>
      <c r="AX4" s="54">
        <v>12.76</v>
      </c>
      <c r="AY4" s="55">
        <v>12.76</v>
      </c>
      <c r="AZ4" s="56">
        <v>12.76</v>
      </c>
      <c r="BA4" s="55">
        <v>12.76</v>
      </c>
      <c r="BB4" s="54">
        <v>12.76</v>
      </c>
      <c r="BC4" s="50">
        <v>12.76</v>
      </c>
      <c r="BD4" s="50">
        <v>12.76</v>
      </c>
      <c r="BE4" s="50">
        <v>12.76</v>
      </c>
      <c r="BF4" s="50">
        <v>12.76</v>
      </c>
      <c r="BG4" s="50">
        <v>12.76</v>
      </c>
      <c r="BH4" s="50">
        <v>12.76</v>
      </c>
      <c r="BI4" s="50">
        <v>12.76</v>
      </c>
      <c r="BJ4" s="50">
        <v>12.76</v>
      </c>
      <c r="BK4" s="50">
        <v>12.76</v>
      </c>
      <c r="BL4" s="50">
        <v>12.76</v>
      </c>
      <c r="BM4" s="50">
        <v>12.76</v>
      </c>
      <c r="BN4" s="50">
        <v>12.76</v>
      </c>
      <c r="BO4" s="50">
        <v>12.76</v>
      </c>
      <c r="BP4" s="50">
        <v>12.76</v>
      </c>
      <c r="BQ4" s="50">
        <v>12.76</v>
      </c>
      <c r="BR4" s="50">
        <v>12.76</v>
      </c>
      <c r="BS4" s="50">
        <v>12.76</v>
      </c>
      <c r="BT4" s="50">
        <v>12.76</v>
      </c>
      <c r="BU4" s="50">
        <v>12.76</v>
      </c>
      <c r="BV4" s="50">
        <v>12.76</v>
      </c>
      <c r="BW4" s="90"/>
    </row>
    <row r="5" spans="1:75" s="14" customFormat="1" ht="15.75" hidden="1" x14ac:dyDescent="0.25">
      <c r="A5" s="95" t="s">
        <v>5</v>
      </c>
      <c r="B5" s="95"/>
      <c r="C5" s="57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60"/>
      <c r="AG5" s="61"/>
      <c r="AH5" s="62"/>
      <c r="AI5" s="62"/>
      <c r="AJ5" s="62"/>
      <c r="AK5" s="62"/>
      <c r="AL5" s="62"/>
      <c r="AM5" s="63"/>
      <c r="AN5" s="64"/>
      <c r="AO5" s="64"/>
      <c r="AP5" s="64"/>
      <c r="AQ5" s="64"/>
      <c r="AR5" s="64"/>
      <c r="AS5" s="40"/>
      <c r="AT5" s="40"/>
      <c r="AU5" s="40"/>
      <c r="AV5" s="40"/>
      <c r="AW5" s="40"/>
      <c r="AX5" s="65"/>
      <c r="AY5" s="40"/>
      <c r="AZ5" s="41"/>
      <c r="BA5" s="40"/>
      <c r="BB5" s="65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90"/>
    </row>
    <row r="6" spans="1:75" s="14" customFormat="1" ht="15.75" x14ac:dyDescent="0.25">
      <c r="A6" s="95" t="s">
        <v>2</v>
      </c>
      <c r="B6" s="95"/>
      <c r="C6" s="27">
        <v>4.25</v>
      </c>
      <c r="D6" s="28">
        <v>4.25</v>
      </c>
      <c r="E6" s="28">
        <v>4.25</v>
      </c>
      <c r="F6" s="28">
        <v>3.75</v>
      </c>
      <c r="G6" s="28">
        <v>3.75</v>
      </c>
      <c r="H6" s="28">
        <v>3.25</v>
      </c>
      <c r="I6" s="28">
        <v>2.75</v>
      </c>
      <c r="J6" s="28">
        <v>2.5</v>
      </c>
      <c r="K6" s="28">
        <v>2.25</v>
      </c>
      <c r="L6" s="28">
        <v>2</v>
      </c>
      <c r="M6" s="28">
        <v>1.75</v>
      </c>
      <c r="N6" s="28">
        <v>1.75</v>
      </c>
      <c r="O6" s="28">
        <v>1.75</v>
      </c>
      <c r="P6" s="28">
        <v>1.75</v>
      </c>
      <c r="Q6" s="29">
        <v>1.75</v>
      </c>
      <c r="R6" s="29">
        <v>1.75</v>
      </c>
      <c r="S6" s="29">
        <v>1.75</v>
      </c>
      <c r="T6" s="29">
        <v>1.75</v>
      </c>
      <c r="U6" s="29">
        <v>1.75</v>
      </c>
      <c r="V6" s="29">
        <v>1.75</v>
      </c>
      <c r="W6" s="29">
        <v>1.75</v>
      </c>
      <c r="X6" s="29">
        <v>1.75</v>
      </c>
      <c r="Y6" s="29">
        <v>2</v>
      </c>
      <c r="Z6" s="29">
        <v>2.5</v>
      </c>
      <c r="AA6" s="29">
        <v>3</v>
      </c>
      <c r="AB6" s="29">
        <v>4</v>
      </c>
      <c r="AC6" s="29">
        <v>4</v>
      </c>
      <c r="AD6" s="29">
        <v>5</v>
      </c>
      <c r="AE6" s="29">
        <v>6</v>
      </c>
      <c r="AF6" s="67">
        <v>6</v>
      </c>
      <c r="AG6" s="68">
        <v>6</v>
      </c>
      <c r="AH6" s="69">
        <v>7.5</v>
      </c>
      <c r="AI6" s="69">
        <v>9</v>
      </c>
      <c r="AJ6" s="69">
        <v>10</v>
      </c>
      <c r="AK6" s="69">
        <v>11</v>
      </c>
      <c r="AL6" s="69">
        <v>12</v>
      </c>
      <c r="AM6" s="63">
        <v>12</v>
      </c>
      <c r="AN6" s="64">
        <v>12.75</v>
      </c>
      <c r="AO6" s="64">
        <v>12.75</v>
      </c>
      <c r="AP6" s="70">
        <v>13</v>
      </c>
      <c r="AQ6" s="70">
        <v>13.25</v>
      </c>
      <c r="AR6" s="71">
        <v>13.25</v>
      </c>
      <c r="AS6" s="40">
        <v>13.25</v>
      </c>
      <c r="AT6" s="40">
        <v>13.25</v>
      </c>
      <c r="AU6" s="40">
        <v>13.25</v>
      </c>
      <c r="AV6" s="40">
        <v>13.25</v>
      </c>
      <c r="AW6" s="40">
        <v>13.25</v>
      </c>
      <c r="AX6" s="65">
        <v>13.25</v>
      </c>
      <c r="AY6" s="72">
        <v>13</v>
      </c>
      <c r="AZ6" s="41">
        <v>12.75</v>
      </c>
      <c r="BA6" s="40">
        <v>12.75</v>
      </c>
      <c r="BB6" s="65">
        <v>12.25</v>
      </c>
      <c r="BC6" s="66">
        <v>11.75</v>
      </c>
      <c r="BD6" s="66">
        <v>11.75</v>
      </c>
      <c r="BE6" s="73">
        <v>11.25</v>
      </c>
      <c r="BF6" s="42">
        <v>11.25</v>
      </c>
      <c r="BG6" s="42">
        <v>10.75</v>
      </c>
      <c r="BH6" s="42">
        <v>10.25</v>
      </c>
      <c r="BI6" s="42">
        <v>9.75</v>
      </c>
      <c r="BJ6" s="42">
        <v>9.75</v>
      </c>
      <c r="BK6" s="42">
        <v>9.5</v>
      </c>
      <c r="BL6" s="42">
        <v>9.5</v>
      </c>
      <c r="BM6" s="42">
        <v>9.5</v>
      </c>
      <c r="BN6" s="42">
        <v>9.5</v>
      </c>
      <c r="BO6" s="42">
        <v>9.25</v>
      </c>
      <c r="BP6" s="42">
        <v>9.25</v>
      </c>
      <c r="BQ6" s="42">
        <v>9.25</v>
      </c>
      <c r="BR6" s="42">
        <v>9.25</v>
      </c>
      <c r="BS6" s="42">
        <v>9.25</v>
      </c>
      <c r="BT6" s="42">
        <v>9.25</v>
      </c>
      <c r="BU6" s="42">
        <v>9.25</v>
      </c>
      <c r="BV6" s="42">
        <v>9.25</v>
      </c>
      <c r="BW6" s="90">
        <v>9.25</v>
      </c>
    </row>
    <row r="7" spans="1:75" s="14" customFormat="1" ht="15.75" x14ac:dyDescent="0.25">
      <c r="A7" s="95" t="s">
        <v>3</v>
      </c>
      <c r="B7" s="95"/>
      <c r="C7" s="74">
        <v>3.8</v>
      </c>
      <c r="D7" s="75">
        <v>3.62</v>
      </c>
      <c r="E7" s="75">
        <v>3.7199999999999998</v>
      </c>
      <c r="F7" s="75">
        <v>3.8600000000000003</v>
      </c>
      <c r="G7" s="75">
        <v>3.51</v>
      </c>
      <c r="H7" s="75">
        <v>2.85</v>
      </c>
      <c r="I7" s="75">
        <v>2.19</v>
      </c>
      <c r="J7" s="75">
        <v>1.97</v>
      </c>
      <c r="K7" s="75">
        <v>1.8800000000000001</v>
      </c>
      <c r="L7" s="75">
        <v>1.97</v>
      </c>
      <c r="M7" s="75">
        <v>1.75</v>
      </c>
      <c r="N7" s="75">
        <v>1.49</v>
      </c>
      <c r="O7" s="75">
        <v>1.61</v>
      </c>
      <c r="P7" s="75">
        <v>1.6</v>
      </c>
      <c r="Q7" s="76">
        <v>1.56</v>
      </c>
      <c r="R7" s="76">
        <v>1.51</v>
      </c>
      <c r="S7" s="76">
        <v>1.95</v>
      </c>
      <c r="T7" s="76">
        <v>3.3</v>
      </c>
      <c r="U7" s="76">
        <v>3.63</v>
      </c>
      <c r="V7" s="76">
        <v>3.97</v>
      </c>
      <c r="W7" s="76">
        <v>4.4400000000000004</v>
      </c>
      <c r="X7" s="76">
        <v>4.51</v>
      </c>
      <c r="Y7" s="76">
        <v>4.58</v>
      </c>
      <c r="Z7" s="76">
        <v>5.26</v>
      </c>
      <c r="AA7" s="76">
        <v>5.62</v>
      </c>
      <c r="AB7" s="76">
        <v>6.94</v>
      </c>
      <c r="AC7" s="76">
        <v>8.01</v>
      </c>
      <c r="AD7" s="76">
        <v>8.5299999999999994</v>
      </c>
      <c r="AE7" s="76">
        <v>9.23</v>
      </c>
      <c r="AF7" s="77">
        <v>9.07</v>
      </c>
      <c r="AG7" s="78">
        <v>9.67</v>
      </c>
      <c r="AH7" s="79">
        <v>10.210000000000001</v>
      </c>
      <c r="AI7" s="79">
        <v>10.84</v>
      </c>
      <c r="AJ7" s="79">
        <v>11.44</v>
      </c>
      <c r="AK7" s="79">
        <v>12.22</v>
      </c>
      <c r="AL7" s="79">
        <v>12.53</v>
      </c>
      <c r="AM7" s="80">
        <v>13.12</v>
      </c>
      <c r="AN7" s="71">
        <v>13.25</v>
      </c>
      <c r="AO7" s="71">
        <v>13.28</v>
      </c>
      <c r="AP7" s="71">
        <v>13.34</v>
      </c>
      <c r="AQ7" s="71">
        <v>12.82</v>
      </c>
      <c r="AR7" s="71">
        <v>12.36</v>
      </c>
      <c r="AS7" s="40">
        <v>12.13</v>
      </c>
      <c r="AT7" s="40">
        <v>11.78</v>
      </c>
      <c r="AU7" s="40">
        <v>11.43</v>
      </c>
      <c r="AV7" s="40">
        <v>10.99</v>
      </c>
      <c r="AW7" s="40">
        <v>10.48</v>
      </c>
      <c r="AX7" s="81">
        <v>10.15</v>
      </c>
      <c r="AY7" s="82">
        <v>9.2799999999999994</v>
      </c>
      <c r="AZ7" s="17">
        <v>8.35</v>
      </c>
      <c r="BA7" s="40">
        <v>7.74</v>
      </c>
      <c r="BB7" s="65">
        <v>7.36</v>
      </c>
      <c r="BC7" s="66">
        <v>7.16</v>
      </c>
      <c r="BD7" s="66">
        <v>7.16</v>
      </c>
      <c r="BE7" s="66">
        <v>7.18</v>
      </c>
      <c r="BF7" s="42">
        <v>6.86</v>
      </c>
      <c r="BG7" s="42">
        <v>6.12</v>
      </c>
      <c r="BH7" s="42">
        <v>5.81</v>
      </c>
      <c r="BI7" s="42">
        <v>5.41</v>
      </c>
      <c r="BJ7" s="42">
        <v>5.2</v>
      </c>
      <c r="BK7" s="42">
        <v>5.2</v>
      </c>
      <c r="BL7" s="42">
        <v>5.22</v>
      </c>
      <c r="BM7" s="42">
        <v>5.28</v>
      </c>
      <c r="BN7" s="42">
        <v>5.09</v>
      </c>
      <c r="BO7" s="42">
        <v>5.16</v>
      </c>
      <c r="BP7" s="42">
        <v>5.05</v>
      </c>
      <c r="BQ7" s="42">
        <v>4.82</v>
      </c>
      <c r="BR7" s="42">
        <v>4.9000000000000004</v>
      </c>
      <c r="BS7" s="42">
        <v>5.0999999999999996</v>
      </c>
      <c r="BT7" s="42">
        <v>5.18</v>
      </c>
      <c r="BU7" s="42">
        <v>5.51</v>
      </c>
      <c r="BV7" s="42">
        <v>5.3</v>
      </c>
      <c r="BW7" s="90">
        <v>5.0999999999999996</v>
      </c>
    </row>
    <row r="8" spans="1:75" s="14" customFormat="1" ht="16.5" thickBot="1" x14ac:dyDescent="0.3">
      <c r="A8" s="95" t="s">
        <v>4</v>
      </c>
      <c r="B8" s="95"/>
      <c r="C8" s="83">
        <v>4.5199999999999996</v>
      </c>
      <c r="D8" s="84">
        <v>4.54</v>
      </c>
      <c r="E8" s="84">
        <v>4.46</v>
      </c>
      <c r="F8" s="84">
        <v>4.5</v>
      </c>
      <c r="G8" s="84">
        <v>4.55</v>
      </c>
      <c r="H8" s="84">
        <v>4.29</v>
      </c>
      <c r="I8" s="84">
        <v>3.7600000000000002</v>
      </c>
      <c r="J8" s="84">
        <v>3.34</v>
      </c>
      <c r="K8" s="84">
        <v>2.79</v>
      </c>
      <c r="L8" s="84">
        <v>2.39</v>
      </c>
      <c r="M8" s="84">
        <v>2.0299999999999998</v>
      </c>
      <c r="N8" s="84">
        <v>1.96</v>
      </c>
      <c r="O8" s="84">
        <v>1.93</v>
      </c>
      <c r="P8" s="84">
        <v>1.91</v>
      </c>
      <c r="Q8" s="85">
        <v>1.81</v>
      </c>
      <c r="R8" s="85">
        <v>1.77</v>
      </c>
      <c r="S8" s="85">
        <v>1.76</v>
      </c>
      <c r="T8" s="85">
        <v>1.82</v>
      </c>
      <c r="U8" s="85">
        <v>1.91</v>
      </c>
      <c r="V8" s="85">
        <v>1.9</v>
      </c>
      <c r="W8" s="85">
        <v>1.99</v>
      </c>
      <c r="X8" s="85">
        <v>2.0499999999999998</v>
      </c>
      <c r="Y8" s="85">
        <v>2.2200000000000002</v>
      </c>
      <c r="Z8" s="85">
        <v>2.65</v>
      </c>
      <c r="AA8" s="85">
        <v>3.08</v>
      </c>
      <c r="AB8" s="29">
        <v>3.47</v>
      </c>
      <c r="AC8" s="76">
        <v>4.3099999999999996</v>
      </c>
      <c r="AD8" s="76">
        <v>4.97</v>
      </c>
      <c r="AE8" s="76">
        <v>5.97</v>
      </c>
      <c r="AF8" s="76">
        <v>7.04</v>
      </c>
      <c r="AG8" s="76">
        <v>7.72</v>
      </c>
      <c r="AH8" s="76">
        <v>9.3000000000000007</v>
      </c>
      <c r="AI8" s="76">
        <v>10.57</v>
      </c>
      <c r="AJ8" s="76">
        <v>10.99</v>
      </c>
      <c r="AK8" s="76">
        <v>11.6</v>
      </c>
      <c r="AL8" s="76">
        <v>12.63</v>
      </c>
      <c r="AM8" s="76">
        <v>13.42</v>
      </c>
      <c r="AN8" s="76">
        <v>13.91</v>
      </c>
      <c r="AO8" s="76">
        <v>14.39</v>
      </c>
      <c r="AP8" s="76">
        <v>13.31</v>
      </c>
      <c r="AQ8" s="76">
        <v>12.53</v>
      </c>
      <c r="AR8" s="76">
        <v>12.57</v>
      </c>
      <c r="AS8" s="76">
        <v>13.02</v>
      </c>
      <c r="AT8" s="76">
        <v>13.58</v>
      </c>
      <c r="AU8" s="76">
        <v>13.71</v>
      </c>
      <c r="AV8" s="76">
        <v>13.07</v>
      </c>
      <c r="AW8" s="76">
        <v>13.09</v>
      </c>
      <c r="AX8" s="76">
        <v>12.76</v>
      </c>
      <c r="AY8" s="76">
        <v>12.63</v>
      </c>
      <c r="AZ8" s="76">
        <v>11.62</v>
      </c>
      <c r="BA8" s="76">
        <v>11.07</v>
      </c>
      <c r="BB8" s="77">
        <v>10.85</v>
      </c>
      <c r="BC8" s="79">
        <v>10.56</v>
      </c>
      <c r="BD8" s="79">
        <v>10.24</v>
      </c>
      <c r="BE8" s="79">
        <v>10.14</v>
      </c>
      <c r="BF8" s="79">
        <v>10.08</v>
      </c>
      <c r="BG8" s="79">
        <v>9.9</v>
      </c>
      <c r="BH8" s="79">
        <v>9.68</v>
      </c>
      <c r="BI8" s="79">
        <v>9.44</v>
      </c>
      <c r="BJ8" s="79">
        <v>9.27</v>
      </c>
      <c r="BK8" s="79">
        <v>9.2200000000000006</v>
      </c>
      <c r="BL8" s="79">
        <v>9.2200000000000006</v>
      </c>
      <c r="BM8" s="79">
        <v>9.41</v>
      </c>
      <c r="BN8" s="79">
        <v>9.15</v>
      </c>
      <c r="BO8" s="79">
        <v>9.1199999999999992</v>
      </c>
      <c r="BP8" s="79">
        <v>8.92</v>
      </c>
      <c r="BQ8" s="79">
        <v>8.9600000000000009</v>
      </c>
      <c r="BR8" s="79">
        <v>8.92</v>
      </c>
      <c r="BS8" s="79">
        <v>8.82</v>
      </c>
      <c r="BT8" s="79">
        <v>8.76</v>
      </c>
      <c r="BU8" s="79">
        <v>8.65</v>
      </c>
      <c r="BV8" s="79">
        <v>8.65</v>
      </c>
      <c r="BW8" s="90">
        <v>9</v>
      </c>
    </row>
    <row r="9" spans="1:75" s="14" customFormat="1" ht="16.5" thickBot="1" x14ac:dyDescent="0.3">
      <c r="A9" s="95" t="s">
        <v>23</v>
      </c>
      <c r="B9" s="95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5">
        <f>AB7-AB6</f>
        <v>2.9400000000000004</v>
      </c>
      <c r="AC9" s="85">
        <f>AC7-AC6</f>
        <v>4.01</v>
      </c>
      <c r="AD9" s="85">
        <f t="shared" ref="AD9:BH9" si="0">AD7-AD6</f>
        <v>3.5299999999999994</v>
      </c>
      <c r="AE9" s="85">
        <f t="shared" si="0"/>
        <v>3.2300000000000004</v>
      </c>
      <c r="AF9" s="85">
        <f t="shared" si="0"/>
        <v>3.0700000000000003</v>
      </c>
      <c r="AG9" s="85">
        <f t="shared" si="0"/>
        <v>3.67</v>
      </c>
      <c r="AH9" s="85">
        <f t="shared" si="0"/>
        <v>2.7100000000000009</v>
      </c>
      <c r="AI9" s="85">
        <f t="shared" si="0"/>
        <v>1.8399999999999999</v>
      </c>
      <c r="AJ9" s="85">
        <f t="shared" si="0"/>
        <v>1.4399999999999995</v>
      </c>
      <c r="AK9" s="85">
        <f t="shared" si="0"/>
        <v>1.2200000000000006</v>
      </c>
      <c r="AL9" s="85">
        <f t="shared" si="0"/>
        <v>0.52999999999999936</v>
      </c>
      <c r="AM9" s="85">
        <f t="shared" si="0"/>
        <v>1.1199999999999992</v>
      </c>
      <c r="AN9" s="85">
        <f t="shared" si="0"/>
        <v>0.5</v>
      </c>
      <c r="AO9" s="85">
        <f t="shared" si="0"/>
        <v>0.52999999999999936</v>
      </c>
      <c r="AP9" s="85">
        <f t="shared" si="0"/>
        <v>0.33999999999999986</v>
      </c>
      <c r="AQ9" s="85">
        <f t="shared" si="0"/>
        <v>-0.42999999999999972</v>
      </c>
      <c r="AR9" s="85">
        <f t="shared" si="0"/>
        <v>-0.89000000000000057</v>
      </c>
      <c r="AS9" s="85">
        <f t="shared" si="0"/>
        <v>-1.1199999999999992</v>
      </c>
      <c r="AT9" s="85">
        <f t="shared" si="0"/>
        <v>-1.4700000000000006</v>
      </c>
      <c r="AU9" s="85">
        <f t="shared" si="0"/>
        <v>-1.8200000000000003</v>
      </c>
      <c r="AV9" s="85">
        <f t="shared" si="0"/>
        <v>-2.2599999999999998</v>
      </c>
      <c r="AW9" s="85">
        <f t="shared" si="0"/>
        <v>-2.7699999999999996</v>
      </c>
      <c r="AX9" s="85">
        <f t="shared" si="0"/>
        <v>-3.0999999999999996</v>
      </c>
      <c r="AY9" s="85">
        <f t="shared" si="0"/>
        <v>-3.7200000000000006</v>
      </c>
      <c r="AZ9" s="85">
        <f t="shared" si="0"/>
        <v>-4.4000000000000004</v>
      </c>
      <c r="BA9" s="85">
        <f t="shared" si="0"/>
        <v>-5.01</v>
      </c>
      <c r="BB9" s="88">
        <f t="shared" si="0"/>
        <v>-4.8899999999999997</v>
      </c>
      <c r="BC9" s="79">
        <f t="shared" si="0"/>
        <v>-4.59</v>
      </c>
      <c r="BD9" s="79">
        <f t="shared" si="0"/>
        <v>-4.59</v>
      </c>
      <c r="BE9" s="79">
        <f t="shared" si="0"/>
        <v>-4.07</v>
      </c>
      <c r="BF9" s="79">
        <f t="shared" si="0"/>
        <v>-4.3899999999999997</v>
      </c>
      <c r="BG9" s="79">
        <f t="shared" si="0"/>
        <v>-4.63</v>
      </c>
      <c r="BH9" s="79">
        <f t="shared" si="0"/>
        <v>-4.4400000000000004</v>
      </c>
      <c r="BI9" s="89">
        <f t="shared" ref="BI9:BN9" si="1">BI7-BI6</f>
        <v>-4.34</v>
      </c>
      <c r="BJ9" s="89">
        <f t="shared" si="1"/>
        <v>-4.55</v>
      </c>
      <c r="BK9" s="89">
        <f t="shared" si="1"/>
        <v>-4.3</v>
      </c>
      <c r="BL9" s="89">
        <f t="shared" si="1"/>
        <v>-4.28</v>
      </c>
      <c r="BM9" s="89">
        <f t="shared" si="1"/>
        <v>-4.22</v>
      </c>
      <c r="BN9" s="89">
        <f t="shared" si="1"/>
        <v>-4.41</v>
      </c>
      <c r="BO9" s="89">
        <f t="shared" ref="BO9:BP9" si="2">BO7-BO6</f>
        <v>-4.09</v>
      </c>
      <c r="BP9" s="89">
        <f t="shared" si="2"/>
        <v>-4.2</v>
      </c>
      <c r="BQ9" s="89">
        <f t="shared" ref="BQ9:BR9" si="3">BQ7-BQ6</f>
        <v>-4.43</v>
      </c>
      <c r="BR9" s="89">
        <f t="shared" si="3"/>
        <v>-4.3499999999999996</v>
      </c>
      <c r="BS9" s="89">
        <f t="shared" ref="BS9:BT9" si="4">BS7-BS6</f>
        <v>-4.1500000000000004</v>
      </c>
      <c r="BT9" s="89">
        <f t="shared" si="4"/>
        <v>-4.07</v>
      </c>
      <c r="BU9" s="89">
        <f t="shared" ref="BU9" si="5">BU7-BU6</f>
        <v>-3.74</v>
      </c>
      <c r="BV9" s="89">
        <f t="shared" ref="BV9" si="6">BV7-BV6</f>
        <v>-3.95</v>
      </c>
      <c r="BW9" s="89">
        <f>BW7-BW6</f>
        <v>-4.1500000000000004</v>
      </c>
    </row>
    <row r="11" spans="1:75" x14ac:dyDescent="0.25">
      <c r="BE11" s="19"/>
      <c r="BF11" s="19"/>
    </row>
    <row r="12" spans="1:75" x14ac:dyDescent="0.25">
      <c r="AC12" s="92" t="s">
        <v>22</v>
      </c>
      <c r="AD12" s="92"/>
      <c r="BE12" s="18"/>
      <c r="BF12" s="13"/>
    </row>
    <row r="14" spans="1:75" x14ac:dyDescent="0.25">
      <c r="BA14" s="20"/>
      <c r="BB14" s="20"/>
    </row>
    <row r="15" spans="1:75" ht="19.5" customHeight="1" x14ac:dyDescent="0.25">
      <c r="AZ15" s="19"/>
      <c r="BA15" s="4"/>
      <c r="BB15" s="4"/>
    </row>
    <row r="25" spans="8:15" x14ac:dyDescent="0.25">
      <c r="H25" s="93"/>
      <c r="I25" s="93"/>
      <c r="J25" s="93"/>
      <c r="K25" s="93"/>
      <c r="L25" s="93"/>
      <c r="M25" s="93"/>
      <c r="N25" s="93"/>
      <c r="O25" s="93"/>
    </row>
    <row r="35" spans="1:12" x14ac:dyDescent="0.25">
      <c r="A35" s="16" t="s">
        <v>12</v>
      </c>
    </row>
    <row r="36" spans="1:12" x14ac:dyDescent="0.25">
      <c r="A36" s="10" t="s">
        <v>1</v>
      </c>
      <c r="B36" s="9" t="s">
        <v>8</v>
      </c>
    </row>
    <row r="37" spans="1:12" x14ac:dyDescent="0.25">
      <c r="A37" s="12" t="s">
        <v>15</v>
      </c>
      <c r="B37" s="9" t="s">
        <v>18</v>
      </c>
      <c r="L37" t="s">
        <v>19</v>
      </c>
    </row>
    <row r="38" spans="1:12" x14ac:dyDescent="0.25">
      <c r="B38" t="s">
        <v>20</v>
      </c>
    </row>
    <row r="39" spans="1:12" x14ac:dyDescent="0.25">
      <c r="A39" s="10" t="s">
        <v>11</v>
      </c>
      <c r="B39" s="9" t="s">
        <v>10</v>
      </c>
    </row>
    <row r="40" spans="1:12" x14ac:dyDescent="0.25">
      <c r="A40" s="10" t="s">
        <v>3</v>
      </c>
      <c r="B40" s="9" t="s">
        <v>9</v>
      </c>
      <c r="I40" t="s">
        <v>21</v>
      </c>
    </row>
    <row r="41" spans="1:12" ht="14.25" customHeight="1" x14ac:dyDescent="0.25">
      <c r="A41" s="10" t="s">
        <v>4</v>
      </c>
      <c r="B41" s="9" t="s">
        <v>7</v>
      </c>
    </row>
    <row r="42" spans="1:12" x14ac:dyDescent="0.25">
      <c r="A42" s="15" t="s">
        <v>14</v>
      </c>
      <c r="B42" s="9" t="s">
        <v>13</v>
      </c>
    </row>
  </sheetData>
  <mergeCells count="10">
    <mergeCell ref="AC12:AD12"/>
    <mergeCell ref="H25:O25"/>
    <mergeCell ref="A2:B2"/>
    <mergeCell ref="A3:B3"/>
    <mergeCell ref="A6:B6"/>
    <mergeCell ref="A7:B7"/>
    <mergeCell ref="A8:B8"/>
    <mergeCell ref="A4:B4"/>
    <mergeCell ref="A5:B5"/>
    <mergeCell ref="A9:B9"/>
  </mergeCells>
  <phoneticPr fontId="3" type="noConversion"/>
  <hyperlinks>
    <hyperlink ref="B41" r:id="rId1" display="https://totoro.banrep.gov.co/analytics/saw.dll?Download&amp;Format=excel2007&amp;Extension=.xls&amp;BypassCache=true&amp;path=%2Fshared%2FSeries%20Estad%C3%ADsticas_T%2F1.%20Tasas%20de%20Captaci%C3%B3n%2F1.1%20Serie%20empalmada%2F1.1.3%20Mensuales%20-%20(Desde%20enero%20de%201986)%2F1.1.3.1.TCA_Para%20un%20rango%20de%20fechas%20dado%20(DTF)%20IQY&amp;NQUser=publico&amp;NQPassword=publico123&amp;SyncOperation=1" xr:uid="{6064C792-AC00-46FA-8E03-3694C8547BB7}"/>
    <hyperlink ref="B36" r:id="rId2" display="https://totoro.banrep.gov.co/analytics/saw.dll?Download&amp;Format=excel2007&amp;Extension=.xlsx&amp;BypassCache=true&amp;path=%2Fshared%2fSeries%20Estad%c3%adsticas_T%2F1.%20IBR%2F%201.2.IBR_Plazo%20un%20mes%20nominal%20para%20un%20rango%20de%20fechas%20dado%20IQY&amp;lang=es&amp;NQUser=publico&amp;NQPassword=publico123&amp;SyncOperation=1" xr:uid="{69C4EEAB-F346-4690-BD92-52E76A81B969}"/>
    <hyperlink ref="B40" r:id="rId3" display="https://totoro.banrep.gov.co/analytics/saw.dll?Download&amp;Format=excel2007&amp;Extension=.xls&amp;BypassCache=true&amp;lang=es&amp;NQUser=publico&amp;NQPassword=publico123&amp;path=%2Fshared%2FSeries%20Estad%C3%ADsticas_T%2F1.%20IPC%20base%202018%2F1.2.%20Por%20a%C3%B1o%2F1.2.5.IPC_Serie_variaciones" xr:uid="{244BAF1B-8D07-41B7-904C-1FF02A7A321E}"/>
    <hyperlink ref="B39" r:id="rId4" display="https://totoro.banrep.gov.co/analytics/saw.dll?Download&amp;Format=excel2007&amp;Extension=.xlsx&amp;BypassCache=true&amp;path=%2Fshared%2fSeries%20Estad%c3%adsticas_T%2F1.%20Tasa%20de%20intervenci%C3%B3n%20de%20pol%C3%ADtica%20monetaria%2F1.1.TIP_Serie%20hist%C3%B3rica%20seg%C3%BAn%20fecha%20de%20modificaci%C3%B3n%20IQY&amp;lang=es&amp;NQUser=publico&amp;NQPassword=publico123&amp;SyncOperation=1" xr:uid="{378E375E-F834-472C-B989-175A5C25779D}"/>
    <hyperlink ref="B42" r:id="rId5" location="ibr" xr:uid="{2740C86D-D21A-4743-A646-1DB7A87CB1B1}"/>
    <hyperlink ref="B37" r:id="rId6" xr:uid="{C75C83FA-15AD-4B37-A944-91BB0CAEBE0A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3EFF-797D-4909-B542-84B3D63CAA95}">
  <dimension ref="B2:BF15"/>
  <sheetViews>
    <sheetView showGridLines="0" zoomScale="85" zoomScaleNormal="85" workbookViewId="0">
      <selection activeCell="AR16" sqref="AR16"/>
    </sheetView>
  </sheetViews>
  <sheetFormatPr baseColWidth="10" defaultRowHeight="15" x14ac:dyDescent="0.25"/>
  <cols>
    <col min="2" max="2" width="25.85546875" customWidth="1"/>
    <col min="3" max="3" width="6.28515625" hidden="1" customWidth="1"/>
    <col min="4" max="4" width="6.5703125" hidden="1" customWidth="1"/>
    <col min="5" max="5" width="6.7109375" hidden="1" customWidth="1"/>
    <col min="6" max="6" width="7.28515625" hidden="1" customWidth="1"/>
    <col min="7" max="7" width="6.85546875" hidden="1" customWidth="1"/>
    <col min="8" max="8" width="7.5703125" hidden="1" customWidth="1"/>
    <col min="9" max="9" width="7" hidden="1" customWidth="1"/>
    <col min="10" max="10" width="6.28515625" hidden="1" customWidth="1"/>
    <col min="11" max="11" width="7.140625" hidden="1" customWidth="1"/>
    <col min="12" max="12" width="8.85546875" hidden="1" customWidth="1"/>
    <col min="13" max="13" width="7.7109375" hidden="1" customWidth="1"/>
    <col min="14" max="14" width="6.5703125" hidden="1" customWidth="1"/>
    <col min="15" max="15" width="8.28515625" hidden="1" customWidth="1"/>
    <col min="16" max="16" width="6.5703125" hidden="1" customWidth="1"/>
    <col min="17" max="17" width="6.7109375" hidden="1" customWidth="1"/>
    <col min="18" max="18" width="7.5703125" hidden="1" customWidth="1"/>
    <col min="19" max="19" width="6.85546875" hidden="1" customWidth="1"/>
    <col min="20" max="20" width="7.140625" hidden="1" customWidth="1"/>
    <col min="21" max="21" width="7" hidden="1" customWidth="1"/>
    <col min="22" max="22" width="13.140625" hidden="1" customWidth="1"/>
    <col min="23" max="24" width="7.140625" hidden="1" customWidth="1"/>
    <col min="25" max="25" width="7.7109375" hidden="1" customWidth="1"/>
    <col min="26" max="26" width="8" hidden="1" customWidth="1"/>
    <col min="27" max="27" width="8.5703125" hidden="1" customWidth="1"/>
    <col min="28" max="29" width="7.5703125" hidden="1" customWidth="1"/>
    <col min="30" max="30" width="7.42578125" hidden="1" customWidth="1"/>
    <col min="31" max="31" width="8.140625" hidden="1" customWidth="1"/>
    <col min="32" max="32" width="7.42578125" hidden="1" customWidth="1"/>
    <col min="33" max="33" width="7.140625" hidden="1" customWidth="1"/>
    <col min="34" max="34" width="7.42578125" hidden="1" customWidth="1"/>
    <col min="35" max="35" width="7.5703125" hidden="1" customWidth="1"/>
    <col min="36" max="41" width="8.7109375" hidden="1" customWidth="1"/>
    <col min="42" max="45" width="8.7109375" customWidth="1"/>
    <col min="54" max="54" width="11.5703125" customWidth="1"/>
  </cols>
  <sheetData>
    <row r="2" spans="2:58" x14ac:dyDescent="0.25">
      <c r="B2" s="1" t="s">
        <v>0</v>
      </c>
      <c r="C2" s="8">
        <f>+Hoja1!C2</f>
        <v>43800</v>
      </c>
      <c r="D2" s="8">
        <f>+Hoja1!D2</f>
        <v>43831</v>
      </c>
      <c r="E2" s="8">
        <f>+Hoja1!E2</f>
        <v>43862</v>
      </c>
      <c r="F2" s="8">
        <f>+Hoja1!F2</f>
        <v>43891</v>
      </c>
      <c r="G2" s="8">
        <f>+Hoja1!G2</f>
        <v>43922</v>
      </c>
      <c r="H2" s="8">
        <f>+Hoja1!H2</f>
        <v>43952</v>
      </c>
      <c r="I2" s="8">
        <f>+Hoja1!I2</f>
        <v>43983</v>
      </c>
      <c r="J2" s="8">
        <f>+Hoja1!J2</f>
        <v>44013</v>
      </c>
      <c r="K2" s="8">
        <f>+Hoja1!K2</f>
        <v>44044</v>
      </c>
      <c r="L2" s="8">
        <f>+Hoja1!L2</f>
        <v>44075</v>
      </c>
      <c r="M2" s="8">
        <f>+Hoja1!M2</f>
        <v>44105</v>
      </c>
      <c r="N2" s="8">
        <f>+Hoja1!N2</f>
        <v>44136</v>
      </c>
      <c r="O2" s="8">
        <f>+Hoja1!O2</f>
        <v>44166</v>
      </c>
      <c r="P2" s="8">
        <f>+Hoja1!P2</f>
        <v>44197</v>
      </c>
      <c r="Q2" s="8">
        <f>+Hoja1!Q2</f>
        <v>44228</v>
      </c>
      <c r="R2" s="8">
        <f>+Hoja1!R2</f>
        <v>44256</v>
      </c>
      <c r="S2" s="8">
        <f>+Hoja1!S2</f>
        <v>44287</v>
      </c>
      <c r="T2" s="8">
        <f>+Hoja1!T2</f>
        <v>44317</v>
      </c>
      <c r="U2" s="8">
        <f>+Hoja1!U2</f>
        <v>44348</v>
      </c>
      <c r="V2" s="8">
        <f>+Hoja1!V2</f>
        <v>44378</v>
      </c>
      <c r="W2" s="8">
        <f>+Hoja1!W2</f>
        <v>44409</v>
      </c>
      <c r="X2" s="8">
        <f>+Hoja1!X2</f>
        <v>44440</v>
      </c>
      <c r="Y2" s="8">
        <f>+Hoja1!Y2</f>
        <v>44470</v>
      </c>
      <c r="Z2" s="8">
        <f>+Hoja1!Z2</f>
        <v>44501</v>
      </c>
      <c r="AA2" s="8">
        <f>+Hoja1!AA2</f>
        <v>44531</v>
      </c>
      <c r="AB2" s="8">
        <f>+Hoja1!AB2</f>
        <v>44562</v>
      </c>
      <c r="AC2" s="8">
        <f>+Hoja1!AC2</f>
        <v>44593</v>
      </c>
      <c r="AD2" s="8">
        <f>+Hoja1!AD2</f>
        <v>44621</v>
      </c>
      <c r="AE2" s="8">
        <f>+Hoja1!AE2</f>
        <v>44652</v>
      </c>
      <c r="AF2" s="8">
        <f>+Hoja1!AF2</f>
        <v>44682</v>
      </c>
      <c r="AG2" s="8">
        <f>+Hoja1!AG2</f>
        <v>44713</v>
      </c>
      <c r="AH2" s="8">
        <f>+Hoja1!AH2</f>
        <v>44743</v>
      </c>
      <c r="AI2" s="8">
        <f>+Hoja1!AI2</f>
        <v>44774</v>
      </c>
      <c r="AJ2" s="8">
        <f>+Hoja1!AS2</f>
        <v>45078</v>
      </c>
      <c r="AK2" s="8">
        <f>+Hoja1!AT2</f>
        <v>45108</v>
      </c>
      <c r="AL2" s="8">
        <f>+Hoja1!AU2</f>
        <v>45139</v>
      </c>
      <c r="AM2" s="8">
        <f>+Hoja1!AV2</f>
        <v>45170</v>
      </c>
      <c r="AN2" s="8">
        <f>+Hoja1!AW2</f>
        <v>45200</v>
      </c>
      <c r="AO2" s="8">
        <f>+Hoja1!AX2</f>
        <v>45231</v>
      </c>
      <c r="AP2" s="8">
        <f>+Hoja1!AY2</f>
        <v>45261</v>
      </c>
      <c r="AQ2" s="8">
        <f>+Hoja1!AZ2</f>
        <v>45292</v>
      </c>
      <c r="AR2" s="8">
        <f>+Hoja1!BA2</f>
        <v>45323</v>
      </c>
      <c r="AS2" s="8">
        <f>+Hoja1!BB2</f>
        <v>45352</v>
      </c>
      <c r="AT2" s="8">
        <f>+Hoja1!BC2</f>
        <v>45383</v>
      </c>
      <c r="AU2" s="8">
        <f>+Hoja1!BD2</f>
        <v>45413</v>
      </c>
      <c r="AV2" s="8">
        <f>+Hoja1!BE2</f>
        <v>45444</v>
      </c>
      <c r="AW2" s="8">
        <f>+Hoja1!BF2</f>
        <v>45474</v>
      </c>
      <c r="AX2" s="8">
        <f>+Hoja1!BG2</f>
        <v>45505</v>
      </c>
      <c r="AY2" s="8">
        <f>+Hoja1!BH2</f>
        <v>45536</v>
      </c>
      <c r="AZ2" s="8">
        <f>+Hoja1!BI2</f>
        <v>45566</v>
      </c>
      <c r="BA2" s="8">
        <f>+Hoja1!BJ2</f>
        <v>45597</v>
      </c>
      <c r="BB2" s="8">
        <f>+Hoja1!BK2</f>
        <v>45627</v>
      </c>
      <c r="BC2" s="8">
        <f>+Hoja1!BL2</f>
        <v>45658</v>
      </c>
      <c r="BD2" s="8">
        <f>+Hoja1!BM2</f>
        <v>45689</v>
      </c>
      <c r="BE2" s="8">
        <f>+Hoja1!BN2</f>
        <v>45717</v>
      </c>
      <c r="BF2" s="8">
        <f>+Hoja1!BO2</f>
        <v>45748</v>
      </c>
    </row>
    <row r="3" spans="2:58" x14ac:dyDescent="0.25">
      <c r="B3" s="3" t="s">
        <v>1</v>
      </c>
      <c r="C3" s="2">
        <f>Hoja1!C3</f>
        <v>4.25075</v>
      </c>
      <c r="D3" s="2">
        <f>Hoja1!D3</f>
        <v>4.2528095238095247</v>
      </c>
      <c r="E3" s="2">
        <f>Hoja1!E3</f>
        <v>4.2522000000000002</v>
      </c>
      <c r="F3" s="2">
        <f>Hoja1!F3</f>
        <v>4.1365714285714281</v>
      </c>
      <c r="G3" s="2">
        <f>Hoja1!G3</f>
        <v>3.3948999999999998</v>
      </c>
      <c r="H3" s="2">
        <f>Hoja1!H3</f>
        <v>2.9670526315789476</v>
      </c>
      <c r="I3" s="2">
        <f>Hoja1!I3</f>
        <v>2.568368421052631</v>
      </c>
      <c r="J3" s="2">
        <f>Hoja1!J3</f>
        <v>2.3429090909090906</v>
      </c>
      <c r="K3" s="2">
        <f>Hoja1!K3</f>
        <v>2.1171578947368421</v>
      </c>
      <c r="L3" s="2">
        <f>Hoja1!L3</f>
        <v>1.9192849999999999</v>
      </c>
      <c r="M3" s="2">
        <f>Hoja1!M3</f>
        <v>1.75</v>
      </c>
      <c r="N3" s="2">
        <f>Hoja1!N3</f>
        <v>1.75</v>
      </c>
      <c r="O3" s="2">
        <f>Hoja1!O3</f>
        <v>1.75</v>
      </c>
      <c r="P3" s="2">
        <f>Hoja1!P3</f>
        <v>1.69</v>
      </c>
      <c r="Q3" s="2">
        <f>Hoja1!Q3</f>
        <v>1.75</v>
      </c>
      <c r="R3" s="2">
        <f>Hoja1!R3</f>
        <v>1.744</v>
      </c>
      <c r="S3" s="2">
        <f>Hoja1!S3</f>
        <v>1.7370000000000001</v>
      </c>
      <c r="T3" s="2">
        <f>Hoja1!T3</f>
        <v>1.756</v>
      </c>
      <c r="U3" s="2">
        <f>Hoja1!U3</f>
        <v>1.756</v>
      </c>
      <c r="V3" s="2">
        <f>Hoja1!V3</f>
        <v>1.7509999999999999</v>
      </c>
      <c r="W3" s="2">
        <f>Hoja1!W3</f>
        <v>1.7789999999999999</v>
      </c>
      <c r="X3" s="2">
        <f>Hoja1!X3</f>
        <v>2.0569999999999999</v>
      </c>
      <c r="Y3" s="2">
        <f>Hoja1!Y3</f>
        <v>2.4239999999999999</v>
      </c>
      <c r="Z3" s="2">
        <f>Hoja1!Z3</f>
        <v>2.6720000000000002</v>
      </c>
      <c r="AA3" s="2">
        <f>Hoja1!AA3</f>
        <v>3.0489999999999999</v>
      </c>
      <c r="AB3" s="2">
        <f>Hoja1!AB3</f>
        <v>4.0039999999999996</v>
      </c>
      <c r="AC3" s="2">
        <f>Hoja1!AC3</f>
        <v>4.1070000000000002</v>
      </c>
      <c r="AD3" s="2">
        <f>Hoja1!AD3</f>
        <v>5.4669999999999996</v>
      </c>
      <c r="AE3" s="2">
        <f>Hoja1!AE3</f>
        <v>6.0460000000000003</v>
      </c>
      <c r="AF3" s="2">
        <f>Hoja1!AF3</f>
        <v>6.0179999999999998</v>
      </c>
      <c r="AG3" s="2">
        <f>Hoja1!AG3</f>
        <v>7.4969999999999999</v>
      </c>
      <c r="AH3" s="2">
        <f>Hoja1!AH3</f>
        <v>8.9830000000000005</v>
      </c>
      <c r="AI3" s="2">
        <f>Hoja1!AI3</f>
        <v>9</v>
      </c>
      <c r="AJ3" s="2">
        <f>Hoja1!AS3</f>
        <v>13.247</v>
      </c>
      <c r="AK3" s="2">
        <f>Hoja1!AT3</f>
        <v>13.244</v>
      </c>
      <c r="AL3" s="2">
        <f>Hoja1!AU3</f>
        <v>13.25</v>
      </c>
      <c r="AM3" s="2">
        <f>Hoja1!AV3</f>
        <v>13.244999999999999</v>
      </c>
      <c r="AN3" s="2">
        <f>Hoja1!AW3</f>
        <v>13.244999999999999</v>
      </c>
      <c r="AO3" s="2">
        <f>Hoja1!AX3</f>
        <v>13.247</v>
      </c>
      <c r="AP3" s="2">
        <f>Hoja1!AY3</f>
        <v>12.95</v>
      </c>
      <c r="AQ3" s="2">
        <f>Hoja1!AZ3</f>
        <v>12.62</v>
      </c>
      <c r="AR3" s="2">
        <f>Hoja1!BA3</f>
        <v>12.43</v>
      </c>
      <c r="AS3" s="2">
        <f>Hoja1!BB3</f>
        <v>12.311</v>
      </c>
      <c r="AT3" s="2">
        <f>Hoja1!BC3</f>
        <v>11.77</v>
      </c>
      <c r="AU3" s="2">
        <f>Hoja1!BD3</f>
        <v>11.52</v>
      </c>
      <c r="AV3" s="2">
        <f>Hoja1!BE3</f>
        <v>11.22</v>
      </c>
      <c r="AW3" s="2">
        <f>Hoja1!BF3</f>
        <v>10.738</v>
      </c>
      <c r="AX3" s="2">
        <f>Hoja1!BG3</f>
        <v>10.733000000000001</v>
      </c>
      <c r="AY3" s="2">
        <f>Hoja1!BH3</f>
        <v>10.17</v>
      </c>
      <c r="AZ3" s="2">
        <f>Hoja1!BI3</f>
        <v>9.73</v>
      </c>
      <c r="BA3" s="2">
        <f>Hoja1!BJ3</f>
        <v>9.5909999999999993</v>
      </c>
      <c r="BB3" s="2">
        <f>Hoja1!BK3</f>
        <v>9.5060000000000002</v>
      </c>
      <c r="BC3" s="2">
        <f>Hoja1!BL3</f>
        <v>9.3550000000000004</v>
      </c>
      <c r="BD3" s="2">
        <f>Hoja1!BM3</f>
        <v>9.4629999999999992</v>
      </c>
      <c r="BE3" s="2">
        <f>Hoja1!BN3</f>
        <v>9.4179999999999993</v>
      </c>
      <c r="BF3" s="2">
        <f>Hoja1!BO3</f>
        <v>9.26</v>
      </c>
    </row>
    <row r="4" spans="2:58" ht="15.75" hidden="1" customHeight="1" x14ac:dyDescent="0.25">
      <c r="B4" s="6" t="s">
        <v>6</v>
      </c>
      <c r="C4" s="2">
        <f>Hoja1!C4</f>
        <v>0</v>
      </c>
      <c r="D4" s="2">
        <f>Hoja1!D4</f>
        <v>0</v>
      </c>
      <c r="E4" s="2">
        <f>Hoja1!E4</f>
        <v>0</v>
      </c>
      <c r="F4" s="2">
        <f>Hoja1!F4</f>
        <v>0</v>
      </c>
      <c r="G4" s="2">
        <f>Hoja1!G4</f>
        <v>0</v>
      </c>
      <c r="H4" s="2">
        <f>Hoja1!H4</f>
        <v>0</v>
      </c>
      <c r="I4" s="2">
        <f>Hoja1!I4</f>
        <v>0</v>
      </c>
      <c r="J4" s="2">
        <f>Hoja1!J4</f>
        <v>0</v>
      </c>
      <c r="K4" s="2">
        <f>Hoja1!K4</f>
        <v>0</v>
      </c>
      <c r="L4" s="2">
        <f>Hoja1!L4</f>
        <v>0</v>
      </c>
      <c r="M4" s="2">
        <f>Hoja1!M4</f>
        <v>0</v>
      </c>
      <c r="N4" s="2">
        <f>Hoja1!N4</f>
        <v>0</v>
      </c>
      <c r="O4" s="2">
        <f>Hoja1!O4</f>
        <v>1.75</v>
      </c>
      <c r="P4" s="2">
        <f>Hoja1!P4</f>
        <v>1.73</v>
      </c>
      <c r="Q4" s="2">
        <f>Hoja1!Q4</f>
        <v>1.74</v>
      </c>
      <c r="R4" s="2">
        <f>Hoja1!R4</f>
        <v>1.66</v>
      </c>
      <c r="S4" s="2">
        <f>Hoja1!S4</f>
        <v>1.73</v>
      </c>
      <c r="T4" s="2">
        <f>Hoja1!T4</f>
        <v>1.76</v>
      </c>
      <c r="U4" s="2">
        <f>Hoja1!U4</f>
        <v>1.75</v>
      </c>
      <c r="V4" s="2">
        <f>Hoja1!V4</f>
        <v>1.76</v>
      </c>
      <c r="W4" s="2">
        <f>Hoja1!W4</f>
        <v>1.99</v>
      </c>
      <c r="X4" s="2">
        <f>Hoja1!X4</f>
        <v>2.0099999999999998</v>
      </c>
      <c r="Y4" s="2">
        <f>Hoja1!Y4</f>
        <v>2.0299999999999998</v>
      </c>
      <c r="Z4" s="2">
        <f>Hoja1!Z4</f>
        <v>2.5299999999999998</v>
      </c>
      <c r="AA4" s="2">
        <f>Hoja1!AA4</f>
        <v>2.99</v>
      </c>
      <c r="AB4" s="2">
        <f>Hoja1!AB4</f>
        <v>3.01</v>
      </c>
      <c r="AC4" s="2">
        <f>Hoja1!AC4</f>
        <v>4</v>
      </c>
      <c r="AD4" s="2">
        <f>Hoja1!AD4</f>
        <v>4.01</v>
      </c>
      <c r="AE4" s="2">
        <f>Hoja1!AE4</f>
        <v>5.98</v>
      </c>
      <c r="AF4" s="2">
        <f>Hoja1!AF4</f>
        <v>5.95</v>
      </c>
      <c r="AG4" s="2">
        <f>Hoja1!AG4</f>
        <v>5.34</v>
      </c>
      <c r="AH4" s="2">
        <f>Hoja1!AH4</f>
        <v>7.51</v>
      </c>
      <c r="AI4" s="2">
        <f>Hoja1!AI4</f>
        <v>9.01</v>
      </c>
      <c r="AJ4" s="2">
        <f>Hoja1!AS4</f>
        <v>12.558999999999999</v>
      </c>
      <c r="AK4" s="2">
        <f>Hoja1!AT4</f>
        <v>12.558999999999999</v>
      </c>
      <c r="AL4" s="2">
        <f>Hoja1!AV4</f>
        <v>12.76</v>
      </c>
      <c r="AM4" s="2">
        <f>Hoja1!AW4</f>
        <v>12.76</v>
      </c>
      <c r="AN4" s="2">
        <f>Hoja1!AX4</f>
        <v>12.76</v>
      </c>
      <c r="AO4" s="2">
        <f>Hoja1!AY4</f>
        <v>12.76</v>
      </c>
      <c r="AP4" s="2">
        <f>Hoja1!AZ4</f>
        <v>12.76</v>
      </c>
      <c r="AQ4" s="2">
        <f>Hoja1!BA4</f>
        <v>12.76</v>
      </c>
      <c r="AR4" s="2">
        <f>Hoja1!BB4</f>
        <v>12.76</v>
      </c>
      <c r="AS4" s="2">
        <f>Hoja1!BC4</f>
        <v>12.76</v>
      </c>
      <c r="AT4" s="2">
        <f>Hoja1!BD4</f>
        <v>12.76</v>
      </c>
      <c r="AU4" s="2">
        <f>Hoja1!BE4</f>
        <v>12.76</v>
      </c>
      <c r="AV4" s="2">
        <f>Hoja1!BF4</f>
        <v>12.76</v>
      </c>
      <c r="AW4" s="2">
        <f>Hoja1!BG4</f>
        <v>12.76</v>
      </c>
      <c r="AX4" s="2">
        <f>Hoja1!BH4</f>
        <v>12.76</v>
      </c>
      <c r="AY4" s="2">
        <f>Hoja1!BI4</f>
        <v>12.76</v>
      </c>
      <c r="AZ4" s="2">
        <f>Hoja1!BJ4</f>
        <v>12.76</v>
      </c>
      <c r="BA4" s="2">
        <f>Hoja1!BK4</f>
        <v>12.76</v>
      </c>
      <c r="BB4" s="2">
        <f>Hoja1!BL4</f>
        <v>12.76</v>
      </c>
      <c r="BC4" s="2">
        <f>Hoja1!BM4</f>
        <v>12.76</v>
      </c>
      <c r="BD4" s="2">
        <f>Hoja1!BN4</f>
        <v>12.76</v>
      </c>
      <c r="BE4" s="2">
        <f>Hoja1!BO4</f>
        <v>12.76</v>
      </c>
      <c r="BF4" s="2">
        <f>Hoja1!BP4</f>
        <v>12.76</v>
      </c>
    </row>
    <row r="5" spans="2:58" hidden="1" x14ac:dyDescent="0.25">
      <c r="B5" s="3" t="s">
        <v>5</v>
      </c>
      <c r="C5" s="2">
        <f>Hoja1!C5</f>
        <v>0</v>
      </c>
      <c r="D5" s="2">
        <f>Hoja1!D5</f>
        <v>0</v>
      </c>
      <c r="E5" s="2">
        <f>Hoja1!E5</f>
        <v>0</v>
      </c>
      <c r="F5" s="2">
        <f>Hoja1!F5</f>
        <v>0</v>
      </c>
      <c r="G5" s="2">
        <f>Hoja1!G5</f>
        <v>0</v>
      </c>
      <c r="H5" s="2">
        <f>Hoja1!H5</f>
        <v>0</v>
      </c>
      <c r="I5" s="2">
        <f>Hoja1!I5</f>
        <v>0</v>
      </c>
      <c r="J5" s="2">
        <f>Hoja1!J5</f>
        <v>0</v>
      </c>
      <c r="K5" s="2">
        <f>Hoja1!K5</f>
        <v>0</v>
      </c>
      <c r="L5" s="2">
        <f>Hoja1!L5</f>
        <v>0</v>
      </c>
      <c r="M5" s="2">
        <f>Hoja1!M5</f>
        <v>0</v>
      </c>
      <c r="N5" s="2">
        <f>Hoja1!N5</f>
        <v>0</v>
      </c>
      <c r="O5" s="2">
        <f>Hoja1!O5</f>
        <v>0</v>
      </c>
      <c r="P5" s="2">
        <f>Hoja1!P5</f>
        <v>0</v>
      </c>
      <c r="Q5" s="2">
        <f>Hoja1!Q5</f>
        <v>0</v>
      </c>
      <c r="R5" s="2">
        <f>Hoja1!R5</f>
        <v>0</v>
      </c>
      <c r="S5" s="2">
        <f>Hoja1!S5</f>
        <v>0</v>
      </c>
      <c r="T5" s="2">
        <f>Hoja1!T5</f>
        <v>0</v>
      </c>
      <c r="U5" s="2">
        <f>Hoja1!U5</f>
        <v>0</v>
      </c>
      <c r="V5" s="2">
        <f>Hoja1!V5</f>
        <v>0</v>
      </c>
      <c r="W5" s="2">
        <f>Hoja1!W5</f>
        <v>0</v>
      </c>
      <c r="X5" s="2">
        <f>Hoja1!X5</f>
        <v>0</v>
      </c>
      <c r="Y5" s="2">
        <f>Hoja1!Y5</f>
        <v>0</v>
      </c>
      <c r="Z5" s="2">
        <f>Hoja1!Z5</f>
        <v>0</v>
      </c>
      <c r="AA5" s="2">
        <f>Hoja1!AA5</f>
        <v>0</v>
      </c>
      <c r="AB5" s="2">
        <f>Hoja1!AB5</f>
        <v>0</v>
      </c>
      <c r="AC5" s="2">
        <f>Hoja1!AC5</f>
        <v>0</v>
      </c>
      <c r="AD5" s="2">
        <f>Hoja1!AD5</f>
        <v>0</v>
      </c>
      <c r="AE5" s="2">
        <f>Hoja1!AE5</f>
        <v>0</v>
      </c>
      <c r="AF5" s="2">
        <f>Hoja1!AF5</f>
        <v>0</v>
      </c>
      <c r="AG5" s="2">
        <f>Hoja1!AG5</f>
        <v>0</v>
      </c>
      <c r="AH5" s="2">
        <f>Hoja1!AH5</f>
        <v>0</v>
      </c>
      <c r="AI5" s="2">
        <f>Hoja1!AI5</f>
        <v>0</v>
      </c>
      <c r="AJ5" s="2">
        <f>Hoja1!AS5</f>
        <v>0</v>
      </c>
      <c r="AK5" s="2">
        <f>Hoja1!AT5</f>
        <v>0</v>
      </c>
      <c r="AL5" s="2">
        <f>Hoja1!AV5</f>
        <v>0</v>
      </c>
      <c r="AM5" s="2">
        <f>Hoja1!AW5</f>
        <v>0</v>
      </c>
      <c r="AN5" s="2">
        <f>Hoja1!AX5</f>
        <v>0</v>
      </c>
      <c r="AO5" s="2">
        <f>Hoja1!AY5</f>
        <v>0</v>
      </c>
      <c r="AP5" s="2">
        <f>Hoja1!AZ5</f>
        <v>0</v>
      </c>
      <c r="AQ5" s="2">
        <f>Hoja1!BA5</f>
        <v>0</v>
      </c>
      <c r="AR5" s="2">
        <f>Hoja1!BB5</f>
        <v>0</v>
      </c>
      <c r="AS5" s="2">
        <f>Hoja1!BC5</f>
        <v>0</v>
      </c>
      <c r="AT5" s="2">
        <f>Hoja1!BD5</f>
        <v>0</v>
      </c>
      <c r="AU5" s="2">
        <f>Hoja1!BE5</f>
        <v>0</v>
      </c>
      <c r="AV5" s="2">
        <f>Hoja1!BF5</f>
        <v>0</v>
      </c>
      <c r="AW5" s="2">
        <f>Hoja1!BG5</f>
        <v>0</v>
      </c>
      <c r="AX5" s="2">
        <f>Hoja1!BH5</f>
        <v>0</v>
      </c>
      <c r="AY5" s="2">
        <f>Hoja1!BI5</f>
        <v>0</v>
      </c>
      <c r="AZ5" s="2">
        <f>Hoja1!BJ5</f>
        <v>0</v>
      </c>
      <c r="BA5" s="2">
        <f>Hoja1!BK5</f>
        <v>0</v>
      </c>
      <c r="BB5" s="2">
        <f>Hoja1!BL5</f>
        <v>0</v>
      </c>
      <c r="BC5" s="2">
        <f>Hoja1!BM5</f>
        <v>0</v>
      </c>
      <c r="BD5" s="2">
        <f>Hoja1!BN5</f>
        <v>0</v>
      </c>
      <c r="BE5" s="2">
        <f>Hoja1!BO5</f>
        <v>0</v>
      </c>
      <c r="BF5" s="2">
        <f>Hoja1!BP5</f>
        <v>0</v>
      </c>
    </row>
    <row r="6" spans="2:58" x14ac:dyDescent="0.25">
      <c r="B6" s="3" t="s">
        <v>2</v>
      </c>
      <c r="C6" s="2">
        <f>Hoja1!C6</f>
        <v>4.25</v>
      </c>
      <c r="D6" s="2">
        <f>Hoja1!D6</f>
        <v>4.25</v>
      </c>
      <c r="E6" s="2">
        <f>Hoja1!E6</f>
        <v>4.25</v>
      </c>
      <c r="F6" s="2">
        <f>Hoja1!F6</f>
        <v>3.75</v>
      </c>
      <c r="G6" s="2">
        <f>Hoja1!G6</f>
        <v>3.75</v>
      </c>
      <c r="H6" s="2">
        <f>Hoja1!H6</f>
        <v>3.25</v>
      </c>
      <c r="I6" s="2">
        <f>Hoja1!I6</f>
        <v>2.75</v>
      </c>
      <c r="J6" s="2">
        <f>Hoja1!J6</f>
        <v>2.5</v>
      </c>
      <c r="K6" s="2">
        <f>Hoja1!K6</f>
        <v>2.25</v>
      </c>
      <c r="L6" s="2">
        <f>Hoja1!L6</f>
        <v>2</v>
      </c>
      <c r="M6" s="2">
        <f>Hoja1!M6</f>
        <v>1.75</v>
      </c>
      <c r="N6" s="2">
        <f>Hoja1!N6</f>
        <v>1.75</v>
      </c>
      <c r="O6" s="2">
        <f>Hoja1!O6</f>
        <v>1.75</v>
      </c>
      <c r="P6" s="2">
        <f>Hoja1!P6</f>
        <v>1.75</v>
      </c>
      <c r="Q6" s="2">
        <f>Hoja1!Q6</f>
        <v>1.75</v>
      </c>
      <c r="R6" s="2">
        <f>Hoja1!R6</f>
        <v>1.75</v>
      </c>
      <c r="S6" s="2">
        <f>Hoja1!S6</f>
        <v>1.75</v>
      </c>
      <c r="T6" s="2">
        <f>Hoja1!T6</f>
        <v>1.75</v>
      </c>
      <c r="U6" s="2">
        <f>Hoja1!U6</f>
        <v>1.75</v>
      </c>
      <c r="V6" s="2">
        <f>Hoja1!V6</f>
        <v>1.75</v>
      </c>
      <c r="W6" s="2">
        <f>Hoja1!W6</f>
        <v>1.75</v>
      </c>
      <c r="X6" s="2">
        <f>Hoja1!X6</f>
        <v>1.75</v>
      </c>
      <c r="Y6" s="2">
        <f>Hoja1!Y6</f>
        <v>2</v>
      </c>
      <c r="Z6" s="2">
        <f>Hoja1!Z6</f>
        <v>2.5</v>
      </c>
      <c r="AA6" s="2">
        <f>Hoja1!AA6</f>
        <v>3</v>
      </c>
      <c r="AB6" s="2">
        <f>Hoja1!AB6</f>
        <v>4</v>
      </c>
      <c r="AC6" s="2">
        <f>Hoja1!AC6</f>
        <v>4</v>
      </c>
      <c r="AD6" s="2">
        <f>Hoja1!AD6</f>
        <v>5</v>
      </c>
      <c r="AE6" s="2">
        <f>Hoja1!AE6</f>
        <v>6</v>
      </c>
      <c r="AF6" s="2">
        <f>Hoja1!AF6</f>
        <v>6</v>
      </c>
      <c r="AG6" s="2">
        <f>Hoja1!AG6</f>
        <v>6</v>
      </c>
      <c r="AH6" s="2">
        <f>Hoja1!AH6</f>
        <v>7.5</v>
      </c>
      <c r="AI6" s="2">
        <f>Hoja1!AI6</f>
        <v>9</v>
      </c>
      <c r="AJ6" s="2">
        <f>Hoja1!AS6</f>
        <v>13.25</v>
      </c>
      <c r="AK6" s="2">
        <f>Hoja1!AT6</f>
        <v>13.25</v>
      </c>
      <c r="AL6" s="2">
        <f>Hoja1!AU6</f>
        <v>13.25</v>
      </c>
      <c r="AM6" s="2">
        <f>Hoja1!AV6</f>
        <v>13.25</v>
      </c>
      <c r="AN6" s="2">
        <f>Hoja1!AW6</f>
        <v>13.25</v>
      </c>
      <c r="AO6" s="2">
        <f>Hoja1!AX6</f>
        <v>13.25</v>
      </c>
      <c r="AP6" s="2">
        <f>Hoja1!AY6</f>
        <v>13</v>
      </c>
      <c r="AQ6" s="2">
        <f>Hoja1!AZ6</f>
        <v>12.75</v>
      </c>
      <c r="AR6" s="2">
        <f>Hoja1!BA6</f>
        <v>12.75</v>
      </c>
      <c r="AS6" s="2">
        <f>Hoja1!BB6</f>
        <v>12.25</v>
      </c>
      <c r="AT6" s="2">
        <f>Hoja1!BC6</f>
        <v>11.75</v>
      </c>
      <c r="AU6" s="2">
        <f>Hoja1!BD6</f>
        <v>11.75</v>
      </c>
      <c r="AV6" s="2">
        <f>Hoja1!BE6</f>
        <v>11.25</v>
      </c>
      <c r="AW6" s="2">
        <f>Hoja1!BF6</f>
        <v>11.25</v>
      </c>
      <c r="AX6" s="2">
        <f>Hoja1!BG6</f>
        <v>10.75</v>
      </c>
      <c r="AY6" s="2">
        <f>Hoja1!BH6</f>
        <v>10.25</v>
      </c>
      <c r="AZ6" s="2">
        <f>Hoja1!BI6</f>
        <v>9.75</v>
      </c>
      <c r="BA6" s="2">
        <f>Hoja1!BJ6</f>
        <v>9.75</v>
      </c>
      <c r="BB6" s="2">
        <f>Hoja1!BK6</f>
        <v>9.5</v>
      </c>
      <c r="BC6" s="2">
        <f>Hoja1!BL6</f>
        <v>9.5</v>
      </c>
      <c r="BD6" s="2">
        <f>Hoja1!BM6</f>
        <v>9.5</v>
      </c>
      <c r="BE6" s="2">
        <f>Hoja1!BN6</f>
        <v>9.5</v>
      </c>
      <c r="BF6" s="2">
        <f>Hoja1!BO6</f>
        <v>9.25</v>
      </c>
    </row>
    <row r="7" spans="2:58" x14ac:dyDescent="0.25">
      <c r="B7" s="3" t="s">
        <v>3</v>
      </c>
      <c r="C7" s="2">
        <f>Hoja1!C7</f>
        <v>3.8</v>
      </c>
      <c r="D7" s="2">
        <f>Hoja1!D7</f>
        <v>3.62</v>
      </c>
      <c r="E7" s="2">
        <f>Hoja1!E7</f>
        <v>3.7199999999999998</v>
      </c>
      <c r="F7" s="2">
        <f>Hoja1!F7</f>
        <v>3.8600000000000003</v>
      </c>
      <c r="G7" s="2">
        <f>Hoja1!G7</f>
        <v>3.51</v>
      </c>
      <c r="H7" s="2">
        <f>Hoja1!H7</f>
        <v>2.85</v>
      </c>
      <c r="I7" s="2">
        <f>Hoja1!I7</f>
        <v>2.19</v>
      </c>
      <c r="J7" s="2">
        <f>Hoja1!J7</f>
        <v>1.97</v>
      </c>
      <c r="K7" s="2">
        <f>Hoja1!K7</f>
        <v>1.8800000000000001</v>
      </c>
      <c r="L7" s="2">
        <f>Hoja1!L7</f>
        <v>1.97</v>
      </c>
      <c r="M7" s="2">
        <f>Hoja1!M7</f>
        <v>1.75</v>
      </c>
      <c r="N7" s="2">
        <f>Hoja1!N7</f>
        <v>1.49</v>
      </c>
      <c r="O7" s="2">
        <f>Hoja1!O7</f>
        <v>1.61</v>
      </c>
      <c r="P7" s="2">
        <f>Hoja1!P7</f>
        <v>1.6</v>
      </c>
      <c r="Q7" s="2">
        <f>Hoja1!Q7</f>
        <v>1.56</v>
      </c>
      <c r="R7" s="2">
        <f>Hoja1!R7</f>
        <v>1.51</v>
      </c>
      <c r="S7" s="2">
        <f>Hoja1!S7</f>
        <v>1.95</v>
      </c>
      <c r="T7" s="2">
        <f>Hoja1!T7</f>
        <v>3.3</v>
      </c>
      <c r="U7" s="2">
        <f>Hoja1!U7</f>
        <v>3.63</v>
      </c>
      <c r="V7" s="2">
        <f>Hoja1!V7</f>
        <v>3.97</v>
      </c>
      <c r="W7" s="2">
        <f>Hoja1!W7</f>
        <v>4.4400000000000004</v>
      </c>
      <c r="X7" s="2">
        <f>Hoja1!X7</f>
        <v>4.51</v>
      </c>
      <c r="Y7" s="2">
        <f>Hoja1!Y7</f>
        <v>4.58</v>
      </c>
      <c r="Z7" s="2">
        <f>Hoja1!Z7</f>
        <v>5.26</v>
      </c>
      <c r="AA7" s="2">
        <f>Hoja1!AA7</f>
        <v>5.62</v>
      </c>
      <c r="AB7" s="2">
        <f>Hoja1!AB7</f>
        <v>6.94</v>
      </c>
      <c r="AC7" s="2">
        <f>Hoja1!AC7</f>
        <v>8.01</v>
      </c>
      <c r="AD7" s="2">
        <f>Hoja1!AD7</f>
        <v>8.5299999999999994</v>
      </c>
      <c r="AE7" s="2">
        <f>Hoja1!AE7</f>
        <v>9.23</v>
      </c>
      <c r="AF7" s="2">
        <f>Hoja1!AF7</f>
        <v>9.07</v>
      </c>
      <c r="AG7" s="2">
        <f>Hoja1!AG7</f>
        <v>9.67</v>
      </c>
      <c r="AH7" s="2">
        <f>Hoja1!AH7</f>
        <v>10.210000000000001</v>
      </c>
      <c r="AI7" s="2">
        <f>Hoja1!AI7</f>
        <v>10.84</v>
      </c>
      <c r="AJ7" s="2">
        <f>Hoja1!AS7</f>
        <v>12.13</v>
      </c>
      <c r="AK7" s="2">
        <f>Hoja1!AT7</f>
        <v>11.78</v>
      </c>
      <c r="AL7" s="2">
        <f>Hoja1!AU7</f>
        <v>11.43</v>
      </c>
      <c r="AM7" s="2">
        <f>Hoja1!AV7</f>
        <v>10.99</v>
      </c>
      <c r="AN7" s="2">
        <f>Hoja1!AW7</f>
        <v>10.48</v>
      </c>
      <c r="AO7" s="2">
        <f>Hoja1!AX7</f>
        <v>10.15</v>
      </c>
      <c r="AP7" s="2">
        <f>Hoja1!AY7</f>
        <v>9.2799999999999994</v>
      </c>
      <c r="AQ7" s="2">
        <f>Hoja1!AZ7</f>
        <v>8.35</v>
      </c>
      <c r="AR7" s="2">
        <f>Hoja1!BA7</f>
        <v>7.74</v>
      </c>
      <c r="AS7" s="2">
        <f>Hoja1!BB7</f>
        <v>7.36</v>
      </c>
      <c r="AT7" s="2">
        <f>Hoja1!BC7</f>
        <v>7.16</v>
      </c>
      <c r="AU7" s="2">
        <f>Hoja1!BD7</f>
        <v>7.16</v>
      </c>
      <c r="AV7" s="2">
        <f>Hoja1!BE7</f>
        <v>7.18</v>
      </c>
      <c r="AW7" s="2">
        <f>Hoja1!BF7</f>
        <v>6.86</v>
      </c>
      <c r="AX7" s="2">
        <f>Hoja1!BG7</f>
        <v>6.12</v>
      </c>
      <c r="AY7" s="2">
        <f>Hoja1!BH7</f>
        <v>5.81</v>
      </c>
      <c r="AZ7" s="2">
        <f>Hoja1!BI7</f>
        <v>5.41</v>
      </c>
      <c r="BA7" s="2">
        <f>Hoja1!BJ7</f>
        <v>5.2</v>
      </c>
      <c r="BB7" s="2">
        <f>Hoja1!BK7</f>
        <v>5.2</v>
      </c>
      <c r="BC7" s="2">
        <f>Hoja1!BL7</f>
        <v>5.22</v>
      </c>
      <c r="BD7" s="2">
        <f>Hoja1!BM7</f>
        <v>5.28</v>
      </c>
      <c r="BE7" s="2">
        <f>Hoja1!BN7</f>
        <v>5.09</v>
      </c>
      <c r="BF7" s="2">
        <f>Hoja1!BO7</f>
        <v>5.16</v>
      </c>
    </row>
    <row r="8" spans="2:58" x14ac:dyDescent="0.25">
      <c r="B8" s="3" t="s">
        <v>4</v>
      </c>
      <c r="C8" s="2">
        <f>Hoja1!C8</f>
        <v>4.5199999999999996</v>
      </c>
      <c r="D8" s="2">
        <f>Hoja1!D8</f>
        <v>4.54</v>
      </c>
      <c r="E8" s="2">
        <f>Hoja1!E8</f>
        <v>4.46</v>
      </c>
      <c r="F8" s="2">
        <f>Hoja1!F8</f>
        <v>4.5</v>
      </c>
      <c r="G8" s="2">
        <f>Hoja1!G8</f>
        <v>4.55</v>
      </c>
      <c r="H8" s="2">
        <f>Hoja1!H8</f>
        <v>4.29</v>
      </c>
      <c r="I8" s="2">
        <f>Hoja1!I8</f>
        <v>3.7600000000000002</v>
      </c>
      <c r="J8" s="2">
        <f>Hoja1!J8</f>
        <v>3.34</v>
      </c>
      <c r="K8" s="2">
        <f>Hoja1!K8</f>
        <v>2.79</v>
      </c>
      <c r="L8" s="2">
        <f>Hoja1!L8</f>
        <v>2.39</v>
      </c>
      <c r="M8" s="2">
        <f>Hoja1!M8</f>
        <v>2.0299999999999998</v>
      </c>
      <c r="N8" s="2">
        <f>Hoja1!N8</f>
        <v>1.96</v>
      </c>
      <c r="O8" s="2">
        <f>Hoja1!O8</f>
        <v>1.93</v>
      </c>
      <c r="P8" s="2">
        <f>Hoja1!P8</f>
        <v>1.91</v>
      </c>
      <c r="Q8" s="2">
        <f>Hoja1!Q8</f>
        <v>1.81</v>
      </c>
      <c r="R8" s="2">
        <f>Hoja1!R8</f>
        <v>1.77</v>
      </c>
      <c r="S8" s="2">
        <f>Hoja1!S8</f>
        <v>1.76</v>
      </c>
      <c r="T8" s="2">
        <f>Hoja1!T8</f>
        <v>1.82</v>
      </c>
      <c r="U8" s="2">
        <f>Hoja1!U8</f>
        <v>1.91</v>
      </c>
      <c r="V8" s="2">
        <f>Hoja1!V8</f>
        <v>1.9</v>
      </c>
      <c r="W8" s="2">
        <f>Hoja1!W8</f>
        <v>1.99</v>
      </c>
      <c r="X8" s="2">
        <f>Hoja1!X8</f>
        <v>2.0499999999999998</v>
      </c>
      <c r="Y8" s="2">
        <f>Hoja1!Y8</f>
        <v>2.2200000000000002</v>
      </c>
      <c r="Z8" s="2">
        <f>Hoja1!Z8</f>
        <v>2.65</v>
      </c>
      <c r="AA8" s="2">
        <f>Hoja1!AA8</f>
        <v>3.08</v>
      </c>
      <c r="AB8" s="5">
        <f>Hoja1!AB8</f>
        <v>3.47</v>
      </c>
      <c r="AC8" s="5">
        <f>Hoja1!AC8</f>
        <v>4.3099999999999996</v>
      </c>
      <c r="AD8" s="5">
        <f>Hoja1!AD8</f>
        <v>4.97</v>
      </c>
      <c r="AE8" s="5">
        <f>Hoja1!AE8</f>
        <v>5.97</v>
      </c>
      <c r="AF8" s="5">
        <f>Hoja1!AF8</f>
        <v>7.04</v>
      </c>
      <c r="AG8" s="5">
        <f>Hoja1!AG8</f>
        <v>7.72</v>
      </c>
      <c r="AH8" s="5">
        <f>Hoja1!AH8</f>
        <v>9.3000000000000007</v>
      </c>
      <c r="AI8" s="5">
        <f>Hoja1!AI8</f>
        <v>10.57</v>
      </c>
      <c r="AJ8" s="2">
        <f>Hoja1!AS8</f>
        <v>13.02</v>
      </c>
      <c r="AK8" s="2">
        <f>Hoja1!AT8</f>
        <v>13.58</v>
      </c>
      <c r="AL8" s="2">
        <f>Hoja1!AU8</f>
        <v>13.71</v>
      </c>
      <c r="AM8" s="2">
        <f>Hoja1!AV8</f>
        <v>13.07</v>
      </c>
      <c r="AN8" s="2">
        <f>Hoja1!AW8</f>
        <v>13.09</v>
      </c>
      <c r="AO8" s="2">
        <f>Hoja1!AX8</f>
        <v>12.76</v>
      </c>
      <c r="AP8" s="2">
        <f>Hoja1!AY8</f>
        <v>12.63</v>
      </c>
      <c r="AQ8" s="2">
        <f>Hoja1!AZ8</f>
        <v>11.62</v>
      </c>
      <c r="AR8" s="2">
        <f>Hoja1!BA8</f>
        <v>11.07</v>
      </c>
      <c r="AS8" s="2">
        <f>Hoja1!BB8</f>
        <v>10.85</v>
      </c>
      <c r="AT8" s="2">
        <f>Hoja1!BC8</f>
        <v>10.56</v>
      </c>
      <c r="AU8" s="2">
        <f>Hoja1!BD8</f>
        <v>10.24</v>
      </c>
      <c r="AV8" s="2">
        <f>Hoja1!BE8</f>
        <v>10.14</v>
      </c>
      <c r="AW8" s="2">
        <f>Hoja1!BF8</f>
        <v>10.08</v>
      </c>
      <c r="AX8" s="2">
        <f>Hoja1!BG8</f>
        <v>9.9</v>
      </c>
      <c r="AY8" s="2">
        <f>Hoja1!BH8</f>
        <v>9.68</v>
      </c>
      <c r="AZ8" s="2">
        <f>Hoja1!BI8</f>
        <v>9.44</v>
      </c>
      <c r="BA8" s="2">
        <f>Hoja1!BJ8</f>
        <v>9.27</v>
      </c>
      <c r="BB8" s="2">
        <f>Hoja1!BK8</f>
        <v>9.2200000000000006</v>
      </c>
      <c r="BC8" s="2">
        <f>Hoja1!BL8</f>
        <v>9.2200000000000006</v>
      </c>
      <c r="BD8" s="2">
        <f>Hoja1!BM8</f>
        <v>9.41</v>
      </c>
      <c r="BE8" s="2">
        <f>Hoja1!BN8</f>
        <v>9.15</v>
      </c>
      <c r="BF8" s="2">
        <f>Hoja1!BO8</f>
        <v>9.1199999999999992</v>
      </c>
    </row>
    <row r="9" spans="2:58" x14ac:dyDescent="0.25">
      <c r="B9" s="7" t="str">
        <f>Hoja1!$A$9</f>
        <v>Diferencia entre IPC y REPO</v>
      </c>
      <c r="C9" s="11" t="str">
        <f>Hoja1!$A$9</f>
        <v>Diferencia entre IPC y REPO</v>
      </c>
      <c r="D9" s="11" t="str">
        <f>Hoja1!$A$9</f>
        <v>Diferencia entre IPC y REPO</v>
      </c>
      <c r="E9" s="11" t="str">
        <f>Hoja1!$A$9</f>
        <v>Diferencia entre IPC y REPO</v>
      </c>
      <c r="F9" s="11" t="str">
        <f>Hoja1!$A$9</f>
        <v>Diferencia entre IPC y REPO</v>
      </c>
      <c r="G9" s="11" t="str">
        <f>Hoja1!$A$9</f>
        <v>Diferencia entre IPC y REPO</v>
      </c>
      <c r="H9" s="11" t="str">
        <f>Hoja1!$A$9</f>
        <v>Diferencia entre IPC y REPO</v>
      </c>
      <c r="I9" s="11" t="str">
        <f>Hoja1!$A$9</f>
        <v>Diferencia entre IPC y REPO</v>
      </c>
      <c r="J9" s="11" t="str">
        <f>Hoja1!$A$9</f>
        <v>Diferencia entre IPC y REPO</v>
      </c>
      <c r="K9" s="11" t="str">
        <f>Hoja1!$A$9</f>
        <v>Diferencia entre IPC y REPO</v>
      </c>
      <c r="L9" s="11" t="str">
        <f>Hoja1!$A$9</f>
        <v>Diferencia entre IPC y REPO</v>
      </c>
      <c r="M9" s="11" t="str">
        <f>Hoja1!$A$9</f>
        <v>Diferencia entre IPC y REPO</v>
      </c>
      <c r="N9" s="11" t="str">
        <f>Hoja1!$A$9</f>
        <v>Diferencia entre IPC y REPO</v>
      </c>
      <c r="O9" s="11" t="str">
        <f>Hoja1!$A$9</f>
        <v>Diferencia entre IPC y REPO</v>
      </c>
      <c r="P9" s="11" t="str">
        <f>Hoja1!$A$9</f>
        <v>Diferencia entre IPC y REPO</v>
      </c>
      <c r="Q9" s="11" t="str">
        <f>Hoja1!$A$9</f>
        <v>Diferencia entre IPC y REPO</v>
      </c>
      <c r="R9" s="11" t="str">
        <f>Hoja1!$A$9</f>
        <v>Diferencia entre IPC y REPO</v>
      </c>
      <c r="S9" s="11" t="str">
        <f>Hoja1!$A$9</f>
        <v>Diferencia entre IPC y REPO</v>
      </c>
      <c r="T9" s="11" t="str">
        <f>Hoja1!$A$9</f>
        <v>Diferencia entre IPC y REPO</v>
      </c>
      <c r="U9" s="11" t="str">
        <f>Hoja1!$A$9</f>
        <v>Diferencia entre IPC y REPO</v>
      </c>
      <c r="V9" s="11" t="str">
        <f>Hoja1!$A$9</f>
        <v>Diferencia entre IPC y REPO</v>
      </c>
      <c r="W9" s="11" t="str">
        <f>Hoja1!$A$9</f>
        <v>Diferencia entre IPC y REPO</v>
      </c>
      <c r="X9" s="11" t="str">
        <f>Hoja1!$A$9</f>
        <v>Diferencia entre IPC y REPO</v>
      </c>
      <c r="Y9" s="11" t="str">
        <f>Hoja1!$A$9</f>
        <v>Diferencia entre IPC y REPO</v>
      </c>
      <c r="Z9" s="11" t="str">
        <f>Hoja1!$A$9</f>
        <v>Diferencia entre IPC y REPO</v>
      </c>
      <c r="AA9" s="11" t="str">
        <f>Hoja1!$A$9</f>
        <v>Diferencia entre IPC y REPO</v>
      </c>
      <c r="AB9" s="11" t="str">
        <f>Hoja1!$A$9</f>
        <v>Diferencia entre IPC y REPO</v>
      </c>
      <c r="AC9" s="11" t="str">
        <f>Hoja1!$A$9</f>
        <v>Diferencia entre IPC y REPO</v>
      </c>
      <c r="AD9" s="11" t="str">
        <f>Hoja1!$A$9</f>
        <v>Diferencia entre IPC y REPO</v>
      </c>
      <c r="AE9" s="11" t="str">
        <f>Hoja1!$A$9</f>
        <v>Diferencia entre IPC y REPO</v>
      </c>
      <c r="AF9" s="11" t="str">
        <f>Hoja1!$A$9</f>
        <v>Diferencia entre IPC y REPO</v>
      </c>
      <c r="AG9" s="11" t="str">
        <f>Hoja1!$A$9</f>
        <v>Diferencia entre IPC y REPO</v>
      </c>
      <c r="AH9" s="11" t="str">
        <f>Hoja1!$A$9</f>
        <v>Diferencia entre IPC y REPO</v>
      </c>
      <c r="AI9" s="11" t="str">
        <f>Hoja1!$A$9</f>
        <v>Diferencia entre IPC y REPO</v>
      </c>
      <c r="AJ9" s="5">
        <f>Hoja1!AS9</f>
        <v>-1.1199999999999992</v>
      </c>
      <c r="AK9" s="5">
        <f>Hoja1!AT9</f>
        <v>-1.4700000000000006</v>
      </c>
      <c r="AL9" s="5">
        <f>Hoja1!AU9</f>
        <v>-1.8200000000000003</v>
      </c>
      <c r="AM9" s="5">
        <f>Hoja1!AV9</f>
        <v>-2.2599999999999998</v>
      </c>
      <c r="AN9" s="5">
        <f>Hoja1!AW9</f>
        <v>-2.7699999999999996</v>
      </c>
      <c r="AO9" s="5">
        <f>Hoja1!AX9</f>
        <v>-3.0999999999999996</v>
      </c>
      <c r="AP9" s="5">
        <f>Hoja1!AY9</f>
        <v>-3.7200000000000006</v>
      </c>
      <c r="AQ9" s="5">
        <f>Hoja1!AZ9</f>
        <v>-4.4000000000000004</v>
      </c>
      <c r="AR9" s="5">
        <f>Hoja1!BA9</f>
        <v>-5.01</v>
      </c>
      <c r="AS9" s="5">
        <f>Hoja1!BB9</f>
        <v>-4.8899999999999997</v>
      </c>
      <c r="AT9" s="5">
        <f>Hoja1!BC9</f>
        <v>-4.59</v>
      </c>
      <c r="AU9" s="5">
        <f>Hoja1!BD9</f>
        <v>-4.59</v>
      </c>
      <c r="AV9" s="5">
        <f>Hoja1!BE9</f>
        <v>-4.07</v>
      </c>
      <c r="AW9" s="5">
        <f>Hoja1!BF9</f>
        <v>-4.3899999999999997</v>
      </c>
      <c r="AX9" s="5">
        <f>Hoja1!BG9</f>
        <v>-4.63</v>
      </c>
      <c r="AY9" s="5">
        <f>Hoja1!BH9</f>
        <v>-4.4400000000000004</v>
      </c>
      <c r="AZ9" s="5">
        <f>Hoja1!BI9</f>
        <v>-4.34</v>
      </c>
      <c r="BA9" s="5">
        <f>Hoja1!BJ9</f>
        <v>-4.55</v>
      </c>
      <c r="BB9" s="5">
        <f>Hoja1!BK9</f>
        <v>-4.3</v>
      </c>
      <c r="BC9" s="5">
        <f>Hoja1!BL9</f>
        <v>-4.28</v>
      </c>
      <c r="BD9" s="5">
        <f>Hoja1!BM9</f>
        <v>-4.22</v>
      </c>
      <c r="BE9" s="5">
        <f>Hoja1!BN9</f>
        <v>-4.41</v>
      </c>
      <c r="BF9" s="5">
        <f>Hoja1!BO9</f>
        <v>-4.09</v>
      </c>
    </row>
    <row r="12" spans="2:58" x14ac:dyDescent="0.25">
      <c r="W12" s="4"/>
    </row>
    <row r="13" spans="2:58" x14ac:dyDescent="0.25">
      <c r="W13" s="4"/>
    </row>
    <row r="14" spans="2:58" x14ac:dyDescent="0.25">
      <c r="W14" s="4"/>
    </row>
    <row r="15" spans="2:58" x14ac:dyDescent="0.25">
      <c r="W1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JUAN ANDRES MIRANDA ROJO</cp:lastModifiedBy>
  <dcterms:created xsi:type="dcterms:W3CDTF">2020-10-01T21:10:41Z</dcterms:created>
  <dcterms:modified xsi:type="dcterms:W3CDTF">2026-01-22T00:44:48Z</dcterms:modified>
</cp:coreProperties>
</file>