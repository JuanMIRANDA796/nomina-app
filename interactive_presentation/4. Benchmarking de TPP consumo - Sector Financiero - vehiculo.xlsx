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mite de Precios\2026\1. Enero 2026\"/>
    </mc:Choice>
  </mc:AlternateContent>
  <xr:revisionPtr revIDLastSave="0" documentId="13_ncr:1_{76D02B19-A00A-460E-B13D-405D550DADB2}" xr6:coauthVersionLast="47" xr6:coauthVersionMax="47" xr10:uidLastSave="{00000000-0000-0000-0000-000000000000}"/>
  <bookViews>
    <workbookView xWindow="-120" yWindow="-120" windowWidth="20730" windowHeight="11040" activeTab="1" xr2:uid="{B12EC684-C7D4-4BAC-82C6-F11A51EBF78C}"/>
  </bookViews>
  <sheets>
    <sheet name="Consumo" sheetId="1" r:id="rId1"/>
    <sheet name="Vivienda" sheetId="4" r:id="rId2"/>
    <sheet name="Vehiculo" sheetId="5" r:id="rId3"/>
    <sheet name="Indicaciones " sheetId="2" r:id="rId4"/>
    <sheet name="CDATs" sheetId="3" r:id="rId5"/>
  </sheets>
  <definedNames>
    <definedName name="_xlnm._FilterDatabase" localSheetId="2" hidden="1">Vehiculo!$A$2:$E$2</definedName>
    <definedName name="_xlnm.Print_Area" localSheetId="0">Consumo!$B$49:$D$59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C3" i="5"/>
  <c r="C6" i="5"/>
  <c r="C5" i="5"/>
  <c r="C4" i="5"/>
  <c r="C61" i="1" l="1"/>
  <c r="F44" i="1"/>
  <c r="P16" i="4"/>
  <c r="P17" i="4"/>
  <c r="F20" i="1"/>
  <c r="F56" i="1"/>
  <c r="F3" i="1"/>
  <c r="D61" i="1"/>
  <c r="F57" i="1"/>
  <c r="G4" i="4"/>
  <c r="F4" i="1"/>
  <c r="F5" i="1"/>
  <c r="F6" i="1"/>
  <c r="G10" i="4"/>
  <c r="G30" i="4"/>
  <c r="G16" i="4"/>
  <c r="G17" i="4"/>
  <c r="G18" i="4"/>
  <c r="G15" i="4"/>
  <c r="P15" i="4"/>
  <c r="G9" i="4"/>
  <c r="G7" i="4"/>
  <c r="G6" i="4"/>
  <c r="G8" i="4"/>
  <c r="G5" i="4"/>
  <c r="F59" i="1"/>
  <c r="F12" i="1"/>
  <c r="F11" i="1"/>
  <c r="F13" i="1"/>
  <c r="F14" i="1"/>
  <c r="F15" i="1"/>
  <c r="F16" i="1"/>
  <c r="F7" i="1"/>
  <c r="F47" i="1"/>
  <c r="F37" i="1"/>
  <c r="F26" i="1"/>
  <c r="F51" i="1"/>
  <c r="F52" i="1"/>
  <c r="F53" i="1"/>
  <c r="F55" i="1"/>
  <c r="F58" i="1"/>
  <c r="F54" i="1"/>
  <c r="F21" i="1"/>
  <c r="F22" i="1"/>
  <c r="F23" i="1"/>
  <c r="F24" i="1"/>
  <c r="F25" i="1"/>
  <c r="F31" i="1"/>
  <c r="F32" i="1"/>
  <c r="F33" i="1"/>
  <c r="F34" i="1"/>
  <c r="F35" i="1"/>
  <c r="F30" i="1"/>
  <c r="F42" i="1"/>
  <c r="F43" i="1"/>
  <c r="F45" i="1"/>
  <c r="F46" i="1"/>
  <c r="F41" i="1"/>
</calcChain>
</file>

<file path=xl/sharedStrings.xml><?xml version="1.0" encoding="utf-8"?>
<sst xmlns="http://schemas.openxmlformats.org/spreadsheetml/2006/main" count="429" uniqueCount="103">
  <si>
    <t>Monto</t>
  </si>
  <si>
    <t>hasta 1 SMMLV</t>
  </si>
  <si>
    <t>TPP</t>
  </si>
  <si>
    <t># ENTIDADES</t>
  </si>
  <si>
    <t># DESEMBOLSOS</t>
  </si>
  <si>
    <t>Bancolombia</t>
  </si>
  <si>
    <t>Banco Falabella</t>
  </si>
  <si>
    <t>Peso</t>
  </si>
  <si>
    <t>PRESENTE</t>
  </si>
  <si>
    <t>&gt;1 SMMLV &lt;=3 SMMLV</t>
  </si>
  <si>
    <t>Banco de Bogotá</t>
  </si>
  <si>
    <t>Davivienda</t>
  </si>
  <si>
    <t>&gt;3 SMMLV &lt;=6 SMMLV</t>
  </si>
  <si>
    <t>BBVA</t>
  </si>
  <si>
    <t>Ingresar a la pagina de la super financiera</t>
  </si>
  <si>
    <t>https://www.superfinanciera.gov.co/powerbi/reportes/536/485/</t>
  </si>
  <si>
    <t>Pestaña de cartera de creditos</t>
  </si>
  <si>
    <t>Sub pestaña de tasas y desembolsos por modalidad de crédito</t>
  </si>
  <si>
    <t>Esperar a que cargue le Power BI</t>
  </si>
  <si>
    <t>clic en la pestaña de comparador de tasas</t>
  </si>
  <si>
    <t>Fecha: seleccionar todas las fechas del mes que se va a trabajar</t>
  </si>
  <si>
    <t>Tipo de crédito: consumo</t>
  </si>
  <si>
    <t>Producto, seleccionar: consumo otros, creditos bajo monto, creditos de educación diferentes a libranza, libre inversión educación, libre inversión salud y libre inversión</t>
  </si>
  <si>
    <t xml:space="preserve">Rango de monto: seleccionar según monto que se este revisando </t>
  </si>
  <si>
    <t>&gt;6 SMMLV &lt;=12 SMMLV</t>
  </si>
  <si>
    <t>&gt;12 SMMLV &lt;=25 SMMLV</t>
  </si>
  <si>
    <t>Todos los montos</t>
  </si>
  <si>
    <t>Banco de Occidente</t>
  </si>
  <si>
    <t>*cifras en millones</t>
  </si>
  <si>
    <t>$ DESEMBOLSOS</t>
  </si>
  <si>
    <t>Lulo Bank</t>
  </si>
  <si>
    <t>Nu Bank</t>
  </si>
  <si>
    <t>Rappi</t>
  </si>
  <si>
    <t>Pibank</t>
  </si>
  <si>
    <t>Ualá</t>
  </si>
  <si>
    <t>Banco W</t>
  </si>
  <si>
    <t>Ban100</t>
  </si>
  <si>
    <t>Banco contactar</t>
  </si>
  <si>
    <t>Bancamia</t>
  </si>
  <si>
    <t>Cuenta de Ahorros</t>
  </si>
  <si>
    <t>90 días</t>
  </si>
  <si>
    <t>180 días</t>
  </si>
  <si>
    <t>360 días</t>
  </si>
  <si>
    <t>CDATs</t>
  </si>
  <si>
    <t>NA</t>
  </si>
  <si>
    <t>Desde 3% hasta 5%</t>
  </si>
  <si>
    <t>Desde 1% hasta 7,25%</t>
  </si>
  <si>
    <t>Entidad</t>
  </si>
  <si>
    <t>VIS</t>
  </si>
  <si>
    <t>TIPO</t>
  </si>
  <si>
    <t>PESOS</t>
  </si>
  <si>
    <t>UVR</t>
  </si>
  <si>
    <t>Compra de vivienda hasta 20 años</t>
  </si>
  <si>
    <t>FNA</t>
  </si>
  <si>
    <t>Compra de vivienda superior a 20 años</t>
  </si>
  <si>
    <t>Colpatria</t>
  </si>
  <si>
    <t>NO VIS</t>
  </si>
  <si>
    <t>AV Villas</t>
  </si>
  <si>
    <t>Consumo</t>
  </si>
  <si>
    <t>Vivienda</t>
  </si>
  <si>
    <t>Tipo de crédito: vivienda</t>
  </si>
  <si>
    <t>Producto, seleccionar: vivienda vis pesos, vivienda vis UVR, vivienda no vis pesos y vivienda no vis UVR</t>
  </si>
  <si>
    <t>Plazo: hasta 20 años y luego mayor a 20 años</t>
  </si>
  <si>
    <t>Bancoomeva</t>
  </si>
  <si>
    <t>Finandina</t>
  </si>
  <si>
    <t>Banco Davivienda</t>
  </si>
  <si>
    <t>120 días</t>
  </si>
  <si>
    <t>de 1% ea hasta 8% ea</t>
  </si>
  <si>
    <t>Desde 7% hasta 10,50%</t>
  </si>
  <si>
    <t>Desde 0,25% hasta 2,5%</t>
  </si>
  <si>
    <t>Banco Caja Social</t>
  </si>
  <si>
    <t>17 entidades</t>
  </si>
  <si>
    <t>Banco de Bogota</t>
  </si>
  <si>
    <t>JFK</t>
  </si>
  <si>
    <t>Banco caja social</t>
  </si>
  <si>
    <t># DESEMBOLSOS &gt; 1 y &lt;= 3 SMMLV</t>
  </si>
  <si>
    <t># DESEMBOLSOS Hasta 1 SMMLV</t>
  </si>
  <si>
    <t xml:space="preserve"># DESEMBOLSOS &gt; 3 y &lt;= 6 </t>
  </si>
  <si>
    <t xml:space="preserve"># DESEMBOLSOS &gt; 6 y &lt;= 12 </t>
  </si>
  <si>
    <t xml:space="preserve"># DESEMBOLSOS &gt; 12 y &lt;= 25 </t>
  </si>
  <si>
    <t># DESEMBOLSOS TODOS</t>
  </si>
  <si>
    <t>Banco Bogota</t>
  </si>
  <si>
    <t>Falabella</t>
  </si>
  <si>
    <t>25 entidades</t>
  </si>
  <si>
    <t>33 entidades</t>
  </si>
  <si>
    <t>Banagrio</t>
  </si>
  <si>
    <t>Tuya</t>
  </si>
  <si>
    <t>34 entidades</t>
  </si>
  <si>
    <t>9 entidades</t>
  </si>
  <si>
    <t>32 entidades</t>
  </si>
  <si>
    <t>Scotiabank</t>
  </si>
  <si>
    <t>GM Financial Colombia S.A. Compañía De Financiamiento</t>
  </si>
  <si>
    <t>RCI Colombia S.A.</t>
  </si>
  <si>
    <t>BBVA Colombia</t>
  </si>
  <si>
    <t>Banco Santander</t>
  </si>
  <si>
    <t>Banco Caja Social S.A.</t>
  </si>
  <si>
    <t>Banco Davibank</t>
  </si>
  <si>
    <t>Scotiabank Colpatria S.A.</t>
  </si>
  <si>
    <t>Fondo Nacional del Ahorro</t>
  </si>
  <si>
    <t>16 entidades</t>
  </si>
  <si>
    <t>5 entidades</t>
  </si>
  <si>
    <t>8 entidades</t>
  </si>
  <si>
    <t>10 entidades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</si>
</sst>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$&quot;\ #,##0"/>
    <numFmt numFmtId="167" formatCode="_-&quot;$&quot;\ * #,##0_-;\-&quot;$&quot;\ * #,##0_-;_-&quot;$&quot;\ * &quot;-&quot;??_-;_-@_-"/>
    <numFmt numFmtId="168" formatCode="&quot;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43" fontId="0" fillId="0" borderId="0" xfId="1" applyFont="1"/>
    <xf numFmtId="164" fontId="0" fillId="0" borderId="0" xfId="1" applyNumberFormat="1" applyFont="1"/>
    <xf numFmtId="10" fontId="0" fillId="0" borderId="0" xfId="0" applyNumberFormat="1"/>
    <xf numFmtId="165" fontId="0" fillId="0" borderId="0" xfId="2" applyNumberFormat="1" applyFont="1"/>
    <xf numFmtId="0" fontId="2" fillId="0" borderId="0" xfId="0" applyFont="1"/>
    <xf numFmtId="0" fontId="2" fillId="2" borderId="0" xfId="0" applyFont="1" applyFill="1"/>
    <xf numFmtId="166" fontId="0" fillId="0" borderId="0" xfId="1" applyNumberFormat="1" applyFont="1"/>
    <xf numFmtId="166" fontId="0" fillId="0" borderId="0" xfId="0" applyNumberFormat="1"/>
    <xf numFmtId="0" fontId="0" fillId="0" borderId="1" xfId="0" applyBorder="1"/>
    <xf numFmtId="164" fontId="0" fillId="0" borderId="0" xfId="0" applyNumberFormat="1"/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0" xfId="0" applyFill="1"/>
    <xf numFmtId="0" fontId="2" fillId="4" borderId="0" xfId="0" applyFont="1" applyFill="1"/>
    <xf numFmtId="164" fontId="0" fillId="4" borderId="0" xfId="1" applyNumberFormat="1" applyFont="1" applyFill="1"/>
    <xf numFmtId="166" fontId="0" fillId="4" borderId="0" xfId="0" applyNumberFormat="1" applyFill="1"/>
    <xf numFmtId="10" fontId="0" fillId="4" borderId="0" xfId="0" applyNumberFormat="1" applyFill="1"/>
    <xf numFmtId="165" fontId="0" fillId="4" borderId="0" xfId="2" applyNumberFormat="1" applyFont="1" applyFill="1"/>
    <xf numFmtId="167" fontId="0" fillId="0" borderId="0" xfId="3" applyNumberFormat="1" applyFont="1"/>
    <xf numFmtId="167" fontId="0" fillId="4" borderId="0" xfId="3" applyNumberFormat="1" applyFont="1" applyFill="1"/>
    <xf numFmtId="0" fontId="2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9" fontId="0" fillId="0" borderId="0" xfId="2" applyFont="1"/>
    <xf numFmtId="3" fontId="0" fillId="0" borderId="0" xfId="0" applyNumberFormat="1"/>
    <xf numFmtId="168" fontId="0" fillId="0" borderId="0" xfId="0" applyNumberFormat="1"/>
    <xf numFmtId="164" fontId="0" fillId="4" borderId="0" xfId="0" applyNumberFormat="1" applyFill="1"/>
    <xf numFmtId="166" fontId="0" fillId="4" borderId="0" xfId="1" applyNumberFormat="1" applyFont="1" applyFill="1"/>
    <xf numFmtId="10" fontId="0" fillId="4" borderId="0" xfId="2" applyNumberFormat="1" applyFont="1" applyFill="1"/>
    <xf numFmtId="164" fontId="3" fillId="4" borderId="0" xfId="1" applyNumberFormat="1" applyFont="1" applyFill="1"/>
    <xf numFmtId="166" fontId="3" fillId="4" borderId="0" xfId="1" applyNumberFormat="1" applyFont="1" applyFill="1"/>
    <xf numFmtId="10" fontId="3" fillId="4" borderId="0" xfId="2" applyNumberFormat="1" applyFont="1" applyFill="1"/>
    <xf numFmtId="10" fontId="0" fillId="4" borderId="0" xfId="0" applyNumberFormat="1" applyFill="1" applyAlignment="1">
      <alignment wrapText="1"/>
    </xf>
    <xf numFmtId="0" fontId="4" fillId="0" borderId="0" xfId="4"/>
    <xf numFmtId="167" fontId="0" fillId="0" borderId="0" xfId="0" applyNumberFormat="1"/>
    <xf numFmtId="10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5">
    <cellStyle name="Hipervínculo" xfId="4" builtinId="8"/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 SMMLV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1874108762833994E-2"/>
          <c:y val="0.12803267314588868"/>
          <c:w val="0.95989746726813763"/>
          <c:h val="0.60230916103899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Consumo!$C$1</c:f>
              <c:strCache>
                <c:ptCount val="1"/>
                <c:pt idx="0">
                  <c:v># DESEMBOLSOS Hasta 1 SMMLV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Consumo!$B$2:$B$7</c:f>
              <c:strCache>
                <c:ptCount val="6"/>
                <c:pt idx="0">
                  <c:v>25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Bogota</c:v>
                </c:pt>
                <c:pt idx="4">
                  <c:v>Tuya</c:v>
                </c:pt>
                <c:pt idx="5">
                  <c:v>PRESENTE</c:v>
                </c:pt>
              </c:strCache>
            </c:strRef>
          </c:cat>
          <c:val>
            <c:numRef>
              <c:f>Consumo!$C$2:$C$7</c:f>
              <c:numCache>
                <c:formatCode>_-* #,##0_-;\-* #,##0_-;_-* "-"??_-;_-@_-</c:formatCode>
                <c:ptCount val="6"/>
                <c:pt idx="0">
                  <c:v>80130</c:v>
                </c:pt>
                <c:pt idx="1">
                  <c:v>39066</c:v>
                </c:pt>
                <c:pt idx="2">
                  <c:v>16808</c:v>
                </c:pt>
                <c:pt idx="3">
                  <c:v>3458</c:v>
                </c:pt>
                <c:pt idx="4">
                  <c:v>11587</c:v>
                </c:pt>
                <c:pt idx="5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6-4BFC-9266-86EAD3008964}"/>
            </c:ext>
          </c:extLst>
        </c:ser>
        <c:ser>
          <c:idx val="1"/>
          <c:order val="1"/>
          <c:tx>
            <c:strRef>
              <c:f>Consumo!$D$1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Consumo!$B$2:$B$7</c:f>
              <c:strCache>
                <c:ptCount val="6"/>
                <c:pt idx="0">
                  <c:v>25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Bogota</c:v>
                </c:pt>
                <c:pt idx="4">
                  <c:v>Tuya</c:v>
                </c:pt>
                <c:pt idx="5">
                  <c:v>PRESENTE</c:v>
                </c:pt>
              </c:strCache>
            </c:strRef>
          </c:cat>
          <c:val>
            <c:numRef>
              <c:f>Consumo!$D$2:$D$7</c:f>
              <c:numCache>
                <c:formatCode>"$"\ #,##0</c:formatCode>
                <c:ptCount val="6"/>
                <c:pt idx="0">
                  <c:v>54010</c:v>
                </c:pt>
                <c:pt idx="1">
                  <c:v>26085.354907500001</c:v>
                </c:pt>
                <c:pt idx="2">
                  <c:v>14567.774158</c:v>
                </c:pt>
                <c:pt idx="3">
                  <c:v>3195.852304</c:v>
                </c:pt>
                <c:pt idx="4">
                  <c:v>3082.9886280000001</c:v>
                </c:pt>
                <c:pt idx="5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6-4BFC-9266-86EAD30089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9980192"/>
        <c:axId val="1069972512"/>
      </c:barChart>
      <c:barChart>
        <c:barDir val="col"/>
        <c:grouping val="clustered"/>
        <c:varyColors val="0"/>
        <c:ser>
          <c:idx val="2"/>
          <c:order val="2"/>
          <c:tx>
            <c:strRef>
              <c:f>Consumo!$E$1</c:f>
              <c:strCache>
                <c:ptCount val="1"/>
                <c:pt idx="0">
                  <c:v>TPP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6709195612222405E-17"/>
                  <c:y val="0.16274734146256628"/>
                </c:manualLayout>
              </c:layout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ECB-4E52-B1E2-7CB934EF2932}"/>
                </c:ext>
              </c:extLst>
            </c:dLbl>
            <c:dLbl>
              <c:idx val="1"/>
              <c:layout>
                <c:manualLayout>
                  <c:x val="0"/>
                  <c:y val="0.16274807371594793"/>
                </c:manualLayout>
              </c:layout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CB-4E52-B1E2-7CB934EF2932}"/>
                </c:ext>
              </c:extLst>
            </c:dLbl>
            <c:dLbl>
              <c:idx val="2"/>
              <c:layout>
                <c:manualLayout>
                  <c:x val="0"/>
                  <c:y val="0.15809643410909477"/>
                </c:manualLayout>
              </c:layout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ECB-4E52-B1E2-7CB934EF2932}"/>
                </c:ext>
              </c:extLst>
            </c:dLbl>
            <c:dLbl>
              <c:idx val="4"/>
              <c:layout>
                <c:manualLayout>
                  <c:x val="0"/>
                  <c:y val="0.1580968002357856"/>
                </c:manualLayout>
              </c:layout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ECB-4E52-B1E2-7CB934EF2932}"/>
                </c:ext>
              </c:extLst>
            </c:dLbl>
            <c:dLbl>
              <c:idx val="5"/>
              <c:layout>
                <c:manualLayout>
                  <c:x val="0"/>
                  <c:y val="0.15344662513569571"/>
                </c:manualLayout>
              </c:layout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99-43BA-8FCD-570BE92906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Consumo!$B$2:$B$7</c:f>
              <c:strCache>
                <c:ptCount val="6"/>
                <c:pt idx="0">
                  <c:v>25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Bogota</c:v>
                </c:pt>
                <c:pt idx="4">
                  <c:v>Tuya</c:v>
                </c:pt>
                <c:pt idx="5">
                  <c:v>PRESENTE</c:v>
                </c:pt>
              </c:strCache>
            </c:strRef>
          </c:cat>
          <c:val>
            <c:numRef>
              <c:f>Consumo!$E$2:$E$7</c:f>
              <c:numCache>
                <c:formatCode>0.00%</c:formatCode>
                <c:ptCount val="6"/>
                <c:pt idx="0">
                  <c:v>0.45639999999999997</c:v>
                </c:pt>
                <c:pt idx="1">
                  <c:v>0.4597</c:v>
                </c:pt>
                <c:pt idx="2">
                  <c:v>0.57389999999999997</c:v>
                </c:pt>
                <c:pt idx="3">
                  <c:v>0.2452</c:v>
                </c:pt>
                <c:pt idx="4">
                  <c:v>0.56220000000000003</c:v>
                </c:pt>
                <c:pt idx="5">
                  <c:v>0.2273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CB-4E52-B1E2-7CB934EF2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9493919"/>
        <c:axId val="649491999"/>
      </c:barChart>
      <c:catAx>
        <c:axId val="106998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9972512"/>
        <c:crosses val="autoZero"/>
        <c:auto val="1"/>
        <c:lblAlgn val="ctr"/>
        <c:lblOffset val="100"/>
        <c:noMultiLvlLbl val="0"/>
      </c:catAx>
      <c:valAx>
        <c:axId val="1069972512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069980192"/>
        <c:crosses val="autoZero"/>
        <c:crossBetween val="between"/>
      </c:valAx>
      <c:valAx>
        <c:axId val="649491999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649493919"/>
        <c:crosses val="max"/>
        <c:crossBetween val="between"/>
      </c:valAx>
      <c:catAx>
        <c:axId val="649493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9491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&gt;1 SMMLV &lt;=3 SMMLV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1874108762833994E-2"/>
          <c:y val="0.12803267314588868"/>
          <c:w val="0.95989746726813763"/>
          <c:h val="0.60230916103899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Consumo!$C$1</c:f>
              <c:strCache>
                <c:ptCount val="1"/>
                <c:pt idx="0">
                  <c:v># DESEMBOLSOS Hasta 1 SMMLV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Consumo!$B$10:$B$16</c:f>
              <c:strCache>
                <c:ptCount val="7"/>
                <c:pt idx="0">
                  <c:v>32 entidades</c:v>
                </c:pt>
                <c:pt idx="1">
                  <c:v>Banco de Bogotá</c:v>
                </c:pt>
                <c:pt idx="2">
                  <c:v>Davivienda</c:v>
                </c:pt>
                <c:pt idx="3">
                  <c:v>Bancolombia</c:v>
                </c:pt>
                <c:pt idx="4">
                  <c:v>Falabella</c:v>
                </c:pt>
                <c:pt idx="5">
                  <c:v>BBVA</c:v>
                </c:pt>
                <c:pt idx="6">
                  <c:v>PRESENTE</c:v>
                </c:pt>
              </c:strCache>
            </c:strRef>
          </c:cat>
          <c:val>
            <c:numRef>
              <c:f>Consumo!$C$10:$C$16</c:f>
              <c:numCache>
                <c:formatCode>_-* #,##0_-;\-* #,##0_-;_-* "-"??_-;_-@_-</c:formatCode>
                <c:ptCount val="7"/>
                <c:pt idx="0">
                  <c:v>45578</c:v>
                </c:pt>
                <c:pt idx="1">
                  <c:v>14399</c:v>
                </c:pt>
                <c:pt idx="2">
                  <c:v>9178</c:v>
                </c:pt>
                <c:pt idx="3">
                  <c:v>4763</c:v>
                </c:pt>
                <c:pt idx="4">
                  <c:v>4470</c:v>
                </c:pt>
                <c:pt idx="5">
                  <c:v>4163</c:v>
                </c:pt>
                <c:pt idx="6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C-463C-B432-01ECB20EF00C}"/>
            </c:ext>
          </c:extLst>
        </c:ser>
        <c:ser>
          <c:idx val="1"/>
          <c:order val="1"/>
          <c:tx>
            <c:strRef>
              <c:f>Consumo!$D$1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Consumo!$B$10:$B$16</c:f>
              <c:strCache>
                <c:ptCount val="7"/>
                <c:pt idx="0">
                  <c:v>32 entidades</c:v>
                </c:pt>
                <c:pt idx="1">
                  <c:v>Banco de Bogotá</c:v>
                </c:pt>
                <c:pt idx="2">
                  <c:v>Davivienda</c:v>
                </c:pt>
                <c:pt idx="3">
                  <c:v>Bancolombia</c:v>
                </c:pt>
                <c:pt idx="4">
                  <c:v>Falabella</c:v>
                </c:pt>
                <c:pt idx="5">
                  <c:v>BBVA</c:v>
                </c:pt>
                <c:pt idx="6">
                  <c:v>PRESENTE</c:v>
                </c:pt>
              </c:strCache>
            </c:strRef>
          </c:cat>
          <c:val>
            <c:numRef>
              <c:f>Consumo!$D$10:$D$16</c:f>
              <c:numCache>
                <c:formatCode>"$"\ #,##0</c:formatCode>
                <c:ptCount val="7"/>
                <c:pt idx="0">
                  <c:v>130910</c:v>
                </c:pt>
                <c:pt idx="1">
                  <c:v>41756.649126999997</c:v>
                </c:pt>
                <c:pt idx="2">
                  <c:v>26373.196347000001</c:v>
                </c:pt>
                <c:pt idx="3">
                  <c:v>13242.75626776</c:v>
                </c:pt>
                <c:pt idx="4">
                  <c:v>12620.964260000001</c:v>
                </c:pt>
                <c:pt idx="5">
                  <c:v>12433.56842019</c:v>
                </c:pt>
                <c:pt idx="6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C-463C-B432-01ECB20EF0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9980192"/>
        <c:axId val="1069972512"/>
      </c:barChart>
      <c:barChart>
        <c:barDir val="col"/>
        <c:grouping val="clustered"/>
        <c:varyColors val="0"/>
        <c:ser>
          <c:idx val="2"/>
          <c:order val="2"/>
          <c:tx>
            <c:strRef>
              <c:f>Consumo!$E$1</c:f>
              <c:strCache>
                <c:ptCount val="1"/>
                <c:pt idx="0">
                  <c:v>TPP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0.1608270235711993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5C-463C-B432-01ECB20EF00C}"/>
                </c:ext>
              </c:extLst>
            </c:dLbl>
            <c:dLbl>
              <c:idx val="1"/>
              <c:layout>
                <c:manualLayout>
                  <c:x val="1.8233982774198208E-3"/>
                  <c:y val="0.1654220813875193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5C-463C-B432-01ECB20EF00C}"/>
                </c:ext>
              </c:extLst>
            </c:dLbl>
            <c:dLbl>
              <c:idx val="2"/>
              <c:layout>
                <c:manualLayout>
                  <c:x val="0"/>
                  <c:y val="0.1608270235711993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5C-463C-B432-01ECB20EF00C}"/>
                </c:ext>
              </c:extLst>
            </c:dLbl>
            <c:dLbl>
              <c:idx val="3"/>
              <c:layout>
                <c:manualLayout>
                  <c:x val="-6.6857164499058542E-17"/>
                  <c:y val="0.1562319657548793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5C-463C-B432-01ECB20EF00C}"/>
                </c:ext>
              </c:extLst>
            </c:dLbl>
            <c:dLbl>
              <c:idx val="4"/>
              <c:layout>
                <c:manualLayout>
                  <c:x val="0"/>
                  <c:y val="0.1608270235711993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B5C-463C-B432-01ECB20EF00C}"/>
                </c:ext>
              </c:extLst>
            </c:dLbl>
            <c:dLbl>
              <c:idx val="5"/>
              <c:layout>
                <c:manualLayout>
                  <c:x val="-1.3371432899811708E-16"/>
                  <c:y val="0.1654220813875193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B5C-463C-B432-01ECB20EF00C}"/>
                </c:ext>
              </c:extLst>
            </c:dLbl>
            <c:dLbl>
              <c:idx val="6"/>
              <c:layout>
                <c:manualLayout>
                  <c:x val="0"/>
                  <c:y val="0.1608270235711993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B5C-463C-B432-01ECB20EF0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Consumo!$B$10:$B$16</c:f>
              <c:strCache>
                <c:ptCount val="7"/>
                <c:pt idx="0">
                  <c:v>32 entidades</c:v>
                </c:pt>
                <c:pt idx="1">
                  <c:v>Banco de Bogotá</c:v>
                </c:pt>
                <c:pt idx="2">
                  <c:v>Davivienda</c:v>
                </c:pt>
                <c:pt idx="3">
                  <c:v>Bancolombia</c:v>
                </c:pt>
                <c:pt idx="4">
                  <c:v>Falabella</c:v>
                </c:pt>
                <c:pt idx="5">
                  <c:v>BBVA</c:v>
                </c:pt>
                <c:pt idx="6">
                  <c:v>PRESENTE</c:v>
                </c:pt>
              </c:strCache>
            </c:strRef>
          </c:cat>
          <c:val>
            <c:numRef>
              <c:f>Consumo!$E$10:$E$16</c:f>
              <c:numCache>
                <c:formatCode>0.00%</c:formatCode>
                <c:ptCount val="7"/>
                <c:pt idx="0">
                  <c:v>0.2276</c:v>
                </c:pt>
                <c:pt idx="1">
                  <c:v>0.24510000000000001</c:v>
                </c:pt>
                <c:pt idx="2">
                  <c:v>0.1908</c:v>
                </c:pt>
                <c:pt idx="3">
                  <c:v>0.2263</c:v>
                </c:pt>
                <c:pt idx="4">
                  <c:v>0.2369</c:v>
                </c:pt>
                <c:pt idx="5">
                  <c:v>0.24809999999999999</c:v>
                </c:pt>
                <c:pt idx="6">
                  <c:v>0.2233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5C-463C-B432-01ECB20EF0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9493919"/>
        <c:axId val="649491999"/>
      </c:barChart>
      <c:catAx>
        <c:axId val="106998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9972512"/>
        <c:crosses val="autoZero"/>
        <c:auto val="1"/>
        <c:lblAlgn val="ctr"/>
        <c:lblOffset val="100"/>
        <c:noMultiLvlLbl val="0"/>
      </c:catAx>
      <c:valAx>
        <c:axId val="1069972512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069980192"/>
        <c:crosses val="autoZero"/>
        <c:crossBetween val="between"/>
      </c:valAx>
      <c:valAx>
        <c:axId val="649491999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649493919"/>
        <c:crosses val="max"/>
        <c:crossBetween val="between"/>
      </c:valAx>
      <c:catAx>
        <c:axId val="649493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9491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&gt;3 SMMLV &lt;=6 SMMLV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1874108762833994E-2"/>
          <c:y val="0.12803267314588868"/>
          <c:w val="0.95989746726813763"/>
          <c:h val="0.60230916103899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Consumo!$C$1</c:f>
              <c:strCache>
                <c:ptCount val="1"/>
                <c:pt idx="0">
                  <c:v># DESEMBOLSOS Hasta 1 SMMLV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Consumo!$B$19:$B$26</c:f>
              <c:strCache>
                <c:ptCount val="8"/>
                <c:pt idx="0">
                  <c:v>33 entidades</c:v>
                </c:pt>
                <c:pt idx="1">
                  <c:v>Banco de Bogota</c:v>
                </c:pt>
                <c:pt idx="2">
                  <c:v>Bancolombia</c:v>
                </c:pt>
                <c:pt idx="3">
                  <c:v>Davivienda</c:v>
                </c:pt>
                <c:pt idx="4">
                  <c:v>Falabella</c:v>
                </c:pt>
                <c:pt idx="5">
                  <c:v>BBVA</c:v>
                </c:pt>
                <c:pt idx="6">
                  <c:v>Lulo Bank</c:v>
                </c:pt>
                <c:pt idx="7">
                  <c:v>PRESENTE</c:v>
                </c:pt>
              </c:strCache>
            </c:strRef>
          </c:cat>
          <c:val>
            <c:numRef>
              <c:f>Consumo!$C$19:$C$26</c:f>
              <c:numCache>
                <c:formatCode>_-* #,##0_-;\-* #,##0_-;_-* "-"??_-;_-@_-</c:formatCode>
                <c:ptCount val="8"/>
                <c:pt idx="0">
                  <c:v>43445</c:v>
                </c:pt>
                <c:pt idx="1">
                  <c:v>10677</c:v>
                </c:pt>
                <c:pt idx="2">
                  <c:v>8655</c:v>
                </c:pt>
                <c:pt idx="3">
                  <c:v>6228</c:v>
                </c:pt>
                <c:pt idx="4">
                  <c:v>5644</c:v>
                </c:pt>
                <c:pt idx="5">
                  <c:v>3106</c:v>
                </c:pt>
                <c:pt idx="6">
                  <c:v>1964</c:v>
                </c:pt>
                <c:pt idx="7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6-4B1A-B1D5-AB131DF12106}"/>
            </c:ext>
          </c:extLst>
        </c:ser>
        <c:ser>
          <c:idx val="1"/>
          <c:order val="1"/>
          <c:tx>
            <c:strRef>
              <c:f>Consumo!$D$1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Consumo!$B$19:$B$26</c:f>
              <c:strCache>
                <c:ptCount val="8"/>
                <c:pt idx="0">
                  <c:v>33 entidades</c:v>
                </c:pt>
                <c:pt idx="1">
                  <c:v>Banco de Bogota</c:v>
                </c:pt>
                <c:pt idx="2">
                  <c:v>Bancolombia</c:v>
                </c:pt>
                <c:pt idx="3">
                  <c:v>Davivienda</c:v>
                </c:pt>
                <c:pt idx="4">
                  <c:v>Falabella</c:v>
                </c:pt>
                <c:pt idx="5">
                  <c:v>BBVA</c:v>
                </c:pt>
                <c:pt idx="6">
                  <c:v>Lulo Bank</c:v>
                </c:pt>
                <c:pt idx="7">
                  <c:v>PRESENTE</c:v>
                </c:pt>
              </c:strCache>
            </c:strRef>
          </c:cat>
          <c:val>
            <c:numRef>
              <c:f>Consumo!$D$19:$D$26</c:f>
              <c:numCache>
                <c:formatCode>"$"\ #,##0</c:formatCode>
                <c:ptCount val="8"/>
                <c:pt idx="0">
                  <c:v>266600</c:v>
                </c:pt>
                <c:pt idx="1">
                  <c:v>63489.667370000003</c:v>
                </c:pt>
                <c:pt idx="2">
                  <c:v>55709.647361260002</c:v>
                </c:pt>
                <c:pt idx="3">
                  <c:v>37939.789820999998</c:v>
                </c:pt>
                <c:pt idx="4">
                  <c:v>35771.805007000003</c:v>
                </c:pt>
                <c:pt idx="5">
                  <c:v>18012.849729019999</c:v>
                </c:pt>
                <c:pt idx="6">
                  <c:v>11777.135308209999</c:v>
                </c:pt>
                <c:pt idx="7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06-4B1A-B1D5-AB131DF121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9980192"/>
        <c:axId val="1069972512"/>
      </c:barChart>
      <c:barChart>
        <c:barDir val="col"/>
        <c:grouping val="clustered"/>
        <c:varyColors val="0"/>
        <c:ser>
          <c:idx val="2"/>
          <c:order val="2"/>
          <c:tx>
            <c:strRef>
              <c:f>Consumo!$E$1</c:f>
              <c:strCache>
                <c:ptCount val="1"/>
                <c:pt idx="0">
                  <c:v>TPP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5.4298642533936649E-3"/>
                  <c:y val="0.14553472987872107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06-4B1A-B1D5-AB131DF12106}"/>
                </c:ext>
              </c:extLst>
            </c:dLbl>
            <c:dLbl>
              <c:idx val="1"/>
              <c:layout>
                <c:manualLayout>
                  <c:x val="-1.8099547511312218E-3"/>
                  <c:y val="0.14994487320837926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06-4B1A-B1D5-AB131DF12106}"/>
                </c:ext>
              </c:extLst>
            </c:dLbl>
            <c:dLbl>
              <c:idx val="2"/>
              <c:layout>
                <c:manualLayout>
                  <c:x val="-3.3182120448052106E-17"/>
                  <c:y val="0.14994487320837926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06-4B1A-B1D5-AB131DF12106}"/>
                </c:ext>
              </c:extLst>
            </c:dLbl>
            <c:dLbl>
              <c:idx val="3"/>
              <c:layout>
                <c:manualLayout>
                  <c:x val="-3.6199095022624436E-3"/>
                  <c:y val="0.15435501653803749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06-4B1A-B1D5-AB131DF12106}"/>
                </c:ext>
              </c:extLst>
            </c:dLbl>
            <c:dLbl>
              <c:idx val="4"/>
              <c:layout>
                <c:manualLayout>
                  <c:x val="6.6364240896104212E-17"/>
                  <c:y val="0.1455347298787209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06-4B1A-B1D5-AB131DF12106}"/>
                </c:ext>
              </c:extLst>
            </c:dLbl>
            <c:dLbl>
              <c:idx val="5"/>
              <c:layout>
                <c:manualLayout>
                  <c:x val="-1.8099547511312218E-3"/>
                  <c:y val="0.14994487320837926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06-4B1A-B1D5-AB131DF12106}"/>
                </c:ext>
              </c:extLst>
            </c:dLbl>
            <c:dLbl>
              <c:idx val="6"/>
              <c:layout>
                <c:manualLayout>
                  <c:x val="-1.3272848179220842E-16"/>
                  <c:y val="0.1543550165380373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506-4B1A-B1D5-AB131DF12106}"/>
                </c:ext>
              </c:extLst>
            </c:dLbl>
            <c:dLbl>
              <c:idx val="7"/>
              <c:layout>
                <c:manualLayout>
                  <c:x val="0"/>
                  <c:y val="0.1455347298787209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506-4B1A-B1D5-AB131DF12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Consumo!$B$19:$B$26</c:f>
              <c:strCache>
                <c:ptCount val="8"/>
                <c:pt idx="0">
                  <c:v>33 entidades</c:v>
                </c:pt>
                <c:pt idx="1">
                  <c:v>Banco de Bogota</c:v>
                </c:pt>
                <c:pt idx="2">
                  <c:v>Bancolombia</c:v>
                </c:pt>
                <c:pt idx="3">
                  <c:v>Davivienda</c:v>
                </c:pt>
                <c:pt idx="4">
                  <c:v>Falabella</c:v>
                </c:pt>
                <c:pt idx="5">
                  <c:v>BBVA</c:v>
                </c:pt>
                <c:pt idx="6">
                  <c:v>Lulo Bank</c:v>
                </c:pt>
                <c:pt idx="7">
                  <c:v>PRESENTE</c:v>
                </c:pt>
              </c:strCache>
            </c:strRef>
          </c:cat>
          <c:val>
            <c:numRef>
              <c:f>Consumo!$E$19:$E$26</c:f>
              <c:numCache>
                <c:formatCode>0.00%</c:formatCode>
                <c:ptCount val="8"/>
                <c:pt idx="0">
                  <c:v>0.23050000000000001</c:v>
                </c:pt>
                <c:pt idx="1">
                  <c:v>0.2427</c:v>
                </c:pt>
                <c:pt idx="2">
                  <c:v>0.22520000000000001</c:v>
                </c:pt>
                <c:pt idx="3">
                  <c:v>0.21310000000000001</c:v>
                </c:pt>
                <c:pt idx="4">
                  <c:v>0.2382</c:v>
                </c:pt>
                <c:pt idx="5">
                  <c:v>0.2452</c:v>
                </c:pt>
                <c:pt idx="6">
                  <c:v>0.21360000000000001</c:v>
                </c:pt>
                <c:pt idx="7">
                  <c:v>0.21379999999999999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06-4B1A-B1D5-AB131DF121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9493919"/>
        <c:axId val="649491999"/>
      </c:barChart>
      <c:catAx>
        <c:axId val="106998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9972512"/>
        <c:crosses val="autoZero"/>
        <c:auto val="1"/>
        <c:lblAlgn val="ctr"/>
        <c:lblOffset val="100"/>
        <c:noMultiLvlLbl val="0"/>
      </c:catAx>
      <c:valAx>
        <c:axId val="1069972512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069980192"/>
        <c:crosses val="autoZero"/>
        <c:crossBetween val="between"/>
      </c:valAx>
      <c:valAx>
        <c:axId val="649491999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649493919"/>
        <c:crosses val="max"/>
        <c:crossBetween val="between"/>
      </c:valAx>
      <c:catAx>
        <c:axId val="649493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9491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 &gt;6 SMMLV &lt;=12 SMMLV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1874108762833994E-2"/>
          <c:y val="0.12803267314588868"/>
          <c:w val="0.95989746726813763"/>
          <c:h val="0.60230916103899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Consumo!$C$1</c:f>
              <c:strCache>
                <c:ptCount val="1"/>
                <c:pt idx="0">
                  <c:v># DESEMBOLSOS Hasta 1 SMMLV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Consumo!$B$29:$B$37</c:f>
              <c:strCache>
                <c:ptCount val="9"/>
                <c:pt idx="0">
                  <c:v>32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de Bogota</c:v>
                </c:pt>
                <c:pt idx="4">
                  <c:v>Banco Falabella</c:v>
                </c:pt>
                <c:pt idx="5">
                  <c:v>BBVA</c:v>
                </c:pt>
                <c:pt idx="6">
                  <c:v>Lulo Bank</c:v>
                </c:pt>
                <c:pt idx="7">
                  <c:v>Banco Caja Social</c:v>
                </c:pt>
                <c:pt idx="8">
                  <c:v>PRESENTE</c:v>
                </c:pt>
              </c:strCache>
            </c:strRef>
          </c:cat>
          <c:val>
            <c:numRef>
              <c:f>Consumo!$C$29:$C$37</c:f>
              <c:numCache>
                <c:formatCode>_-* #,##0_-;\-* #,##0_-;_-* "-"??_-;_-@_-</c:formatCode>
                <c:ptCount val="9"/>
                <c:pt idx="0">
                  <c:v>42609</c:v>
                </c:pt>
                <c:pt idx="1">
                  <c:v>9268</c:v>
                </c:pt>
                <c:pt idx="2">
                  <c:v>8150</c:v>
                </c:pt>
                <c:pt idx="3">
                  <c:v>6507</c:v>
                </c:pt>
                <c:pt idx="4">
                  <c:v>5594</c:v>
                </c:pt>
                <c:pt idx="5">
                  <c:v>3604</c:v>
                </c:pt>
                <c:pt idx="6">
                  <c:v>1791</c:v>
                </c:pt>
                <c:pt idx="7">
                  <c:v>1578</c:v>
                </c:pt>
                <c:pt idx="8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B-4F14-9A50-383C67383424}"/>
            </c:ext>
          </c:extLst>
        </c:ser>
        <c:ser>
          <c:idx val="1"/>
          <c:order val="1"/>
          <c:tx>
            <c:strRef>
              <c:f>Consumo!$D$1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Consumo!$B$29:$B$37</c:f>
              <c:strCache>
                <c:ptCount val="9"/>
                <c:pt idx="0">
                  <c:v>32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de Bogota</c:v>
                </c:pt>
                <c:pt idx="4">
                  <c:v>Banco Falabella</c:v>
                </c:pt>
                <c:pt idx="5">
                  <c:v>BBVA</c:v>
                </c:pt>
                <c:pt idx="6">
                  <c:v>Lulo Bank</c:v>
                </c:pt>
                <c:pt idx="7">
                  <c:v>Banco Caja Social</c:v>
                </c:pt>
                <c:pt idx="8">
                  <c:v>PRESENTE</c:v>
                </c:pt>
              </c:strCache>
            </c:strRef>
          </c:cat>
          <c:val>
            <c:numRef>
              <c:f>Consumo!$D$29:$D$37</c:f>
              <c:numCache>
                <c:formatCode>"$"\ #,##0</c:formatCode>
                <c:ptCount val="9"/>
                <c:pt idx="0">
                  <c:v>506650</c:v>
                </c:pt>
                <c:pt idx="1">
                  <c:v>111051.34299124</c:v>
                </c:pt>
                <c:pt idx="2">
                  <c:v>102338.58885099999</c:v>
                </c:pt>
                <c:pt idx="3">
                  <c:v>76955.254180999997</c:v>
                </c:pt>
                <c:pt idx="4">
                  <c:v>59129.113824</c:v>
                </c:pt>
                <c:pt idx="5">
                  <c:v>42480.756527449994</c:v>
                </c:pt>
                <c:pt idx="6">
                  <c:v>21361.98042697</c:v>
                </c:pt>
                <c:pt idx="7">
                  <c:v>18753.8</c:v>
                </c:pt>
                <c:pt idx="8">
                  <c:v>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AB-4F14-9A50-383C673834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9980192"/>
        <c:axId val="1069972512"/>
      </c:barChart>
      <c:barChart>
        <c:barDir val="col"/>
        <c:grouping val="clustered"/>
        <c:varyColors val="0"/>
        <c:ser>
          <c:idx val="2"/>
          <c:order val="2"/>
          <c:tx>
            <c:strRef>
              <c:f>Consumo!$E$1</c:f>
              <c:strCache>
                <c:ptCount val="1"/>
                <c:pt idx="0">
                  <c:v>TPP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0.1502762430939226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AB-4F14-9A50-383C67383424}"/>
                </c:ext>
              </c:extLst>
            </c:dLbl>
            <c:dLbl>
              <c:idx val="1"/>
              <c:layout>
                <c:manualLayout>
                  <c:x val="0"/>
                  <c:y val="0.14585635359116023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AB-4F14-9A50-383C67383424}"/>
                </c:ext>
              </c:extLst>
            </c:dLbl>
            <c:dLbl>
              <c:idx val="2"/>
              <c:layout>
                <c:manualLayout>
                  <c:x val="-3.3152118530829635E-17"/>
                  <c:y val="0.1635359116022099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AB-4F14-9A50-383C67383424}"/>
                </c:ext>
              </c:extLst>
            </c:dLbl>
            <c:dLbl>
              <c:idx val="3"/>
              <c:layout>
                <c:manualLayout>
                  <c:x val="0"/>
                  <c:y val="0.14585635359116023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AB-4F14-9A50-383C67383424}"/>
                </c:ext>
              </c:extLst>
            </c:dLbl>
            <c:dLbl>
              <c:idx val="4"/>
              <c:layout>
                <c:manualLayout>
                  <c:x val="0"/>
                  <c:y val="0.1370165745856353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EAB-4F14-9A50-383C67383424}"/>
                </c:ext>
              </c:extLst>
            </c:dLbl>
            <c:dLbl>
              <c:idx val="5"/>
              <c:layout>
                <c:manualLayout>
                  <c:x val="0"/>
                  <c:y val="0.14585635359116023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AB-4F14-9A50-383C67383424}"/>
                </c:ext>
              </c:extLst>
            </c:dLbl>
            <c:dLbl>
              <c:idx val="6"/>
              <c:layout>
                <c:manualLayout>
                  <c:x val="5.4249547920433997E-3"/>
                  <c:y val="0.1988950276243092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EAB-4F14-9A50-383C67383424}"/>
                </c:ext>
              </c:extLst>
            </c:dLbl>
            <c:dLbl>
              <c:idx val="7"/>
              <c:layout>
                <c:manualLayout>
                  <c:x val="3.6166365280288003E-3"/>
                  <c:y val="0.15469613259668508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EAB-4F14-9A50-383C67383424}"/>
                </c:ext>
              </c:extLst>
            </c:dLbl>
            <c:dLbl>
              <c:idx val="8"/>
              <c:layout>
                <c:manualLayout>
                  <c:x val="0"/>
                  <c:y val="0.1502762430939226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AB-4F14-9A50-383C673834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Consumo!$B$29:$B$37</c:f>
              <c:strCache>
                <c:ptCount val="9"/>
                <c:pt idx="0">
                  <c:v>32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de Bogota</c:v>
                </c:pt>
                <c:pt idx="4">
                  <c:v>Banco Falabella</c:v>
                </c:pt>
                <c:pt idx="5">
                  <c:v>BBVA</c:v>
                </c:pt>
                <c:pt idx="6">
                  <c:v>Lulo Bank</c:v>
                </c:pt>
                <c:pt idx="7">
                  <c:v>Banco Caja Social</c:v>
                </c:pt>
                <c:pt idx="8">
                  <c:v>PRESENTE</c:v>
                </c:pt>
              </c:strCache>
            </c:strRef>
          </c:cat>
          <c:val>
            <c:numRef>
              <c:f>Consumo!$E$29:$E$37</c:f>
              <c:numCache>
                <c:formatCode>0.00%</c:formatCode>
                <c:ptCount val="9"/>
                <c:pt idx="0">
                  <c:v>0.22309999999999999</c:v>
                </c:pt>
                <c:pt idx="1">
                  <c:v>0.21609999999999999</c:v>
                </c:pt>
                <c:pt idx="2">
                  <c:v>0.21820000000000001</c:v>
                </c:pt>
                <c:pt idx="3">
                  <c:v>0.23719999999999999</c:v>
                </c:pt>
                <c:pt idx="4">
                  <c:v>0.23400000000000001</c:v>
                </c:pt>
                <c:pt idx="5">
                  <c:v>0.2429</c:v>
                </c:pt>
                <c:pt idx="6">
                  <c:v>0.20519999999999999</c:v>
                </c:pt>
                <c:pt idx="7">
                  <c:v>0.2319</c:v>
                </c:pt>
                <c:pt idx="8">
                  <c:v>0.2114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AB-4F14-9A50-383C673834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9493919"/>
        <c:axId val="649491999"/>
      </c:barChart>
      <c:catAx>
        <c:axId val="106998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9972512"/>
        <c:crosses val="autoZero"/>
        <c:auto val="1"/>
        <c:lblAlgn val="ctr"/>
        <c:lblOffset val="100"/>
        <c:noMultiLvlLbl val="0"/>
      </c:catAx>
      <c:valAx>
        <c:axId val="1069972512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069980192"/>
        <c:crosses val="autoZero"/>
        <c:crossBetween val="between"/>
      </c:valAx>
      <c:valAx>
        <c:axId val="649491999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649493919"/>
        <c:crosses val="max"/>
        <c:crossBetween val="between"/>
      </c:valAx>
      <c:catAx>
        <c:axId val="649493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9491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&gt;12 SMMLV &lt;=25 SMMLV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1874108762833994E-2"/>
          <c:y val="0.12803267314588868"/>
          <c:w val="0.95989746726813763"/>
          <c:h val="0.60230916103899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Consumo!$C$1</c:f>
              <c:strCache>
                <c:ptCount val="1"/>
                <c:pt idx="0">
                  <c:v># DESEMBOLSOS Hasta 1 SMMLV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Consumo!$B$40:$B$47</c:f>
              <c:strCache>
                <c:ptCount val="8"/>
                <c:pt idx="0">
                  <c:v>32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de Bogota</c:v>
                </c:pt>
                <c:pt idx="4">
                  <c:v>BBVA</c:v>
                </c:pt>
                <c:pt idx="5">
                  <c:v>Banco Falabella</c:v>
                </c:pt>
                <c:pt idx="6">
                  <c:v>JFK</c:v>
                </c:pt>
                <c:pt idx="7">
                  <c:v>PRESENTE</c:v>
                </c:pt>
              </c:strCache>
            </c:strRef>
          </c:cat>
          <c:val>
            <c:numRef>
              <c:f>Consumo!$C$40:$C$47</c:f>
              <c:numCache>
                <c:formatCode>_-* #,##0_-;\-* #,##0_-;_-* "-"??_-;_-@_-</c:formatCode>
                <c:ptCount val="8"/>
                <c:pt idx="0">
                  <c:v>27427</c:v>
                </c:pt>
                <c:pt idx="1">
                  <c:v>7004</c:v>
                </c:pt>
                <c:pt idx="2">
                  <c:v>6790</c:v>
                </c:pt>
                <c:pt idx="3">
                  <c:v>3254</c:v>
                </c:pt>
                <c:pt idx="4">
                  <c:v>2549</c:v>
                </c:pt>
                <c:pt idx="5">
                  <c:v>1566</c:v>
                </c:pt>
                <c:pt idx="6">
                  <c:v>1048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B-4814-B7E7-D7302744CC90}"/>
            </c:ext>
          </c:extLst>
        </c:ser>
        <c:ser>
          <c:idx val="1"/>
          <c:order val="1"/>
          <c:tx>
            <c:strRef>
              <c:f>Consumo!$D$1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Consumo!$B$40:$B$47</c:f>
              <c:strCache>
                <c:ptCount val="8"/>
                <c:pt idx="0">
                  <c:v>32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de Bogota</c:v>
                </c:pt>
                <c:pt idx="4">
                  <c:v>BBVA</c:v>
                </c:pt>
                <c:pt idx="5">
                  <c:v>Banco Falabella</c:v>
                </c:pt>
                <c:pt idx="6">
                  <c:v>JFK</c:v>
                </c:pt>
                <c:pt idx="7">
                  <c:v>PRESENTE</c:v>
                </c:pt>
              </c:strCache>
            </c:strRef>
          </c:cat>
          <c:val>
            <c:numRef>
              <c:f>Consumo!$D$40:$D$47</c:f>
              <c:numCache>
                <c:formatCode>"$"\ #,##0</c:formatCode>
                <c:ptCount val="8"/>
                <c:pt idx="0">
                  <c:v>673130</c:v>
                </c:pt>
                <c:pt idx="1">
                  <c:v>174278.55108866</c:v>
                </c:pt>
                <c:pt idx="2">
                  <c:v>167536.87223099999</c:v>
                </c:pt>
                <c:pt idx="3">
                  <c:v>80693.848532000004</c:v>
                </c:pt>
                <c:pt idx="4">
                  <c:v>62574.858076459997</c:v>
                </c:pt>
                <c:pt idx="5">
                  <c:v>38204.788568000004</c:v>
                </c:pt>
                <c:pt idx="6">
                  <c:v>25401.479522000001</c:v>
                </c:pt>
                <c:pt idx="7">
                  <c:v>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B-4814-B7E7-D7302744C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9980192"/>
        <c:axId val="1069972512"/>
      </c:barChart>
      <c:barChart>
        <c:barDir val="col"/>
        <c:grouping val="clustered"/>
        <c:varyColors val="0"/>
        <c:ser>
          <c:idx val="2"/>
          <c:order val="2"/>
          <c:tx>
            <c:strRef>
              <c:f>Consumo!$E$1</c:f>
              <c:strCache>
                <c:ptCount val="1"/>
                <c:pt idx="0">
                  <c:v>TPP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8.2880296327074088E-18"/>
                  <c:y val="0.14569536423841059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2B-4814-B7E7-D7302744CC90}"/>
                </c:ext>
              </c:extLst>
            </c:dLbl>
            <c:dLbl>
              <c:idx val="1"/>
              <c:layout>
                <c:manualLayout>
                  <c:x val="5.4249547920433667E-3"/>
                  <c:y val="0.14569536423841059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2B-4814-B7E7-D7302744CC90}"/>
                </c:ext>
              </c:extLst>
            </c:dLbl>
            <c:dLbl>
              <c:idx val="2"/>
              <c:layout>
                <c:manualLayout>
                  <c:x val="1.8083182640144997E-3"/>
                  <c:y val="0.14569536423841059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2B-4814-B7E7-D7302744CC90}"/>
                </c:ext>
              </c:extLst>
            </c:dLbl>
            <c:dLbl>
              <c:idx val="3"/>
              <c:layout>
                <c:manualLayout>
                  <c:x val="-1.8083182640144665E-3"/>
                  <c:y val="0.141280353200883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2B-4814-B7E7-D7302744CC90}"/>
                </c:ext>
              </c:extLst>
            </c:dLbl>
            <c:dLbl>
              <c:idx val="4"/>
              <c:layout>
                <c:manualLayout>
                  <c:x val="1.8083182640144665E-3"/>
                  <c:y val="0.1324503311258278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2B-4814-B7E7-D7302744CC90}"/>
                </c:ext>
              </c:extLst>
            </c:dLbl>
            <c:dLbl>
              <c:idx val="5"/>
              <c:layout>
                <c:manualLayout>
                  <c:x val="-1.3260847412331854E-16"/>
                  <c:y val="0.14569536423841059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2B-4814-B7E7-D7302744CC90}"/>
                </c:ext>
              </c:extLst>
            </c:dLbl>
            <c:dLbl>
              <c:idx val="6"/>
              <c:layout>
                <c:manualLayout>
                  <c:x val="3.6166365280288003E-3"/>
                  <c:y val="0.13686534216335541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2B-4814-B7E7-D7302744CC90}"/>
                </c:ext>
              </c:extLst>
            </c:dLbl>
            <c:dLbl>
              <c:idx val="7"/>
              <c:layout>
                <c:manualLayout>
                  <c:x val="3.616636528028933E-3"/>
                  <c:y val="0.15011037527593818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2B-4814-B7E7-D7302744C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Consumo!$B$40:$B$47</c:f>
              <c:strCache>
                <c:ptCount val="8"/>
                <c:pt idx="0">
                  <c:v>32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de Bogota</c:v>
                </c:pt>
                <c:pt idx="4">
                  <c:v>BBVA</c:v>
                </c:pt>
                <c:pt idx="5">
                  <c:v>Banco Falabella</c:v>
                </c:pt>
                <c:pt idx="6">
                  <c:v>JFK</c:v>
                </c:pt>
                <c:pt idx="7">
                  <c:v>PRESENTE</c:v>
                </c:pt>
              </c:strCache>
            </c:strRef>
          </c:cat>
          <c:val>
            <c:numRef>
              <c:f>Consumo!$E$40:$E$47</c:f>
              <c:numCache>
                <c:formatCode>0.00%</c:formatCode>
                <c:ptCount val="8"/>
                <c:pt idx="0">
                  <c:v>0.21260000000000001</c:v>
                </c:pt>
                <c:pt idx="1">
                  <c:v>0.20710000000000001</c:v>
                </c:pt>
                <c:pt idx="2">
                  <c:v>0.21260000000000001</c:v>
                </c:pt>
                <c:pt idx="3">
                  <c:v>0.22389999999999999</c:v>
                </c:pt>
                <c:pt idx="4">
                  <c:v>0.23730000000000001</c:v>
                </c:pt>
                <c:pt idx="5">
                  <c:v>0.2127</c:v>
                </c:pt>
                <c:pt idx="6">
                  <c:v>0.20130000000000001</c:v>
                </c:pt>
                <c:pt idx="7">
                  <c:v>0.193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C2B-4814-B7E7-D7302744C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9493919"/>
        <c:axId val="649491999"/>
      </c:barChart>
      <c:catAx>
        <c:axId val="106998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9972512"/>
        <c:crosses val="autoZero"/>
        <c:auto val="1"/>
        <c:lblAlgn val="ctr"/>
        <c:lblOffset val="100"/>
        <c:noMultiLvlLbl val="0"/>
      </c:catAx>
      <c:valAx>
        <c:axId val="1069972512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069980192"/>
        <c:crosses val="autoZero"/>
        <c:crossBetween val="between"/>
      </c:valAx>
      <c:valAx>
        <c:axId val="649491999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649493919"/>
        <c:crosses val="max"/>
        <c:crossBetween val="between"/>
      </c:valAx>
      <c:catAx>
        <c:axId val="649493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9491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Todos los montos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1874108762833994E-2"/>
          <c:y val="0.12803267314588868"/>
          <c:w val="0.95989746726813763"/>
          <c:h val="0.60230916103899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Consumo!$C$1</c:f>
              <c:strCache>
                <c:ptCount val="1"/>
                <c:pt idx="0">
                  <c:v># DESEMBOLSOS Hasta 1 SMMLV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Consumo!$B$50:$B$59</c:f>
              <c:strCache>
                <c:ptCount val="10"/>
                <c:pt idx="0">
                  <c:v>34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de Bogota</c:v>
                </c:pt>
                <c:pt idx="4">
                  <c:v>BBVA</c:v>
                </c:pt>
                <c:pt idx="5">
                  <c:v>Banco Falabella</c:v>
                </c:pt>
                <c:pt idx="6">
                  <c:v>Scotiabank</c:v>
                </c:pt>
                <c:pt idx="7">
                  <c:v>Banco de Occidente</c:v>
                </c:pt>
                <c:pt idx="8">
                  <c:v>AV Villas</c:v>
                </c:pt>
                <c:pt idx="9">
                  <c:v>PRESENTE</c:v>
                </c:pt>
              </c:strCache>
            </c:strRef>
          </c:cat>
          <c:val>
            <c:numRef>
              <c:f>Consumo!$C$50:$C$59</c:f>
              <c:numCache>
                <c:formatCode>_-* #,##0_-;\-* #,##0_-;_-* "-"??_-;_-@_-</c:formatCode>
                <c:ptCount val="10"/>
                <c:pt idx="0">
                  <c:v>313737</c:v>
                </c:pt>
                <c:pt idx="1">
                  <c:v>116728</c:v>
                </c:pt>
                <c:pt idx="2">
                  <c:v>54181</c:v>
                </c:pt>
                <c:pt idx="3">
                  <c:v>40966</c:v>
                </c:pt>
                <c:pt idx="4">
                  <c:v>15676</c:v>
                </c:pt>
                <c:pt idx="5">
                  <c:v>20067</c:v>
                </c:pt>
                <c:pt idx="6" formatCode="#,##0">
                  <c:v>6953</c:v>
                </c:pt>
                <c:pt idx="7" formatCode="#,##0">
                  <c:v>2415</c:v>
                </c:pt>
                <c:pt idx="8">
                  <c:v>3503</c:v>
                </c:pt>
                <c:pt idx="9">
                  <c:v>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8-4F43-8BAB-177AB6F5818E}"/>
            </c:ext>
          </c:extLst>
        </c:ser>
        <c:ser>
          <c:idx val="1"/>
          <c:order val="1"/>
          <c:tx>
            <c:strRef>
              <c:f>Consumo!$D$1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Consumo!$B$50:$B$59</c:f>
              <c:strCache>
                <c:ptCount val="10"/>
                <c:pt idx="0">
                  <c:v>34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de Bogota</c:v>
                </c:pt>
                <c:pt idx="4">
                  <c:v>BBVA</c:v>
                </c:pt>
                <c:pt idx="5">
                  <c:v>Banco Falabella</c:v>
                </c:pt>
                <c:pt idx="6">
                  <c:v>Scotiabank</c:v>
                </c:pt>
                <c:pt idx="7">
                  <c:v>Banco de Occidente</c:v>
                </c:pt>
                <c:pt idx="8">
                  <c:v>AV Villas</c:v>
                </c:pt>
                <c:pt idx="9">
                  <c:v>PRESENTE</c:v>
                </c:pt>
              </c:strCache>
            </c:strRef>
          </c:cat>
          <c:val>
            <c:numRef>
              <c:f>Consumo!$D$50:$D$59</c:f>
              <c:numCache>
                <c:formatCode>"$"\ #,##0</c:formatCode>
                <c:ptCount val="10"/>
                <c:pt idx="0">
                  <c:v>3420000</c:v>
                </c:pt>
                <c:pt idx="1">
                  <c:v>996314</c:v>
                </c:pt>
                <c:pt idx="2">
                  <c:v>558904</c:v>
                </c:pt>
                <c:pt idx="3">
                  <c:v>488165</c:v>
                </c:pt>
                <c:pt idx="4">
                  <c:v>244693</c:v>
                </c:pt>
                <c:pt idx="5">
                  <c:v>189954</c:v>
                </c:pt>
                <c:pt idx="6">
                  <c:v>178629</c:v>
                </c:pt>
                <c:pt idx="7">
                  <c:v>154328</c:v>
                </c:pt>
                <c:pt idx="8">
                  <c:v>129450</c:v>
                </c:pt>
                <c:pt idx="9">
                  <c:v>4790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8-4F43-8BAB-177AB6F581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9980192"/>
        <c:axId val="1069972512"/>
      </c:barChart>
      <c:barChart>
        <c:barDir val="col"/>
        <c:grouping val="clustered"/>
        <c:varyColors val="0"/>
        <c:ser>
          <c:idx val="2"/>
          <c:order val="2"/>
          <c:tx>
            <c:strRef>
              <c:f>Consumo!$E$1</c:f>
              <c:strCache>
                <c:ptCount val="1"/>
                <c:pt idx="0">
                  <c:v>TPP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8.2955301120130265E-18"/>
                  <c:y val="0.14553472987872107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58-4F43-8BAB-177AB6F5818E}"/>
                </c:ext>
              </c:extLst>
            </c:dLbl>
            <c:dLbl>
              <c:idx val="1"/>
              <c:layout>
                <c:manualLayout>
                  <c:x val="-3.3182120448052106E-17"/>
                  <c:y val="0.14553472987872107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58-4F43-8BAB-177AB6F5818E}"/>
                </c:ext>
              </c:extLst>
            </c:dLbl>
            <c:dLbl>
              <c:idx val="2"/>
              <c:layout>
                <c:manualLayout>
                  <c:x val="0"/>
                  <c:y val="0.1411245865490628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A58-4F43-8BAB-177AB6F5818E}"/>
                </c:ext>
              </c:extLst>
            </c:dLbl>
            <c:dLbl>
              <c:idx val="3"/>
              <c:layout>
                <c:manualLayout>
                  <c:x val="1.8099547511312218E-3"/>
                  <c:y val="0.14553472987872107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58-4F43-8BAB-177AB6F5818E}"/>
                </c:ext>
              </c:extLst>
            </c:dLbl>
            <c:dLbl>
              <c:idx val="4"/>
              <c:layout>
                <c:manualLayout>
                  <c:x val="-6.6364240896104212E-17"/>
                  <c:y val="0.1411245865490628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A58-4F43-8BAB-177AB6F5818E}"/>
                </c:ext>
              </c:extLst>
            </c:dLbl>
            <c:dLbl>
              <c:idx val="5"/>
              <c:layout>
                <c:manualLayout>
                  <c:x val="-6.6364240896104212E-17"/>
                  <c:y val="0.1411245865490628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58-4F43-8BAB-177AB6F5818E}"/>
                </c:ext>
              </c:extLst>
            </c:dLbl>
            <c:dLbl>
              <c:idx val="6"/>
              <c:layout>
                <c:manualLayout>
                  <c:x val="-7.2373992599637366E-3"/>
                  <c:y val="0.15345294952884977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A58-4F43-8BAB-177AB6F5818E}"/>
                </c:ext>
              </c:extLst>
            </c:dLbl>
            <c:dLbl>
              <c:idx val="8"/>
              <c:layout>
                <c:manualLayout>
                  <c:x val="0"/>
                  <c:y val="0.1367144432194046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A58-4F43-8BAB-177AB6F5818E}"/>
                </c:ext>
              </c:extLst>
            </c:dLbl>
            <c:dLbl>
              <c:idx val="9"/>
              <c:layout>
                <c:manualLayout>
                  <c:x val="0"/>
                  <c:y val="0.1587651598676958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CE-467C-8AF1-623572E03D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Consumo!$B$50:$B$59</c:f>
              <c:strCache>
                <c:ptCount val="10"/>
                <c:pt idx="0">
                  <c:v>34 entidades</c:v>
                </c:pt>
                <c:pt idx="1">
                  <c:v>Bancolombia</c:v>
                </c:pt>
                <c:pt idx="2">
                  <c:v>Davivienda</c:v>
                </c:pt>
                <c:pt idx="3">
                  <c:v>Banco de Bogota</c:v>
                </c:pt>
                <c:pt idx="4">
                  <c:v>BBVA</c:v>
                </c:pt>
                <c:pt idx="5">
                  <c:v>Banco Falabella</c:v>
                </c:pt>
                <c:pt idx="6">
                  <c:v>Scotiabank</c:v>
                </c:pt>
                <c:pt idx="7">
                  <c:v>Banco de Occidente</c:v>
                </c:pt>
                <c:pt idx="8">
                  <c:v>AV Villas</c:v>
                </c:pt>
                <c:pt idx="9">
                  <c:v>PRESENTE</c:v>
                </c:pt>
              </c:strCache>
            </c:strRef>
          </c:cat>
          <c:val>
            <c:numRef>
              <c:f>Consumo!$E$50:$E$59</c:f>
              <c:numCache>
                <c:formatCode>0.00%</c:formatCode>
                <c:ptCount val="10"/>
                <c:pt idx="0">
                  <c:v>0.21690000000000001</c:v>
                </c:pt>
                <c:pt idx="1">
                  <c:v>0.23130000000000001</c:v>
                </c:pt>
                <c:pt idx="2">
                  <c:v>0.22120000000000001</c:v>
                </c:pt>
                <c:pt idx="3">
                  <c:v>0.20630000000000001</c:v>
                </c:pt>
                <c:pt idx="4">
                  <c:v>0.23230000000000001</c:v>
                </c:pt>
                <c:pt idx="5">
                  <c:v>0.22209999999999999</c:v>
                </c:pt>
                <c:pt idx="6">
                  <c:v>0.20949999999999999</c:v>
                </c:pt>
                <c:pt idx="7">
                  <c:v>0.1845</c:v>
                </c:pt>
                <c:pt idx="8">
                  <c:v>0.17760000000000001</c:v>
                </c:pt>
                <c:pt idx="9">
                  <c:v>0.19339999999999999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58-4F43-8BAB-177AB6F581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9493919"/>
        <c:axId val="649491999"/>
      </c:barChart>
      <c:catAx>
        <c:axId val="106998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9972512"/>
        <c:crosses val="autoZero"/>
        <c:auto val="1"/>
        <c:lblAlgn val="ctr"/>
        <c:lblOffset val="100"/>
        <c:noMultiLvlLbl val="0"/>
      </c:catAx>
      <c:valAx>
        <c:axId val="1069972512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069980192"/>
        <c:crosses val="autoZero"/>
        <c:crossBetween val="between"/>
      </c:valAx>
      <c:valAx>
        <c:axId val="649491999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649493919"/>
        <c:crosses val="max"/>
        <c:crossBetween val="between"/>
      </c:valAx>
      <c:catAx>
        <c:axId val="649493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9491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Compra vivienda NO</a:t>
            </a:r>
            <a:r>
              <a:rPr lang="es-CO" baseline="0"/>
              <a:t> VIS -</a:t>
            </a:r>
            <a:r>
              <a:rPr lang="es-CO"/>
              <a:t> UVR</a:t>
            </a:r>
            <a:r>
              <a:rPr lang="es-CO" baseline="0"/>
              <a:t> - </a:t>
            </a:r>
            <a:r>
              <a:rPr lang="es-CO"/>
              <a:t>20 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Vivienda!$M$22</c:f>
              <c:strCache>
                <c:ptCount val="1"/>
                <c:pt idx="0">
                  <c:v># DESEMBOLSOS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Vivienda!$L$23:$L$29</c:f>
              <c:strCache>
                <c:ptCount val="6"/>
                <c:pt idx="0">
                  <c:v>9 entidades</c:v>
                </c:pt>
                <c:pt idx="1">
                  <c:v>Bancolombia</c:v>
                </c:pt>
                <c:pt idx="2">
                  <c:v>BBVA Colombia</c:v>
                </c:pt>
                <c:pt idx="3">
                  <c:v>Banco Caja Social S.A.</c:v>
                </c:pt>
                <c:pt idx="4">
                  <c:v>Fondo Nacional del Ahorro</c:v>
                </c:pt>
                <c:pt idx="5">
                  <c:v>PRESENTE</c:v>
                </c:pt>
              </c:strCache>
            </c:strRef>
          </c:cat>
          <c:val>
            <c:numRef>
              <c:f>Vivienda!$M$23:$M$29</c:f>
              <c:numCache>
                <c:formatCode>_-* #,##0_-;\-* #,##0_-;_-* "-"??_-;_-@_-</c:formatCode>
                <c:ptCount val="7"/>
                <c:pt idx="0">
                  <c:v>108</c:v>
                </c:pt>
                <c:pt idx="1">
                  <c:v>41</c:v>
                </c:pt>
                <c:pt idx="2">
                  <c:v>25</c:v>
                </c:pt>
                <c:pt idx="3">
                  <c:v>18</c:v>
                </c:pt>
                <c:pt idx="4">
                  <c:v>7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D-489A-B695-56F242D643F6}"/>
            </c:ext>
          </c:extLst>
        </c:ser>
        <c:ser>
          <c:idx val="1"/>
          <c:order val="1"/>
          <c:tx>
            <c:strRef>
              <c:f>Vivienda!$N$22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Vivienda!$L$23:$L$29</c:f>
              <c:strCache>
                <c:ptCount val="6"/>
                <c:pt idx="0">
                  <c:v>9 entidades</c:v>
                </c:pt>
                <c:pt idx="1">
                  <c:v>Bancolombia</c:v>
                </c:pt>
                <c:pt idx="2">
                  <c:v>BBVA Colombia</c:v>
                </c:pt>
                <c:pt idx="3">
                  <c:v>Banco Caja Social S.A.</c:v>
                </c:pt>
                <c:pt idx="4">
                  <c:v>Fondo Nacional del Ahorro</c:v>
                </c:pt>
                <c:pt idx="5">
                  <c:v>PRESENTE</c:v>
                </c:pt>
              </c:strCache>
            </c:strRef>
          </c:cat>
          <c:val>
            <c:numRef>
              <c:f>Vivienda!$N$23:$N$29</c:f>
              <c:numCache>
                <c:formatCode>"$"\ #,##0</c:formatCode>
                <c:ptCount val="7"/>
                <c:pt idx="0">
                  <c:v>22670</c:v>
                </c:pt>
                <c:pt idx="1">
                  <c:v>9841.5824373700016</c:v>
                </c:pt>
                <c:pt idx="2">
                  <c:v>4909.9303300000001</c:v>
                </c:pt>
                <c:pt idx="3">
                  <c:v>3053.3663539999998</c:v>
                </c:pt>
                <c:pt idx="4">
                  <c:v>1588.375644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D-489A-B695-56F242D643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93419376"/>
        <c:axId val="393420816"/>
      </c:barChart>
      <c:lineChart>
        <c:grouping val="standard"/>
        <c:varyColors val="0"/>
        <c:ser>
          <c:idx val="2"/>
          <c:order val="2"/>
          <c:tx>
            <c:strRef>
              <c:f>Vivienda!$O$22</c:f>
              <c:strCache>
                <c:ptCount val="1"/>
                <c:pt idx="0">
                  <c:v>TPP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Vivienda!$L$23:$L$29</c:f>
              <c:strCache>
                <c:ptCount val="6"/>
                <c:pt idx="0">
                  <c:v>9 entidades</c:v>
                </c:pt>
                <c:pt idx="1">
                  <c:v>Bancolombia</c:v>
                </c:pt>
                <c:pt idx="2">
                  <c:v>BBVA Colombia</c:v>
                </c:pt>
                <c:pt idx="3">
                  <c:v>Banco Caja Social S.A.</c:v>
                </c:pt>
                <c:pt idx="4">
                  <c:v>Fondo Nacional del Ahorro</c:v>
                </c:pt>
                <c:pt idx="5">
                  <c:v>PRESENTE</c:v>
                </c:pt>
              </c:strCache>
            </c:strRef>
          </c:cat>
          <c:val>
            <c:numRef>
              <c:f>Vivienda!$O$23:$O$29</c:f>
              <c:numCache>
                <c:formatCode>0.00%</c:formatCode>
                <c:ptCount val="7"/>
                <c:pt idx="0">
                  <c:v>0.1331</c:v>
                </c:pt>
                <c:pt idx="1">
                  <c:v>0.1401</c:v>
                </c:pt>
                <c:pt idx="2">
                  <c:v>0.12590000000000001</c:v>
                </c:pt>
                <c:pt idx="3">
                  <c:v>0.1263</c:v>
                </c:pt>
                <c:pt idx="4">
                  <c:v>0.1308</c:v>
                </c:pt>
                <c:pt idx="5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9D-489A-B695-56F242D643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2251984"/>
        <c:axId val="232256784"/>
      </c:lineChart>
      <c:catAx>
        <c:axId val="3934193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3420816"/>
        <c:crosses val="autoZero"/>
        <c:auto val="1"/>
        <c:lblAlgn val="ctr"/>
        <c:lblOffset val="100"/>
        <c:noMultiLvlLbl val="0"/>
      </c:catAx>
      <c:valAx>
        <c:axId val="393420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baseline="0">
                    <a:effectLst/>
                  </a:rPr>
                  <a:t>Monto de colocación</a:t>
                </a:r>
                <a:endParaRPr lang="es-CO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3419376"/>
        <c:crosses val="autoZero"/>
        <c:crossBetween val="between"/>
      </c:valAx>
      <c:valAx>
        <c:axId val="2322567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baseline="0">
                    <a:effectLst/>
                  </a:rPr>
                  <a:t>Tasa promedio colocación</a:t>
                </a:r>
                <a:endParaRPr lang="es-CO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2251984"/>
        <c:crosses val="max"/>
        <c:crossBetween val="between"/>
      </c:valAx>
      <c:catAx>
        <c:axId val="232251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2256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Compra vivienda NO</a:t>
            </a:r>
            <a:r>
              <a:rPr lang="es-CO" baseline="0"/>
              <a:t> VIS -</a:t>
            </a:r>
            <a:r>
              <a:rPr lang="es-CO"/>
              <a:t> Pesos</a:t>
            </a:r>
            <a:r>
              <a:rPr lang="es-CO" baseline="0"/>
              <a:t> - superior </a:t>
            </a:r>
            <a:r>
              <a:rPr lang="es-CO"/>
              <a:t>20 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415482169532923"/>
          <c:y val="0.15514258980513404"/>
          <c:w val="0.78744988624736201"/>
          <c:h val="0.563883975428176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Vivienda!$D$33</c:f>
              <c:strCache>
                <c:ptCount val="1"/>
                <c:pt idx="0">
                  <c:v># DESEMBOLSOS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Vivienda!$C$34:$C$38</c:f>
              <c:strCache>
                <c:ptCount val="4"/>
                <c:pt idx="0">
                  <c:v>5 entidades</c:v>
                </c:pt>
                <c:pt idx="1">
                  <c:v>Banco Davibank</c:v>
                </c:pt>
                <c:pt idx="2">
                  <c:v>Scotiabank Colpatria S.A.</c:v>
                </c:pt>
                <c:pt idx="3">
                  <c:v>PRESENTE</c:v>
                </c:pt>
              </c:strCache>
            </c:strRef>
          </c:cat>
          <c:val>
            <c:numRef>
              <c:f>Vivienda!$D$34:$D$38</c:f>
              <c:numCache>
                <c:formatCode>_-* #,##0_-;\-* #,##0_-;_-* "-"??_-;_-@_-</c:formatCode>
                <c:ptCount val="5"/>
                <c:pt idx="0">
                  <c:v>17</c:v>
                </c:pt>
                <c:pt idx="1">
                  <c:v>7</c:v>
                </c:pt>
                <c:pt idx="2">
                  <c:v>7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7-4610-AE4B-1359B8107922}"/>
            </c:ext>
          </c:extLst>
        </c:ser>
        <c:ser>
          <c:idx val="1"/>
          <c:order val="1"/>
          <c:tx>
            <c:strRef>
              <c:f>Vivienda!$E$33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Vivienda!$C$34:$C$38</c:f>
              <c:strCache>
                <c:ptCount val="4"/>
                <c:pt idx="0">
                  <c:v>5 entidades</c:v>
                </c:pt>
                <c:pt idx="1">
                  <c:v>Banco Davibank</c:v>
                </c:pt>
                <c:pt idx="2">
                  <c:v>Scotiabank Colpatria S.A.</c:v>
                </c:pt>
                <c:pt idx="3">
                  <c:v>PRESENTE</c:v>
                </c:pt>
              </c:strCache>
            </c:strRef>
          </c:cat>
          <c:val>
            <c:numRef>
              <c:f>Vivienda!$E$34:$E$38</c:f>
              <c:numCache>
                <c:formatCode>"$"\ #,##0</c:formatCode>
                <c:ptCount val="5"/>
                <c:pt idx="0">
                  <c:v>5840</c:v>
                </c:pt>
                <c:pt idx="1">
                  <c:v>2579.9409569999998</c:v>
                </c:pt>
                <c:pt idx="2">
                  <c:v>2579.9409569999998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7-4610-AE4B-1359B81079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23668784"/>
        <c:axId val="323672624"/>
      </c:barChart>
      <c:lineChart>
        <c:grouping val="standard"/>
        <c:varyColors val="0"/>
        <c:ser>
          <c:idx val="2"/>
          <c:order val="2"/>
          <c:tx>
            <c:strRef>
              <c:f>Vivienda!$F$33</c:f>
              <c:strCache>
                <c:ptCount val="1"/>
                <c:pt idx="0">
                  <c:v>TPP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2.4509277308256045E-2"/>
                  <c:y val="4.5466010333184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03-4259-BA39-09325045C9F4}"/>
                </c:ext>
              </c:extLst>
            </c:dLbl>
            <c:dLbl>
              <c:idx val="1"/>
              <c:layout>
                <c:manualLayout>
                  <c:x val="0"/>
                  <c:y val="-5.3732557666490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03-4259-BA39-09325045C9F4}"/>
                </c:ext>
              </c:extLst>
            </c:dLbl>
            <c:dLbl>
              <c:idx val="2"/>
              <c:layout>
                <c:manualLayout>
                  <c:x val="0"/>
                  <c:y val="-4.13327366665310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03-4259-BA39-09325045C9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Vivienda!$C$34:$C$38</c:f>
              <c:strCache>
                <c:ptCount val="4"/>
                <c:pt idx="0">
                  <c:v>5 entidades</c:v>
                </c:pt>
                <c:pt idx="1">
                  <c:v>Banco Davibank</c:v>
                </c:pt>
                <c:pt idx="2">
                  <c:v>Scotiabank Colpatria S.A.</c:v>
                </c:pt>
                <c:pt idx="3">
                  <c:v>PRESENTE</c:v>
                </c:pt>
              </c:strCache>
            </c:strRef>
          </c:cat>
          <c:val>
            <c:numRef>
              <c:f>Vivienda!$F$34:$F$38</c:f>
              <c:numCache>
                <c:formatCode>0.00%</c:formatCode>
                <c:ptCount val="5"/>
                <c:pt idx="0">
                  <c:v>0.1237</c:v>
                </c:pt>
                <c:pt idx="1">
                  <c:v>0.1152</c:v>
                </c:pt>
                <c:pt idx="2">
                  <c:v>0.1152</c:v>
                </c:pt>
                <c:pt idx="3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7-4610-AE4B-1359B81079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4804896"/>
        <c:axId val="1254806816"/>
      </c:lineChart>
      <c:catAx>
        <c:axId val="32366878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3672624"/>
        <c:crosses val="autoZero"/>
        <c:auto val="1"/>
        <c:lblAlgn val="ctr"/>
        <c:lblOffset val="100"/>
        <c:noMultiLvlLbl val="0"/>
      </c:catAx>
      <c:valAx>
        <c:axId val="323672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baseline="0">
                    <a:effectLst/>
                  </a:rPr>
                  <a:t>Monto de colocación</a:t>
                </a:r>
                <a:endParaRPr lang="es-CO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3668784"/>
        <c:crosses val="autoZero"/>
        <c:crossBetween val="between"/>
      </c:valAx>
      <c:valAx>
        <c:axId val="1254806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baseline="0">
                    <a:effectLst/>
                  </a:rPr>
                  <a:t>Tasa promedio colocación</a:t>
                </a:r>
                <a:endParaRPr lang="es-CO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804896"/>
        <c:crosses val="max"/>
        <c:crossBetween val="between"/>
      </c:valAx>
      <c:catAx>
        <c:axId val="1254804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4806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Compra vivienda no vis UVR, </a:t>
            </a:r>
            <a:r>
              <a:rPr lang="es-CO" baseline="0"/>
              <a:t> &gt;</a:t>
            </a:r>
            <a:r>
              <a:rPr lang="es-CO"/>
              <a:t>20 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Vivienda!$M$38</c:f>
              <c:strCache>
                <c:ptCount val="1"/>
                <c:pt idx="0">
                  <c:v># DESEMBOLSOS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Vivienda!$L$39:$L$42</c:f>
              <c:strCache>
                <c:ptCount val="4"/>
                <c:pt idx="0">
                  <c:v>5 entidades</c:v>
                </c:pt>
                <c:pt idx="1">
                  <c:v>Bancolombia</c:v>
                </c:pt>
                <c:pt idx="2">
                  <c:v>Fondo Nacional del Ahorro</c:v>
                </c:pt>
                <c:pt idx="3">
                  <c:v>PRESENTE</c:v>
                </c:pt>
              </c:strCache>
            </c:strRef>
          </c:cat>
          <c:val>
            <c:numRef>
              <c:f>Vivienda!$M$39:$M$42</c:f>
              <c:numCache>
                <c:formatCode>_-* #,##0_-;\-* #,##0_-;_-* "-"??_-;_-@_-</c:formatCode>
                <c:ptCount val="4"/>
                <c:pt idx="0">
                  <c:v>257</c:v>
                </c:pt>
                <c:pt idx="1">
                  <c:v>166</c:v>
                </c:pt>
                <c:pt idx="2">
                  <c:v>71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D-46E1-B0BE-0D23C5A7F222}"/>
            </c:ext>
          </c:extLst>
        </c:ser>
        <c:ser>
          <c:idx val="1"/>
          <c:order val="1"/>
          <c:tx>
            <c:strRef>
              <c:f>Vivienda!$N$38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Vivienda!$L$39:$L$42</c:f>
              <c:strCache>
                <c:ptCount val="4"/>
                <c:pt idx="0">
                  <c:v>5 entidades</c:v>
                </c:pt>
                <c:pt idx="1">
                  <c:v>Bancolombia</c:v>
                </c:pt>
                <c:pt idx="2">
                  <c:v>Fondo Nacional del Ahorro</c:v>
                </c:pt>
                <c:pt idx="3">
                  <c:v>PRESENTE</c:v>
                </c:pt>
              </c:strCache>
            </c:strRef>
          </c:cat>
          <c:val>
            <c:numRef>
              <c:f>Vivienda!$N$39:$N$42</c:f>
              <c:numCache>
                <c:formatCode>"$"\ #,##0</c:formatCode>
                <c:ptCount val="4"/>
                <c:pt idx="0">
                  <c:v>57300</c:v>
                </c:pt>
                <c:pt idx="1">
                  <c:v>38126.841625970002</c:v>
                </c:pt>
                <c:pt idx="2">
                  <c:v>14635.36300886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D-46E1-B0BE-0D23C5A7F2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46993967"/>
        <c:axId val="846993487"/>
      </c:barChart>
      <c:lineChart>
        <c:grouping val="standard"/>
        <c:varyColors val="0"/>
        <c:ser>
          <c:idx val="2"/>
          <c:order val="2"/>
          <c:tx>
            <c:strRef>
              <c:f>Vivienda!$O$38</c:f>
              <c:strCache>
                <c:ptCount val="1"/>
                <c:pt idx="0">
                  <c:v>TPP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Vivienda!$L$39:$L$42</c:f>
              <c:strCache>
                <c:ptCount val="4"/>
                <c:pt idx="0">
                  <c:v>5 entidades</c:v>
                </c:pt>
                <c:pt idx="1">
                  <c:v>Bancolombia</c:v>
                </c:pt>
                <c:pt idx="2">
                  <c:v>Fondo Nacional del Ahorro</c:v>
                </c:pt>
                <c:pt idx="3">
                  <c:v>PRESENTE</c:v>
                </c:pt>
              </c:strCache>
            </c:strRef>
          </c:cat>
          <c:val>
            <c:numRef>
              <c:f>Vivienda!$O$40:$O$42</c:f>
              <c:numCache>
                <c:formatCode>0.00%</c:formatCode>
                <c:ptCount val="3"/>
                <c:pt idx="0">
                  <c:v>0.14019999999999999</c:v>
                </c:pt>
                <c:pt idx="1">
                  <c:v>0.12429999999999999</c:v>
                </c:pt>
                <c:pt idx="2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4D-46E1-B0BE-0D23C5A7F2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6986767"/>
        <c:axId val="846981967"/>
      </c:lineChart>
      <c:catAx>
        <c:axId val="84699396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6993487"/>
        <c:crosses val="autoZero"/>
        <c:auto val="1"/>
        <c:lblAlgn val="ctr"/>
        <c:lblOffset val="100"/>
        <c:noMultiLvlLbl val="0"/>
      </c:catAx>
      <c:valAx>
        <c:axId val="846993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baseline="0">
                    <a:effectLst/>
                  </a:rPr>
                  <a:t>Monto de colocación</a:t>
                </a:r>
                <a:endParaRPr lang="es-CO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6993967"/>
        <c:crosses val="autoZero"/>
        <c:crossBetween val="between"/>
      </c:valAx>
      <c:valAx>
        <c:axId val="84698196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baseline="0">
                    <a:effectLst/>
                  </a:rPr>
                  <a:t>Tasa promedio colocación</a:t>
                </a:r>
                <a:endParaRPr lang="es-CO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6986767"/>
        <c:crosses val="max"/>
        <c:crossBetween val="between"/>
      </c:valAx>
      <c:catAx>
        <c:axId val="846986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6981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Compra vivienda VIS - UVR</a:t>
            </a:r>
            <a:r>
              <a:rPr lang="es-CO" baseline="0"/>
              <a:t> -</a:t>
            </a:r>
            <a:r>
              <a:rPr lang="es-CO"/>
              <a:t> 20 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Vivienda!$M$2</c:f>
              <c:strCache>
                <c:ptCount val="1"/>
                <c:pt idx="0">
                  <c:v># DESEMBOLSOS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Vivienda!$L$3:$L$8</c:f>
              <c:strCache>
                <c:ptCount val="6"/>
                <c:pt idx="0">
                  <c:v>10 entidades</c:v>
                </c:pt>
                <c:pt idx="1">
                  <c:v>Davivienda</c:v>
                </c:pt>
                <c:pt idx="2">
                  <c:v>Banco caja social</c:v>
                </c:pt>
                <c:pt idx="3">
                  <c:v>Bancolombia</c:v>
                </c:pt>
                <c:pt idx="4">
                  <c:v>BBVA</c:v>
                </c:pt>
                <c:pt idx="5">
                  <c:v>PRESENTE</c:v>
                </c:pt>
              </c:strCache>
            </c:strRef>
          </c:cat>
          <c:val>
            <c:numRef>
              <c:f>Vivienda!$M$3:$M$8</c:f>
              <c:numCache>
                <c:formatCode>General</c:formatCode>
                <c:ptCount val="6"/>
                <c:pt idx="0" formatCode="_-* #,##0_-;\-* #,##0_-;_-* &quot;-&quot;??_-;_-@_-">
                  <c:v>765</c:v>
                </c:pt>
                <c:pt idx="1">
                  <c:v>171</c:v>
                </c:pt>
                <c:pt idx="2">
                  <c:v>168</c:v>
                </c:pt>
                <c:pt idx="3">
                  <c:v>138</c:v>
                </c:pt>
                <c:pt idx="4">
                  <c:v>115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0-4AB4-8F8D-E1E0870D38C8}"/>
            </c:ext>
          </c:extLst>
        </c:ser>
        <c:ser>
          <c:idx val="1"/>
          <c:order val="1"/>
          <c:tx>
            <c:strRef>
              <c:f>Vivienda!$N$2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Vivienda!$L$3:$L$8</c:f>
              <c:strCache>
                <c:ptCount val="6"/>
                <c:pt idx="0">
                  <c:v>10 entidades</c:v>
                </c:pt>
                <c:pt idx="1">
                  <c:v>Davivienda</c:v>
                </c:pt>
                <c:pt idx="2">
                  <c:v>Banco caja social</c:v>
                </c:pt>
                <c:pt idx="3">
                  <c:v>Bancolombia</c:v>
                </c:pt>
                <c:pt idx="4">
                  <c:v>BBVA</c:v>
                </c:pt>
                <c:pt idx="5">
                  <c:v>PRESENTE</c:v>
                </c:pt>
              </c:strCache>
            </c:strRef>
          </c:cat>
          <c:val>
            <c:numRef>
              <c:f>Vivienda!$N$3:$N$8</c:f>
              <c:numCache>
                <c:formatCode>"$"\ #,##0</c:formatCode>
                <c:ptCount val="6"/>
                <c:pt idx="0">
                  <c:v>78530</c:v>
                </c:pt>
                <c:pt idx="1">
                  <c:v>18148.374168999999</c:v>
                </c:pt>
                <c:pt idx="2">
                  <c:v>18065.610097000001</c:v>
                </c:pt>
                <c:pt idx="3">
                  <c:v>14657.024181000001</c:v>
                </c:pt>
                <c:pt idx="4">
                  <c:v>13413.544986999999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0-4AB4-8F8D-E1E0870D38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94653247"/>
        <c:axId val="594655167"/>
      </c:barChart>
      <c:lineChart>
        <c:grouping val="standard"/>
        <c:varyColors val="0"/>
        <c:ser>
          <c:idx val="2"/>
          <c:order val="2"/>
          <c:tx>
            <c:strRef>
              <c:f>Vivienda!$O$2</c:f>
              <c:strCache>
                <c:ptCount val="1"/>
                <c:pt idx="0">
                  <c:v>TPP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3.5696397362176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0B-4C90-ABAA-5848976A7203}"/>
                </c:ext>
              </c:extLst>
            </c:dLbl>
            <c:dLbl>
              <c:idx val="3"/>
              <c:layout>
                <c:manualLayout>
                  <c:x val="-8.8845844903697405E-3"/>
                  <c:y val="4.2835676834612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0B-4C90-ABAA-5848976A7203}"/>
                </c:ext>
              </c:extLst>
            </c:dLbl>
            <c:dLbl>
              <c:idx val="4"/>
              <c:layout>
                <c:manualLayout>
                  <c:x val="-2.3099919674961455E-2"/>
                  <c:y val="3.56963973621767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0B-4C90-ABAA-5848976A72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Vivienda!$L$3:$L$8</c:f>
              <c:strCache>
                <c:ptCount val="6"/>
                <c:pt idx="0">
                  <c:v>10 entidades</c:v>
                </c:pt>
                <c:pt idx="1">
                  <c:v>Davivienda</c:v>
                </c:pt>
                <c:pt idx="2">
                  <c:v>Banco caja social</c:v>
                </c:pt>
                <c:pt idx="3">
                  <c:v>Bancolombia</c:v>
                </c:pt>
                <c:pt idx="4">
                  <c:v>BBVA</c:v>
                </c:pt>
                <c:pt idx="5">
                  <c:v>PRESENTE</c:v>
                </c:pt>
              </c:strCache>
            </c:strRef>
          </c:cat>
          <c:val>
            <c:numRef>
              <c:f>Vivienda!$O$3:$O$8</c:f>
              <c:numCache>
                <c:formatCode>0.00%</c:formatCode>
                <c:ptCount val="6"/>
                <c:pt idx="0">
                  <c:v>0.1181</c:v>
                </c:pt>
                <c:pt idx="1">
                  <c:v>0.12369999999999999</c:v>
                </c:pt>
                <c:pt idx="2">
                  <c:v>0.113</c:v>
                </c:pt>
                <c:pt idx="3">
                  <c:v>0.12210000000000001</c:v>
                </c:pt>
                <c:pt idx="4">
                  <c:v>0.1082</c:v>
                </c:pt>
                <c:pt idx="5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A0-4AB4-8F8D-E1E0870D38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4651327"/>
        <c:axId val="594643647"/>
      </c:lineChart>
      <c:catAx>
        <c:axId val="5946532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4655167"/>
        <c:crosses val="autoZero"/>
        <c:auto val="1"/>
        <c:lblAlgn val="ctr"/>
        <c:lblOffset val="100"/>
        <c:noMultiLvlLbl val="0"/>
      </c:catAx>
      <c:valAx>
        <c:axId val="5946551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Monto</a:t>
                </a:r>
                <a:r>
                  <a:rPr lang="es-CO" baseline="0"/>
                  <a:t> de colocación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4653247"/>
        <c:crosses val="autoZero"/>
        <c:crossBetween val="between"/>
      </c:valAx>
      <c:valAx>
        <c:axId val="5946436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Tasa</a:t>
                </a:r>
                <a:r>
                  <a:rPr lang="es-CO" baseline="0"/>
                  <a:t> pronedio colocación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4651327"/>
        <c:crosses val="max"/>
        <c:crossBetween val="between"/>
      </c:valAx>
      <c:catAx>
        <c:axId val="594651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46436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Compra vivienda</a:t>
            </a:r>
            <a:r>
              <a:rPr lang="es-CO" baseline="0"/>
              <a:t> VIS</a:t>
            </a:r>
            <a:r>
              <a:rPr lang="es-CO"/>
              <a:t> - Pesos - superior 20</a:t>
            </a:r>
          </a:p>
          <a:p>
            <a:pPr>
              <a:defRPr/>
            </a:pPr>
            <a:r>
              <a:rPr lang="es-CO"/>
              <a:t>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Vivienda!$D$13</c:f>
              <c:strCache>
                <c:ptCount val="1"/>
                <c:pt idx="0">
                  <c:v># DESEMBOLSOS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Vivienda!$C$14:$C$18</c:f>
              <c:strCache>
                <c:ptCount val="5"/>
                <c:pt idx="0">
                  <c:v>5 entidades</c:v>
                </c:pt>
                <c:pt idx="1">
                  <c:v>Banco de Bogotá</c:v>
                </c:pt>
                <c:pt idx="2">
                  <c:v>BBVA</c:v>
                </c:pt>
                <c:pt idx="3">
                  <c:v>Colpatria</c:v>
                </c:pt>
                <c:pt idx="4">
                  <c:v>Banagrio</c:v>
                </c:pt>
              </c:strCache>
            </c:strRef>
          </c:cat>
          <c:val>
            <c:numRef>
              <c:f>Vivienda!$D$14:$D$18</c:f>
              <c:numCache>
                <c:formatCode>_-* #,##0_-;\-* #,##0_-;_-* "-"??_-;_-@_-</c:formatCode>
                <c:ptCount val="5"/>
                <c:pt idx="0">
                  <c:v>443</c:v>
                </c:pt>
                <c:pt idx="1">
                  <c:v>308</c:v>
                </c:pt>
                <c:pt idx="2">
                  <c:v>102</c:v>
                </c:pt>
                <c:pt idx="3">
                  <c:v>20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0-46A1-A11E-73F12AF149EC}"/>
            </c:ext>
          </c:extLst>
        </c:ser>
        <c:ser>
          <c:idx val="1"/>
          <c:order val="1"/>
          <c:tx>
            <c:strRef>
              <c:f>Vivienda!$E$13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Vivienda!$C$14:$C$18</c:f>
              <c:strCache>
                <c:ptCount val="5"/>
                <c:pt idx="0">
                  <c:v>5 entidades</c:v>
                </c:pt>
                <c:pt idx="1">
                  <c:v>Banco de Bogotá</c:v>
                </c:pt>
                <c:pt idx="2">
                  <c:v>BBVA</c:v>
                </c:pt>
                <c:pt idx="3">
                  <c:v>Colpatria</c:v>
                </c:pt>
                <c:pt idx="4">
                  <c:v>Banagrio</c:v>
                </c:pt>
              </c:strCache>
            </c:strRef>
          </c:cat>
          <c:val>
            <c:numRef>
              <c:f>Vivienda!$E$14:$E$18</c:f>
              <c:numCache>
                <c:formatCode>"$"\ #,##0</c:formatCode>
                <c:ptCount val="5"/>
                <c:pt idx="0">
                  <c:v>52690</c:v>
                </c:pt>
                <c:pt idx="1">
                  <c:v>35899.367310000001</c:v>
                </c:pt>
                <c:pt idx="2">
                  <c:v>12812.055605</c:v>
                </c:pt>
                <c:pt idx="3">
                  <c:v>2577.1812399999999</c:v>
                </c:pt>
                <c:pt idx="4">
                  <c:v>1178.3225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0-46A1-A11E-73F12AF149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0478047"/>
        <c:axId val="1020487167"/>
      </c:barChart>
      <c:lineChart>
        <c:grouping val="standard"/>
        <c:varyColors val="0"/>
        <c:ser>
          <c:idx val="2"/>
          <c:order val="2"/>
          <c:tx>
            <c:strRef>
              <c:f>Vivienda!$F$13</c:f>
              <c:strCache>
                <c:ptCount val="1"/>
                <c:pt idx="0">
                  <c:v>TPP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Vivienda!$C$14:$C$18</c:f>
              <c:strCache>
                <c:ptCount val="5"/>
                <c:pt idx="0">
                  <c:v>5 entidades</c:v>
                </c:pt>
                <c:pt idx="1">
                  <c:v>Banco de Bogotá</c:v>
                </c:pt>
                <c:pt idx="2">
                  <c:v>BBVA</c:v>
                </c:pt>
                <c:pt idx="3">
                  <c:v>Colpatria</c:v>
                </c:pt>
                <c:pt idx="4">
                  <c:v>Banagrio</c:v>
                </c:pt>
              </c:strCache>
            </c:strRef>
          </c:cat>
          <c:val>
            <c:numRef>
              <c:f>Vivienda!$F$14:$F$17</c:f>
              <c:numCache>
                <c:formatCode>0.00%</c:formatCode>
                <c:ptCount val="4"/>
                <c:pt idx="0">
                  <c:v>0.1232</c:v>
                </c:pt>
                <c:pt idx="1">
                  <c:v>0.12960000000000002</c:v>
                </c:pt>
                <c:pt idx="2">
                  <c:v>0.1096</c:v>
                </c:pt>
                <c:pt idx="3">
                  <c:v>0.1085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70-46A1-A11E-73F12AF149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0489087"/>
        <c:axId val="1020488607"/>
      </c:lineChart>
      <c:catAx>
        <c:axId val="10204780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0487167"/>
        <c:crosses val="autoZero"/>
        <c:auto val="1"/>
        <c:lblAlgn val="ctr"/>
        <c:lblOffset val="100"/>
        <c:noMultiLvlLbl val="0"/>
      </c:catAx>
      <c:valAx>
        <c:axId val="10204871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Monto</a:t>
                </a:r>
                <a:r>
                  <a:rPr lang="es-CO" baseline="0"/>
                  <a:t> de colocación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0478047"/>
        <c:crosses val="autoZero"/>
        <c:crossBetween val="between"/>
      </c:valAx>
      <c:valAx>
        <c:axId val="10204886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Tasa promedio colocación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0489087"/>
        <c:crosses val="max"/>
        <c:crossBetween val="between"/>
      </c:valAx>
      <c:catAx>
        <c:axId val="102048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0488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Compra vivienda VIS</a:t>
            </a:r>
            <a:r>
              <a:rPr lang="es-CO" baseline="0"/>
              <a:t> -</a:t>
            </a:r>
            <a:r>
              <a:rPr lang="es-CO"/>
              <a:t> UVR</a:t>
            </a:r>
            <a:r>
              <a:rPr lang="es-CO" baseline="0"/>
              <a:t> - </a:t>
            </a:r>
            <a:r>
              <a:rPr lang="es-CO"/>
              <a:t>s</a:t>
            </a:r>
            <a:r>
              <a:rPr lang="es-CO" baseline="0"/>
              <a:t>uperior </a:t>
            </a:r>
            <a:r>
              <a:rPr lang="es-CO"/>
              <a:t>20 años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Vivienda!$M$13</c:f>
              <c:strCache>
                <c:ptCount val="1"/>
                <c:pt idx="0">
                  <c:v># DESEMBOLSOS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Vivienda!$L$14:$L$18</c:f>
              <c:strCache>
                <c:ptCount val="5"/>
                <c:pt idx="0">
                  <c:v>8 entidades</c:v>
                </c:pt>
                <c:pt idx="1">
                  <c:v>Bancolombia</c:v>
                </c:pt>
                <c:pt idx="2">
                  <c:v>Banco Davivienda</c:v>
                </c:pt>
                <c:pt idx="3">
                  <c:v>Fondo Nacional del Ahorro</c:v>
                </c:pt>
                <c:pt idx="4">
                  <c:v>PRESENTE</c:v>
                </c:pt>
              </c:strCache>
            </c:strRef>
          </c:cat>
          <c:val>
            <c:numRef>
              <c:f>Vivienda!$M$14:$M$18</c:f>
              <c:numCache>
                <c:formatCode>_-* #,##0_-;\-* #,##0_-;_-* "-"??_-;_-@_-</c:formatCode>
                <c:ptCount val="5"/>
                <c:pt idx="0">
                  <c:v>2911</c:v>
                </c:pt>
                <c:pt idx="1">
                  <c:v>1112</c:v>
                </c:pt>
                <c:pt idx="2">
                  <c:v>774</c:v>
                </c:pt>
                <c:pt idx="3">
                  <c:v>687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C-48BF-BD1A-42FD1C523E56}"/>
            </c:ext>
          </c:extLst>
        </c:ser>
        <c:ser>
          <c:idx val="1"/>
          <c:order val="1"/>
          <c:tx>
            <c:strRef>
              <c:f>Vivienda!$N$13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Vivienda!$L$14:$L$18</c:f>
              <c:strCache>
                <c:ptCount val="5"/>
                <c:pt idx="0">
                  <c:v>8 entidades</c:v>
                </c:pt>
                <c:pt idx="1">
                  <c:v>Bancolombia</c:v>
                </c:pt>
                <c:pt idx="2">
                  <c:v>Banco Davivienda</c:v>
                </c:pt>
                <c:pt idx="3">
                  <c:v>Fondo Nacional del Ahorro</c:v>
                </c:pt>
                <c:pt idx="4">
                  <c:v>PRESENTE</c:v>
                </c:pt>
              </c:strCache>
            </c:strRef>
          </c:cat>
          <c:val>
            <c:numRef>
              <c:f>Vivienda!$N$14:$N$18</c:f>
              <c:numCache>
                <c:formatCode>"$"\ #,##0</c:formatCode>
                <c:ptCount val="5"/>
                <c:pt idx="0">
                  <c:v>326540</c:v>
                </c:pt>
                <c:pt idx="1">
                  <c:v>116610.49122663001</c:v>
                </c:pt>
                <c:pt idx="2">
                  <c:v>86300.432266000003</c:v>
                </c:pt>
                <c:pt idx="3">
                  <c:v>81367.9810194499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C-48BF-BD1A-42FD1C523E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0479487"/>
        <c:axId val="1020479967"/>
      </c:barChart>
      <c:lineChart>
        <c:grouping val="standard"/>
        <c:varyColors val="0"/>
        <c:ser>
          <c:idx val="2"/>
          <c:order val="2"/>
          <c:tx>
            <c:strRef>
              <c:f>Vivienda!$O$13</c:f>
              <c:strCache>
                <c:ptCount val="1"/>
                <c:pt idx="0">
                  <c:v>TPP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2.4912539890889207E-2"/>
                  <c:y val="2.200877751638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55-4B43-AF79-95FC2B408873}"/>
                </c:ext>
              </c:extLst>
            </c:dLbl>
            <c:dLbl>
              <c:idx val="1"/>
              <c:layout>
                <c:manualLayout>
                  <c:x val="-5.3384014051905517E-3"/>
                  <c:y val="-2.9345036688516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55-4B43-AF79-95FC2B408873}"/>
                </c:ext>
              </c:extLst>
            </c:dLbl>
            <c:dLbl>
              <c:idx val="3"/>
              <c:layout>
                <c:manualLayout>
                  <c:x val="-4.0927744106461023E-2"/>
                  <c:y val="-8.43669804794851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55-4B43-AF79-95FC2B4088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Vivienda!$L$14:$L$18</c:f>
              <c:strCache>
                <c:ptCount val="5"/>
                <c:pt idx="0">
                  <c:v>8 entidades</c:v>
                </c:pt>
                <c:pt idx="1">
                  <c:v>Bancolombia</c:v>
                </c:pt>
                <c:pt idx="2">
                  <c:v>Banco Davivienda</c:v>
                </c:pt>
                <c:pt idx="3">
                  <c:v>Fondo Nacional del Ahorro</c:v>
                </c:pt>
                <c:pt idx="4">
                  <c:v>PRESENTE</c:v>
                </c:pt>
              </c:strCache>
            </c:strRef>
          </c:cat>
          <c:val>
            <c:numRef>
              <c:f>Vivienda!$O$14:$O$18</c:f>
              <c:numCache>
                <c:formatCode>0.00%</c:formatCode>
                <c:ptCount val="5"/>
                <c:pt idx="0">
                  <c:v>0.11600000000000001</c:v>
                </c:pt>
                <c:pt idx="1">
                  <c:v>0.1226</c:v>
                </c:pt>
                <c:pt idx="2">
                  <c:v>0.12359999999999999</c:v>
                </c:pt>
                <c:pt idx="3">
                  <c:v>0.1012</c:v>
                </c:pt>
                <c:pt idx="4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4C-48BF-BD1A-42FD1C523E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0483807"/>
        <c:axId val="1020483327"/>
      </c:lineChart>
      <c:catAx>
        <c:axId val="10204794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0479967"/>
        <c:crosses val="autoZero"/>
        <c:auto val="1"/>
        <c:lblAlgn val="ctr"/>
        <c:lblOffset val="100"/>
        <c:noMultiLvlLbl val="0"/>
      </c:catAx>
      <c:valAx>
        <c:axId val="1020479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Monto de colocación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0479487"/>
        <c:crosses val="autoZero"/>
        <c:crossBetween val="between"/>
      </c:valAx>
      <c:valAx>
        <c:axId val="10204833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Tasa promedio colocación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0483807"/>
        <c:crosses val="max"/>
        <c:crossBetween val="between"/>
      </c:valAx>
      <c:catAx>
        <c:axId val="10204838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0483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Compra vivienda VIS</a:t>
            </a:r>
            <a:r>
              <a:rPr lang="es-CO" baseline="0"/>
              <a:t> - Pesos - 20 años</a:t>
            </a:r>
            <a:endParaRPr lang="es-CO"/>
          </a:p>
        </c:rich>
      </c:tx>
      <c:layout>
        <c:manualLayout>
          <c:xMode val="edge"/>
          <c:yMode val="edge"/>
          <c:x val="0.29842782147576674"/>
          <c:y val="4.0948862992211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806823946126138"/>
          <c:y val="0.1854653533700745"/>
          <c:w val="0.77058089533853613"/>
          <c:h val="0.5460152977281278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Vivienda!$E$2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Vivienda!$C$3:$C$10</c:f>
              <c:strCache>
                <c:ptCount val="8"/>
                <c:pt idx="0">
                  <c:v>16 entidades</c:v>
                </c:pt>
                <c:pt idx="1">
                  <c:v>Davivienda</c:v>
                </c:pt>
                <c:pt idx="2">
                  <c:v>Bancolombia</c:v>
                </c:pt>
                <c:pt idx="3">
                  <c:v>Banco de Bogota</c:v>
                </c:pt>
                <c:pt idx="4">
                  <c:v>Banco Caja Social</c:v>
                </c:pt>
                <c:pt idx="5">
                  <c:v>BBVA</c:v>
                </c:pt>
                <c:pt idx="6">
                  <c:v>FNA</c:v>
                </c:pt>
                <c:pt idx="7">
                  <c:v>PRESENTE</c:v>
                </c:pt>
              </c:strCache>
            </c:strRef>
          </c:cat>
          <c:val>
            <c:numRef>
              <c:f>Vivienda!$E$3:$E$10</c:f>
              <c:numCache>
                <c:formatCode>"$"\ #,##0</c:formatCode>
                <c:ptCount val="8"/>
                <c:pt idx="0">
                  <c:v>758780</c:v>
                </c:pt>
                <c:pt idx="1">
                  <c:v>233659.95696400001</c:v>
                </c:pt>
                <c:pt idx="2">
                  <c:v>224657.42087939999</c:v>
                </c:pt>
                <c:pt idx="3">
                  <c:v>88081.749335999993</c:v>
                </c:pt>
                <c:pt idx="4">
                  <c:v>73306.334199999998</c:v>
                </c:pt>
                <c:pt idx="5">
                  <c:v>60146.589056669996</c:v>
                </c:pt>
                <c:pt idx="6">
                  <c:v>37987.075376360001</c:v>
                </c:pt>
                <c:pt idx="7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7-4777-8C7A-E412AFB33286}"/>
            </c:ext>
          </c:extLst>
        </c:ser>
        <c:ser>
          <c:idx val="0"/>
          <c:order val="0"/>
          <c:tx>
            <c:strRef>
              <c:f>Vivienda!$D$2</c:f>
              <c:strCache>
                <c:ptCount val="1"/>
                <c:pt idx="0">
                  <c:v># DESEMBOLSOS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Vivienda!$C$3:$C$10</c:f>
              <c:strCache>
                <c:ptCount val="8"/>
                <c:pt idx="0">
                  <c:v>16 entidades</c:v>
                </c:pt>
                <c:pt idx="1">
                  <c:v>Davivienda</c:v>
                </c:pt>
                <c:pt idx="2">
                  <c:v>Bancolombia</c:v>
                </c:pt>
                <c:pt idx="3">
                  <c:v>Banco de Bogota</c:v>
                </c:pt>
                <c:pt idx="4">
                  <c:v>Banco Caja Social</c:v>
                </c:pt>
                <c:pt idx="5">
                  <c:v>BBVA</c:v>
                </c:pt>
                <c:pt idx="6">
                  <c:v>FNA</c:v>
                </c:pt>
                <c:pt idx="7">
                  <c:v>PRESENTE</c:v>
                </c:pt>
              </c:strCache>
            </c:strRef>
          </c:cat>
          <c:val>
            <c:numRef>
              <c:f>Vivienda!$D$3:$D$10</c:f>
              <c:numCache>
                <c:formatCode>_-* #,##0_-;\-* #,##0_-;_-* "-"??_-;_-@_-</c:formatCode>
                <c:ptCount val="8"/>
                <c:pt idx="1">
                  <c:v>2166</c:v>
                </c:pt>
                <c:pt idx="2">
                  <c:v>1852</c:v>
                </c:pt>
                <c:pt idx="3">
                  <c:v>779</c:v>
                </c:pt>
                <c:pt idx="4">
                  <c:v>1017</c:v>
                </c:pt>
                <c:pt idx="5">
                  <c:v>577</c:v>
                </c:pt>
                <c:pt idx="6">
                  <c:v>408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37-4777-8C7A-E412AFB332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29793120"/>
        <c:axId val="329792640"/>
      </c:barChart>
      <c:lineChart>
        <c:grouping val="standard"/>
        <c:varyColors val="0"/>
        <c:ser>
          <c:idx val="2"/>
          <c:order val="2"/>
          <c:tx>
            <c:strRef>
              <c:f>Vivienda!$F$2</c:f>
              <c:strCache>
                <c:ptCount val="1"/>
                <c:pt idx="0">
                  <c:v>TPP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Vivienda!$C$3:$C$10</c:f>
              <c:strCache>
                <c:ptCount val="8"/>
                <c:pt idx="0">
                  <c:v>16 entidades</c:v>
                </c:pt>
                <c:pt idx="1">
                  <c:v>Davivienda</c:v>
                </c:pt>
                <c:pt idx="2">
                  <c:v>Bancolombia</c:v>
                </c:pt>
                <c:pt idx="3">
                  <c:v>Banco de Bogota</c:v>
                </c:pt>
                <c:pt idx="4">
                  <c:v>Banco Caja Social</c:v>
                </c:pt>
                <c:pt idx="5">
                  <c:v>BBVA</c:v>
                </c:pt>
                <c:pt idx="6">
                  <c:v>FNA</c:v>
                </c:pt>
                <c:pt idx="7">
                  <c:v>PRESENTE</c:v>
                </c:pt>
              </c:strCache>
            </c:strRef>
          </c:cat>
          <c:val>
            <c:numRef>
              <c:f>Vivienda!$F$3:$F$10</c:f>
              <c:numCache>
                <c:formatCode>0.00%</c:formatCode>
                <c:ptCount val="8"/>
                <c:pt idx="0">
                  <c:v>0.1242</c:v>
                </c:pt>
                <c:pt idx="1">
                  <c:v>0.12590000000000001</c:v>
                </c:pt>
                <c:pt idx="2">
                  <c:v>0.1283</c:v>
                </c:pt>
                <c:pt idx="3">
                  <c:v>0.12909999999999999</c:v>
                </c:pt>
                <c:pt idx="4">
                  <c:v>0.11869999999999999</c:v>
                </c:pt>
                <c:pt idx="5">
                  <c:v>0.11220000000000001</c:v>
                </c:pt>
                <c:pt idx="6">
                  <c:v>0.1105</c:v>
                </c:pt>
                <c:pt idx="7">
                  <c:v>0.10290000000000001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37-4777-8C7A-E412AFB33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549983"/>
        <c:axId val="1042549503"/>
      </c:lineChart>
      <c:catAx>
        <c:axId val="32979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Entidades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792640"/>
        <c:crosses val="autoZero"/>
        <c:auto val="1"/>
        <c:lblAlgn val="ctr"/>
        <c:lblOffset val="100"/>
        <c:noMultiLvlLbl val="0"/>
      </c:catAx>
      <c:valAx>
        <c:axId val="329792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Monto</a:t>
                </a:r>
                <a:r>
                  <a:rPr lang="es-CO" baseline="0"/>
                  <a:t> de colocación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793120"/>
        <c:crosses val="autoZero"/>
        <c:crossBetween val="between"/>
      </c:valAx>
      <c:valAx>
        <c:axId val="1042549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Tasa promedio</a:t>
                </a:r>
                <a:r>
                  <a:rPr lang="es-CO" baseline="0"/>
                  <a:t> colocación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2549983"/>
        <c:crosses val="max"/>
        <c:crossBetween val="between"/>
      </c:valAx>
      <c:catAx>
        <c:axId val="1042549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2549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Compra vivienda NO VIS - Pesos - 20 años</a:t>
            </a:r>
          </a:p>
        </c:rich>
      </c:tx>
      <c:layout>
        <c:manualLayout>
          <c:xMode val="edge"/>
          <c:yMode val="edge"/>
          <c:x val="0.29731390859629681"/>
          <c:y val="2.6622312200367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2692781249361866E-2"/>
          <c:y val="0.16397567740656543"/>
          <c:w val="0.8308475722619435"/>
          <c:h val="0.6391372988302500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Vivienda!$E$23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585965182194931E-3"/>
                  <c:y val="0.350998311846460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05-4D0C-B858-2B6004BEAE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Vivienda!$C$24:$C$31</c:f>
              <c:strCache>
                <c:ptCount val="7"/>
                <c:pt idx="0">
                  <c:v>17 entidades</c:v>
                </c:pt>
                <c:pt idx="1">
                  <c:v>Bancolombia</c:v>
                </c:pt>
                <c:pt idx="2">
                  <c:v>Banco Davivienda</c:v>
                </c:pt>
                <c:pt idx="3">
                  <c:v>Banco de Bogotá</c:v>
                </c:pt>
                <c:pt idx="4">
                  <c:v>Banco Caja Social S.A.</c:v>
                </c:pt>
                <c:pt idx="5">
                  <c:v>Banco de Occidente</c:v>
                </c:pt>
                <c:pt idx="6">
                  <c:v>PRESENTE</c:v>
                </c:pt>
              </c:strCache>
            </c:strRef>
          </c:cat>
          <c:val>
            <c:numRef>
              <c:f>Vivienda!$E$24:$E$31</c:f>
              <c:numCache>
                <c:formatCode>"$"\ #,##0</c:formatCode>
                <c:ptCount val="8"/>
                <c:pt idx="0">
                  <c:v>1120000</c:v>
                </c:pt>
                <c:pt idx="1">
                  <c:v>395411.24772412999</c:v>
                </c:pt>
                <c:pt idx="2">
                  <c:v>242297.449743</c:v>
                </c:pt>
                <c:pt idx="3">
                  <c:v>157341.13281400001</c:v>
                </c:pt>
                <c:pt idx="4">
                  <c:v>87597.549400999997</c:v>
                </c:pt>
                <c:pt idx="5">
                  <c:v>60527.600811999997</c:v>
                </c:pt>
                <c:pt idx="6">
                  <c:v>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5-4D0C-B858-2B6004BEAE36}"/>
            </c:ext>
          </c:extLst>
        </c:ser>
        <c:ser>
          <c:idx val="0"/>
          <c:order val="0"/>
          <c:tx>
            <c:strRef>
              <c:f>Vivienda!$D$23</c:f>
              <c:strCache>
                <c:ptCount val="1"/>
                <c:pt idx="0">
                  <c:v># DESEMBOLSOS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110175627536451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005-4D0C-B858-2B6004BEAE36}"/>
                </c:ext>
              </c:extLst>
            </c:dLbl>
            <c:dLbl>
              <c:idx val="1"/>
              <c:layout>
                <c:manualLayout>
                  <c:x val="9.515791093169585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05-4D0C-B858-2B6004BEAE36}"/>
                </c:ext>
              </c:extLst>
            </c:dLbl>
            <c:dLbl>
              <c:idx val="6"/>
              <c:layout>
                <c:manualLayout>
                  <c:x val="1.7445617004144241E-2"/>
                  <c:y val="3.58161542700457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DE-4296-B2DA-09AE0F84F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Vivienda!$C$24:$C$31</c:f>
              <c:strCache>
                <c:ptCount val="7"/>
                <c:pt idx="0">
                  <c:v>17 entidades</c:v>
                </c:pt>
                <c:pt idx="1">
                  <c:v>Bancolombia</c:v>
                </c:pt>
                <c:pt idx="2">
                  <c:v>Banco Davivienda</c:v>
                </c:pt>
                <c:pt idx="3">
                  <c:v>Banco de Bogotá</c:v>
                </c:pt>
                <c:pt idx="4">
                  <c:v>Banco Caja Social S.A.</c:v>
                </c:pt>
                <c:pt idx="5">
                  <c:v>Banco de Occidente</c:v>
                </c:pt>
                <c:pt idx="6">
                  <c:v>PRESENTE</c:v>
                </c:pt>
              </c:strCache>
            </c:strRef>
          </c:cat>
          <c:val>
            <c:numRef>
              <c:f>Vivienda!$D$24:$D$31</c:f>
              <c:numCache>
                <c:formatCode>_-* #,##0_-;\-* #,##0_-;_-* "-"??_-;_-@_-</c:formatCode>
                <c:ptCount val="8"/>
                <c:pt idx="0">
                  <c:v>5149</c:v>
                </c:pt>
                <c:pt idx="1">
                  <c:v>1523</c:v>
                </c:pt>
                <c:pt idx="2">
                  <c:v>1071</c:v>
                </c:pt>
                <c:pt idx="3">
                  <c:v>806</c:v>
                </c:pt>
                <c:pt idx="4">
                  <c:v>606</c:v>
                </c:pt>
                <c:pt idx="5">
                  <c:v>218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05-4D0C-B858-2B6004BEAE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29793120"/>
        <c:axId val="329792640"/>
      </c:barChart>
      <c:lineChart>
        <c:grouping val="standard"/>
        <c:varyColors val="0"/>
        <c:ser>
          <c:idx val="2"/>
          <c:order val="2"/>
          <c:tx>
            <c:strRef>
              <c:f>Vivienda!$F$23</c:f>
              <c:strCache>
                <c:ptCount val="1"/>
                <c:pt idx="0">
                  <c:v>TPP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Vivienda!$C$24:$C$31</c:f>
              <c:strCache>
                <c:ptCount val="7"/>
                <c:pt idx="0">
                  <c:v>17 entidades</c:v>
                </c:pt>
                <c:pt idx="1">
                  <c:v>Bancolombia</c:v>
                </c:pt>
                <c:pt idx="2">
                  <c:v>Banco Davivienda</c:v>
                </c:pt>
                <c:pt idx="3">
                  <c:v>Banco de Bogotá</c:v>
                </c:pt>
                <c:pt idx="4">
                  <c:v>Banco Caja Social S.A.</c:v>
                </c:pt>
                <c:pt idx="5">
                  <c:v>Banco de Occidente</c:v>
                </c:pt>
                <c:pt idx="6">
                  <c:v>PRESENTE</c:v>
                </c:pt>
              </c:strCache>
            </c:strRef>
          </c:cat>
          <c:val>
            <c:numRef>
              <c:f>Vivienda!$F$24:$F$31</c:f>
              <c:numCache>
                <c:formatCode>0%</c:formatCode>
                <c:ptCount val="8"/>
                <c:pt idx="0" formatCode="0.00%">
                  <c:v>0.12939999999999999</c:v>
                </c:pt>
                <c:pt idx="1">
                  <c:v>0.13189999999999999</c:v>
                </c:pt>
                <c:pt idx="2" formatCode="0.00%">
                  <c:v>0.12230000000000001</c:v>
                </c:pt>
                <c:pt idx="3" formatCode="0.00%">
                  <c:v>0.12330000000000001</c:v>
                </c:pt>
                <c:pt idx="4" formatCode="0.00%">
                  <c:v>0.11700000000000001</c:v>
                </c:pt>
                <c:pt idx="5" formatCode="0.00%">
                  <c:v>0.1216</c:v>
                </c:pt>
                <c:pt idx="6" formatCode="0.00%">
                  <c:v>0.1135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05-4D0C-B858-2B6004BEA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549983"/>
        <c:axId val="1042549503"/>
      </c:lineChart>
      <c:catAx>
        <c:axId val="3297931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792640"/>
        <c:crosses val="autoZero"/>
        <c:auto val="1"/>
        <c:lblAlgn val="ctr"/>
        <c:lblOffset val="100"/>
        <c:noMultiLvlLbl val="0"/>
      </c:catAx>
      <c:valAx>
        <c:axId val="329792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Monto de colocación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793120"/>
        <c:crosses val="autoZero"/>
        <c:crossBetween val="between"/>
      </c:valAx>
      <c:valAx>
        <c:axId val="1042549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Tasa promedio colocación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2549983"/>
        <c:crosses val="max"/>
        <c:crossBetween val="between"/>
      </c:valAx>
      <c:catAx>
        <c:axId val="1042549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2549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06823946126138"/>
          <c:y val="0.1854653533700745"/>
          <c:w val="0.77058089533853613"/>
          <c:h val="0.5460152977281278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Vehiculo!$C$2</c:f>
              <c:strCache>
                <c:ptCount val="1"/>
                <c:pt idx="0">
                  <c:v>$ DESEMBOLSOS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Vehiculo!$A$3:$A$14</c:f>
              <c:strCache>
                <c:ptCount val="12"/>
                <c:pt idx="0">
                  <c:v>GM Financial Colombia S.A. Compañía De Financiamiento</c:v>
                </c:pt>
                <c:pt idx="1">
                  <c:v>Bancoomeva</c:v>
                </c:pt>
                <c:pt idx="2">
                  <c:v>RCI Colombia S.A.</c:v>
                </c:pt>
                <c:pt idx="3">
                  <c:v>Finandina</c:v>
                </c:pt>
                <c:pt idx="4">
                  <c:v>BBVA Colombia</c:v>
                </c:pt>
                <c:pt idx="5">
                  <c:v>Banco Santander</c:v>
                </c:pt>
                <c:pt idx="6">
                  <c:v>Banco de Bogotá</c:v>
                </c:pt>
                <c:pt idx="7">
                  <c:v>Banco de Occidente</c:v>
                </c:pt>
                <c:pt idx="8">
                  <c:v>Banco Caja Social S.A.</c:v>
                </c:pt>
                <c:pt idx="9">
                  <c:v>Banco Davivienda</c:v>
                </c:pt>
                <c:pt idx="10">
                  <c:v>Bancolombia</c:v>
                </c:pt>
                <c:pt idx="11">
                  <c:v>PRESENTE</c:v>
                </c:pt>
              </c:strCache>
            </c:strRef>
          </c:cat>
          <c:val>
            <c:numRef>
              <c:f>Vehiculo!$C$3:$C$14</c:f>
              <c:numCache>
                <c:formatCode>_-"$"\ * #,##0_-;\-"$"\ * #,##0_-;_-"$"\ * "-"??_-;_-@_-</c:formatCode>
                <c:ptCount val="12"/>
                <c:pt idx="0">
                  <c:v>48637.572717000003</c:v>
                </c:pt>
                <c:pt idx="1">
                  <c:v>9566.2642130000004</c:v>
                </c:pt>
                <c:pt idx="2">
                  <c:v>131729.38316900001</c:v>
                </c:pt>
                <c:pt idx="3">
                  <c:v>130444.67329599999</c:v>
                </c:pt>
                <c:pt idx="4">
                  <c:v>59303.556345160003</c:v>
                </c:pt>
                <c:pt idx="5">
                  <c:v>236070.81015899999</c:v>
                </c:pt>
                <c:pt idx="6">
                  <c:v>71854.863387999998</c:v>
                </c:pt>
                <c:pt idx="7">
                  <c:v>92087.63674038001</c:v>
                </c:pt>
                <c:pt idx="8">
                  <c:v>26443.661123999998</c:v>
                </c:pt>
                <c:pt idx="9">
                  <c:v>52790.826467999999</c:v>
                </c:pt>
                <c:pt idx="10">
                  <c:v>256256.89589799999</c:v>
                </c:pt>
                <c:pt idx="11">
                  <c:v>525.74040000000002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5-4CA3-B5D6-06900EFBF23A}"/>
            </c:ext>
          </c:extLst>
        </c:ser>
        <c:ser>
          <c:idx val="0"/>
          <c:order val="0"/>
          <c:tx>
            <c:strRef>
              <c:f>Vehiculo!$B$2</c:f>
              <c:strCache>
                <c:ptCount val="1"/>
                <c:pt idx="0">
                  <c:v># DESEMBOLSOS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0"/>
              <c:layout>
                <c:manualLayout>
                  <c:x val="1.3163266540024449E-2"/>
                  <c:y val="3.14424654780868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C5-4CA3-B5D6-06900EFBF23A}"/>
                </c:ext>
              </c:extLst>
            </c:dLbl>
            <c:dLbl>
              <c:idx val="11"/>
              <c:layout>
                <c:manualLayout>
                  <c:x val="7.3129258555691386E-3"/>
                  <c:y val="4.1399296211964395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C5-4CA3-B5D6-06900EFBF2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Vehiculo!$A$3:$A$14</c:f>
              <c:strCache>
                <c:ptCount val="12"/>
                <c:pt idx="0">
                  <c:v>GM Financial Colombia S.A. Compañía De Financiamiento</c:v>
                </c:pt>
                <c:pt idx="1">
                  <c:v>Bancoomeva</c:v>
                </c:pt>
                <c:pt idx="2">
                  <c:v>RCI Colombia S.A.</c:v>
                </c:pt>
                <c:pt idx="3">
                  <c:v>Finandina</c:v>
                </c:pt>
                <c:pt idx="4">
                  <c:v>BBVA Colombia</c:v>
                </c:pt>
                <c:pt idx="5">
                  <c:v>Banco Santander</c:v>
                </c:pt>
                <c:pt idx="6">
                  <c:v>Banco de Bogotá</c:v>
                </c:pt>
                <c:pt idx="7">
                  <c:v>Banco de Occidente</c:v>
                </c:pt>
                <c:pt idx="8">
                  <c:v>Banco Caja Social S.A.</c:v>
                </c:pt>
                <c:pt idx="9">
                  <c:v>Banco Davivienda</c:v>
                </c:pt>
                <c:pt idx="10">
                  <c:v>Bancolombia</c:v>
                </c:pt>
                <c:pt idx="11">
                  <c:v>PRESENTE</c:v>
                </c:pt>
              </c:strCache>
            </c:strRef>
          </c:cat>
          <c:val>
            <c:numRef>
              <c:f>Vehiculo!$B$3:$B$14</c:f>
              <c:numCache>
                <c:formatCode>_-* #,##0_-;\-* #,##0_-;_-* "-"??_-;_-@_-</c:formatCode>
                <c:ptCount val="12"/>
                <c:pt idx="0">
                  <c:v>658</c:v>
                </c:pt>
                <c:pt idx="1">
                  <c:v>87</c:v>
                </c:pt>
                <c:pt idx="2">
                  <c:v>2207</c:v>
                </c:pt>
                <c:pt idx="3">
                  <c:v>1804</c:v>
                </c:pt>
                <c:pt idx="4">
                  <c:v>727</c:v>
                </c:pt>
                <c:pt idx="5">
                  <c:v>3006</c:v>
                </c:pt>
                <c:pt idx="6">
                  <c:v>1021</c:v>
                </c:pt>
                <c:pt idx="7">
                  <c:v>965</c:v>
                </c:pt>
                <c:pt idx="8">
                  <c:v>353</c:v>
                </c:pt>
                <c:pt idx="9">
                  <c:v>601</c:v>
                </c:pt>
                <c:pt idx="10">
                  <c:v>2989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5-4CA3-B5D6-06900EFBF2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29793120"/>
        <c:axId val="329792640"/>
      </c:barChart>
      <c:lineChart>
        <c:grouping val="standard"/>
        <c:varyColors val="0"/>
        <c:ser>
          <c:idx val="2"/>
          <c:order val="2"/>
          <c:tx>
            <c:strRef>
              <c:f>Vehiculo!$D$2</c:f>
              <c:strCache>
                <c:ptCount val="1"/>
                <c:pt idx="0">
                  <c:v>TPP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Vehiculo!$A$3:$A$14</c:f>
              <c:strCache>
                <c:ptCount val="12"/>
                <c:pt idx="0">
                  <c:v>GM Financial Colombia S.A. Compañía De Financiamiento</c:v>
                </c:pt>
                <c:pt idx="1">
                  <c:v>Bancoomeva</c:v>
                </c:pt>
                <c:pt idx="2">
                  <c:v>RCI Colombia S.A.</c:v>
                </c:pt>
                <c:pt idx="3">
                  <c:v>Finandina</c:v>
                </c:pt>
                <c:pt idx="4">
                  <c:v>BBVA Colombia</c:v>
                </c:pt>
                <c:pt idx="5">
                  <c:v>Banco Santander</c:v>
                </c:pt>
                <c:pt idx="6">
                  <c:v>Banco de Bogotá</c:v>
                </c:pt>
                <c:pt idx="7">
                  <c:v>Banco de Occidente</c:v>
                </c:pt>
                <c:pt idx="8">
                  <c:v>Banco Caja Social S.A.</c:v>
                </c:pt>
                <c:pt idx="9">
                  <c:v>Banco Davivienda</c:v>
                </c:pt>
                <c:pt idx="10">
                  <c:v>Bancolombia</c:v>
                </c:pt>
                <c:pt idx="11">
                  <c:v>PRESENTE</c:v>
                </c:pt>
              </c:strCache>
            </c:strRef>
          </c:cat>
          <c:val>
            <c:numRef>
              <c:f>Vehiculo!$D$3:$D$14</c:f>
              <c:numCache>
                <c:formatCode>General</c:formatCode>
                <c:ptCount val="12"/>
                <c:pt idx="0">
                  <c:v>22.39</c:v>
                </c:pt>
                <c:pt idx="1">
                  <c:v>20.55</c:v>
                </c:pt>
                <c:pt idx="2">
                  <c:v>19.97</c:v>
                </c:pt>
                <c:pt idx="3">
                  <c:v>19.21</c:v>
                </c:pt>
                <c:pt idx="4">
                  <c:v>19.2</c:v>
                </c:pt>
                <c:pt idx="5">
                  <c:v>18.420000000000002</c:v>
                </c:pt>
                <c:pt idx="6">
                  <c:v>16.7</c:v>
                </c:pt>
                <c:pt idx="7">
                  <c:v>16.39</c:v>
                </c:pt>
                <c:pt idx="8">
                  <c:v>16.329999999999998</c:v>
                </c:pt>
                <c:pt idx="9">
                  <c:v>15.91</c:v>
                </c:pt>
                <c:pt idx="10">
                  <c:v>15.52</c:v>
                </c:pt>
                <c:pt idx="11" formatCode="0.00%">
                  <c:v>0.14419999999999999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C5-4CA3-B5D6-06900EFBF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549983"/>
        <c:axId val="1042549503"/>
      </c:lineChart>
      <c:catAx>
        <c:axId val="32979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792640"/>
        <c:crosses val="autoZero"/>
        <c:auto val="1"/>
        <c:lblAlgn val="ctr"/>
        <c:lblOffset val="100"/>
        <c:noMultiLvlLbl val="0"/>
      </c:catAx>
      <c:valAx>
        <c:axId val="329792640"/>
        <c:scaling>
          <c:orientation val="minMax"/>
        </c:scaling>
        <c:delete val="0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793120"/>
        <c:crosses val="autoZero"/>
        <c:crossBetween val="between"/>
      </c:valAx>
      <c:valAx>
        <c:axId val="10425495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2549983"/>
        <c:crosses val="max"/>
        <c:crossBetween val="between"/>
      </c:valAx>
      <c:catAx>
        <c:axId val="1042549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2549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355599</xdr:colOff>
      <xdr:row>1</xdr:row>
      <xdr:rowOff>68261</xdr:rowOff>
    </xdr:from>
    <xdr:to>
      <xdr:col>16</xdr:col>
      <xdr:colOff>38100</xdr:colOff>
      <xdr:row>18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E3D5C6-C190-650E-9EBD-F83158A4D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247649</xdr:colOff>
      <xdr:row>1</xdr:row>
      <xdr:rowOff>76199</xdr:rowOff>
    </xdr:from>
    <xdr:to>
      <xdr:col>25</xdr:col>
      <xdr:colOff>412749</xdr:colOff>
      <xdr:row>18</xdr:row>
      <xdr:rowOff>50799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CA7AAF8-703D-4E1A-9222-DC0A7870A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333375</xdr:colOff>
      <xdr:row>18</xdr:row>
      <xdr:rowOff>139700</xdr:rowOff>
    </xdr:from>
    <xdr:to>
      <xdr:col>16</xdr:col>
      <xdr:colOff>38100</xdr:colOff>
      <xdr:row>34</xdr:row>
      <xdr:rowOff>123825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1A25E84-6AE4-45A5-8744-4063626B5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200025</xdr:colOff>
      <xdr:row>18</xdr:row>
      <xdr:rowOff>171450</xdr:rowOff>
    </xdr:from>
    <xdr:to>
      <xdr:col>25</xdr:col>
      <xdr:colOff>361950</xdr:colOff>
      <xdr:row>34</xdr:row>
      <xdr:rowOff>149225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EA6A6AC-BB90-4DCA-A5F4-1B2E08279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352425</xdr:colOff>
      <xdr:row>35</xdr:row>
      <xdr:rowOff>95250</xdr:rowOff>
    </xdr:from>
    <xdr:to>
      <xdr:col>16</xdr:col>
      <xdr:colOff>57150</xdr:colOff>
      <xdr:row>51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3F9254A-9E2B-4A71-9A58-D23332859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190500</xdr:colOff>
      <xdr:row>34</xdr:row>
      <xdr:rowOff>47625</xdr:rowOff>
    </xdr:from>
    <xdr:to>
      <xdr:col>25</xdr:col>
      <xdr:colOff>352425</xdr:colOff>
      <xdr:row>55</xdr:row>
      <xdr:rowOff>114300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D15E0AF-DC59-4ECE-80CD-10763B70D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388476</xdr:colOff>
      <xdr:row>84</xdr:row>
      <xdr:rowOff>172521</xdr:rowOff>
    </xdr:from>
    <xdr:to>
      <xdr:col>17</xdr:col>
      <xdr:colOff>664535</xdr:colOff>
      <xdr:row>105</xdr:row>
      <xdr:rowOff>88604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7C85BD1-B827-95E6-997A-CC8215D9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168625</xdr:colOff>
      <xdr:row>106</xdr:row>
      <xdr:rowOff>128218</xdr:rowOff>
    </xdr:from>
    <xdr:to>
      <xdr:col>9</xdr:col>
      <xdr:colOff>343343</xdr:colOff>
      <xdr:row>123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EBCA75A-3C91-E545-6A1D-3AA26B6DA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390552</xdr:colOff>
      <xdr:row>106</xdr:row>
      <xdr:rowOff>160289</xdr:rowOff>
    </xdr:from>
    <xdr:to>
      <xdr:col>18</xdr:col>
      <xdr:colOff>542704</xdr:colOff>
      <xdr:row>124</xdr:row>
      <xdr:rowOff>88604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7CC8C7-8DF7-D321-D448-71283CE0C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85143</xdr:colOff>
      <xdr:row>44</xdr:row>
      <xdr:rowOff>163613</xdr:rowOff>
    </xdr:from>
    <xdr:to>
      <xdr:col>17</xdr:col>
      <xdr:colOff>753139</xdr:colOff>
      <xdr:row>63</xdr:row>
      <xdr:rowOff>143982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18B0DAD-6B42-2532-EAB2-BD309E8F0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73236</xdr:colOff>
      <xdr:row>64</xdr:row>
      <xdr:rowOff>159459</xdr:rowOff>
    </xdr:from>
    <xdr:to>
      <xdr:col>9</xdr:col>
      <xdr:colOff>365494</xdr:colOff>
      <xdr:row>83</xdr:row>
      <xdr:rowOff>88604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53D392A-9DA7-662C-4FBA-BCC45128B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40009</xdr:colOff>
      <xdr:row>65</xdr:row>
      <xdr:rowOff>4401</xdr:rowOff>
    </xdr:from>
    <xdr:to>
      <xdr:col>17</xdr:col>
      <xdr:colOff>697762</xdr:colOff>
      <xdr:row>83</xdr:row>
      <xdr:rowOff>77528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CF22661-C1D0-504A-CED8-5FFEC3E52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78672</xdr:colOff>
      <xdr:row>44</xdr:row>
      <xdr:rowOff>151726</xdr:rowOff>
    </xdr:from>
    <xdr:to>
      <xdr:col>9</xdr:col>
      <xdr:colOff>359644</xdr:colOff>
      <xdr:row>63</xdr:row>
      <xdr:rowOff>174205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47DD7308-265F-48DC-A336-C536918DA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188284</xdr:colOff>
      <xdr:row>84</xdr:row>
      <xdr:rowOff>132907</xdr:rowOff>
    </xdr:from>
    <xdr:to>
      <xdr:col>10</xdr:col>
      <xdr:colOff>11076</xdr:colOff>
      <xdr:row>105</xdr:row>
      <xdr:rowOff>121831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59240D7-5752-46B4-8DEF-EED8308A5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339652</xdr:colOff>
      <xdr:row>0</xdr:row>
      <xdr:rowOff>122193</xdr:rowOff>
    </xdr:from>
    <xdr:to>
      <xdr:col>19</xdr:col>
      <xdr:colOff>660843</xdr:colOff>
      <xdr:row>18</xdr:row>
      <xdr:rowOff>143984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4506047-ADB0-4627-AC78-C671C4A79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uperfinanciera.gov.co/powerbi/reportes/536/48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A348-0829-4004-930C-278EACF6EA04}">
  <dimension ref="A1:H61"/>
  <sheetViews>
    <sheetView showGridLines="0" topLeftCell="B1" zoomScale="80" zoomScaleNormal="80" workbookViewId="0">
      <selection activeCell="E7" sqref="E7"/>
    </sheetView>
  </sheetViews>
  <sheetFormatPr baseColWidth="10" defaultRowHeight="15" x14ac:dyDescent="0.25"/>
  <cols>
    <col min="1" max="1" width="21.28515625" customWidth="1"/>
    <col min="2" max="2" width="39.140625" customWidth="1"/>
    <col min="3" max="3" width="30.28515625" bestFit="1" customWidth="1"/>
    <col min="4" max="4" width="34.28515625" customWidth="1"/>
    <col min="5" max="5" width="31.28515625" customWidth="1"/>
    <col min="6" max="6" width="13.28515625" customWidth="1"/>
    <col min="7" max="7" width="11.28515625" bestFit="1" customWidth="1"/>
    <col min="8" max="8" width="17.42578125" bestFit="1" customWidth="1"/>
  </cols>
  <sheetData>
    <row r="1" spans="1:8" x14ac:dyDescent="0.25">
      <c r="A1" s="6" t="s">
        <v>0</v>
      </c>
      <c r="B1" s="6" t="s">
        <v>3</v>
      </c>
      <c r="C1" s="6" t="s">
        <v>76</v>
      </c>
      <c r="D1" s="6" t="s">
        <v>29</v>
      </c>
      <c r="E1" s="6" t="s">
        <v>2</v>
      </c>
      <c r="F1" s="6" t="s">
        <v>7</v>
      </c>
      <c r="H1" s="6" t="s">
        <v>28</v>
      </c>
    </row>
    <row r="2" spans="1:8" x14ac:dyDescent="0.25">
      <c r="A2" t="s">
        <v>1</v>
      </c>
      <c r="B2" t="s">
        <v>83</v>
      </c>
      <c r="C2" s="2">
        <v>80130</v>
      </c>
      <c r="D2" s="7">
        <v>54010</v>
      </c>
      <c r="E2" s="3">
        <v>0.45639999999999997</v>
      </c>
    </row>
    <row r="3" spans="1:8" x14ac:dyDescent="0.25">
      <c r="A3" t="s">
        <v>1</v>
      </c>
      <c r="B3" t="s">
        <v>5</v>
      </c>
      <c r="C3" s="2">
        <v>39066</v>
      </c>
      <c r="D3" s="7">
        <v>26085.354907500001</v>
      </c>
      <c r="E3" s="3">
        <v>0.4597</v>
      </c>
      <c r="F3" s="4">
        <f>+D3/$D$2</f>
        <v>0.48297268852990188</v>
      </c>
    </row>
    <row r="4" spans="1:8" x14ac:dyDescent="0.25">
      <c r="A4" t="s">
        <v>1</v>
      </c>
      <c r="B4" t="s">
        <v>11</v>
      </c>
      <c r="C4" s="2">
        <v>16808</v>
      </c>
      <c r="D4" s="7">
        <v>14567.774158</v>
      </c>
      <c r="E4" s="3">
        <v>0.57389999999999997</v>
      </c>
      <c r="F4" s="4">
        <f t="shared" ref="F4:F7" si="0">+D4/$D$2</f>
        <v>0.2697236466950565</v>
      </c>
    </row>
    <row r="5" spans="1:8" x14ac:dyDescent="0.25">
      <c r="A5" t="s">
        <v>1</v>
      </c>
      <c r="B5" t="s">
        <v>81</v>
      </c>
      <c r="C5" s="2">
        <v>3458</v>
      </c>
      <c r="D5" s="7">
        <v>3195.852304</v>
      </c>
      <c r="E5" s="3">
        <v>0.2452</v>
      </c>
      <c r="F5" s="4">
        <f t="shared" si="0"/>
        <v>5.9171492390298092E-2</v>
      </c>
    </row>
    <row r="6" spans="1:8" x14ac:dyDescent="0.25">
      <c r="A6" t="s">
        <v>1</v>
      </c>
      <c r="B6" t="s">
        <v>86</v>
      </c>
      <c r="C6" s="2">
        <v>11587</v>
      </c>
      <c r="D6" s="7">
        <v>3082.9886280000001</v>
      </c>
      <c r="E6" s="3">
        <v>0.56220000000000003</v>
      </c>
      <c r="F6" s="4">
        <f t="shared" si="0"/>
        <v>5.7081811294204775E-2</v>
      </c>
    </row>
    <row r="7" spans="1:8" x14ac:dyDescent="0.25">
      <c r="A7" s="16" t="s">
        <v>1</v>
      </c>
      <c r="B7" s="17" t="s">
        <v>8</v>
      </c>
      <c r="C7" s="30">
        <v>297</v>
      </c>
      <c r="D7" s="31">
        <v>168</v>
      </c>
      <c r="E7" s="20">
        <v>0.2273</v>
      </c>
      <c r="F7" s="21">
        <f t="shared" si="0"/>
        <v>3.1105350860951677E-3</v>
      </c>
    </row>
    <row r="9" spans="1:8" x14ac:dyDescent="0.25">
      <c r="A9" s="6" t="s">
        <v>0</v>
      </c>
      <c r="B9" s="6" t="s">
        <v>3</v>
      </c>
      <c r="C9" s="6" t="s">
        <v>75</v>
      </c>
      <c r="D9" s="6" t="s">
        <v>29</v>
      </c>
      <c r="E9" s="6" t="s">
        <v>2</v>
      </c>
      <c r="F9" s="6" t="s">
        <v>7</v>
      </c>
    </row>
    <row r="10" spans="1:8" x14ac:dyDescent="0.25">
      <c r="A10" t="s">
        <v>9</v>
      </c>
      <c r="B10" t="s">
        <v>89</v>
      </c>
      <c r="C10" s="10">
        <v>45578</v>
      </c>
      <c r="D10" s="7">
        <v>130910</v>
      </c>
      <c r="E10" s="3">
        <v>0.2276</v>
      </c>
    </row>
    <row r="11" spans="1:8" x14ac:dyDescent="0.25">
      <c r="A11" t="s">
        <v>9</v>
      </c>
      <c r="B11" t="s">
        <v>10</v>
      </c>
      <c r="C11" s="10">
        <v>14399</v>
      </c>
      <c r="D11" s="7">
        <v>41756.649126999997</v>
      </c>
      <c r="E11" s="3">
        <v>0.24510000000000001</v>
      </c>
      <c r="F11" s="39">
        <f>+D11/$D$10</f>
        <v>0.31897218796883353</v>
      </c>
      <c r="G11" s="1"/>
    </row>
    <row r="12" spans="1:8" x14ac:dyDescent="0.25">
      <c r="A12" t="s">
        <v>9</v>
      </c>
      <c r="B12" t="s">
        <v>11</v>
      </c>
      <c r="C12" s="2">
        <v>9178</v>
      </c>
      <c r="D12" s="7">
        <v>26373.196347000001</v>
      </c>
      <c r="E12" s="3">
        <v>0.1908</v>
      </c>
      <c r="F12" s="39">
        <f>+D12/$D$10</f>
        <v>0.20146051750821176</v>
      </c>
    </row>
    <row r="13" spans="1:8" x14ac:dyDescent="0.25">
      <c r="A13" t="s">
        <v>9</v>
      </c>
      <c r="B13" t="s">
        <v>5</v>
      </c>
      <c r="C13" s="2">
        <v>4763</v>
      </c>
      <c r="D13" s="7">
        <v>13242.75626776</v>
      </c>
      <c r="E13" s="3">
        <v>0.2263</v>
      </c>
      <c r="F13" s="39">
        <f t="shared" ref="F13:F16" si="1">+D13/$D$10</f>
        <v>0.10115924121732488</v>
      </c>
    </row>
    <row r="14" spans="1:8" x14ac:dyDescent="0.25">
      <c r="A14" t="s">
        <v>9</v>
      </c>
      <c r="B14" t="s">
        <v>82</v>
      </c>
      <c r="C14" s="2">
        <v>4470</v>
      </c>
      <c r="D14" s="7">
        <v>12620.964260000001</v>
      </c>
      <c r="E14" s="3">
        <v>0.2369</v>
      </c>
      <c r="F14" s="39">
        <f t="shared" si="1"/>
        <v>9.6409474142540683E-2</v>
      </c>
    </row>
    <row r="15" spans="1:8" x14ac:dyDescent="0.25">
      <c r="A15" t="s">
        <v>9</v>
      </c>
      <c r="B15" t="s">
        <v>13</v>
      </c>
      <c r="C15" s="2">
        <v>4163</v>
      </c>
      <c r="D15" s="7">
        <v>12433.56842019</v>
      </c>
      <c r="E15" s="3">
        <v>0.24809999999999999</v>
      </c>
      <c r="F15" s="39">
        <f t="shared" si="1"/>
        <v>9.4977988084867473E-2</v>
      </c>
    </row>
    <row r="16" spans="1:8" x14ac:dyDescent="0.25">
      <c r="A16" s="16" t="s">
        <v>9</v>
      </c>
      <c r="B16" s="17" t="s">
        <v>8</v>
      </c>
      <c r="C16" s="18">
        <v>239</v>
      </c>
      <c r="D16" s="31">
        <v>612</v>
      </c>
      <c r="E16" s="20">
        <v>0.2233</v>
      </c>
      <c r="F16" s="32">
        <f t="shared" si="1"/>
        <v>4.6749675349476742E-3</v>
      </c>
    </row>
    <row r="17" spans="1:6" x14ac:dyDescent="0.25">
      <c r="D17" s="2"/>
    </row>
    <row r="18" spans="1:6" x14ac:dyDescent="0.25">
      <c r="A18" s="6" t="s">
        <v>0</v>
      </c>
      <c r="B18" s="6" t="s">
        <v>3</v>
      </c>
      <c r="C18" s="6" t="s">
        <v>77</v>
      </c>
      <c r="D18" s="6" t="s">
        <v>29</v>
      </c>
      <c r="E18" s="6" t="s">
        <v>2</v>
      </c>
      <c r="F18" s="6" t="s">
        <v>7</v>
      </c>
    </row>
    <row r="19" spans="1:6" x14ac:dyDescent="0.25">
      <c r="A19" t="s">
        <v>12</v>
      </c>
      <c r="B19" t="s">
        <v>84</v>
      </c>
      <c r="C19" s="2">
        <v>43445</v>
      </c>
      <c r="D19" s="7">
        <v>266600</v>
      </c>
      <c r="E19" s="3">
        <v>0.23050000000000001</v>
      </c>
    </row>
    <row r="20" spans="1:6" x14ac:dyDescent="0.25">
      <c r="A20" t="s">
        <v>12</v>
      </c>
      <c r="B20" t="s">
        <v>72</v>
      </c>
      <c r="C20" s="2">
        <v>10677</v>
      </c>
      <c r="D20" s="7">
        <v>63489.667370000003</v>
      </c>
      <c r="E20" s="3">
        <v>0.2427</v>
      </c>
      <c r="F20" s="4">
        <f>+D20/$D$19</f>
        <v>0.23814578908477121</v>
      </c>
    </row>
    <row r="21" spans="1:6" x14ac:dyDescent="0.25">
      <c r="A21" t="s">
        <v>12</v>
      </c>
      <c r="B21" t="s">
        <v>5</v>
      </c>
      <c r="C21" s="2">
        <v>8655</v>
      </c>
      <c r="D21" s="7">
        <v>55709.647361260002</v>
      </c>
      <c r="E21" s="3">
        <v>0.22520000000000001</v>
      </c>
      <c r="F21" s="4">
        <f t="shared" ref="F21:F26" si="2">+D21/$D$19</f>
        <v>0.20896341845933986</v>
      </c>
    </row>
    <row r="22" spans="1:6" x14ac:dyDescent="0.25">
      <c r="A22" t="s">
        <v>12</v>
      </c>
      <c r="B22" t="s">
        <v>11</v>
      </c>
      <c r="C22" s="2">
        <v>6228</v>
      </c>
      <c r="D22" s="7">
        <v>37939.789820999998</v>
      </c>
      <c r="E22" s="3">
        <v>0.21310000000000001</v>
      </c>
      <c r="F22" s="4">
        <f t="shared" si="2"/>
        <v>0.14230978927606902</v>
      </c>
    </row>
    <row r="23" spans="1:6" x14ac:dyDescent="0.25">
      <c r="A23" t="s">
        <v>12</v>
      </c>
      <c r="B23" t="s">
        <v>82</v>
      </c>
      <c r="C23" s="2">
        <v>5644</v>
      </c>
      <c r="D23" s="7">
        <v>35771.805007000003</v>
      </c>
      <c r="E23" s="3">
        <v>0.2382</v>
      </c>
      <c r="F23" s="4">
        <f t="shared" si="2"/>
        <v>0.13417781322955741</v>
      </c>
    </row>
    <row r="24" spans="1:6" x14ac:dyDescent="0.25">
      <c r="A24" t="s">
        <v>12</v>
      </c>
      <c r="B24" t="s">
        <v>13</v>
      </c>
      <c r="C24" s="2">
        <v>3106</v>
      </c>
      <c r="D24" s="7">
        <v>18012.849729019999</v>
      </c>
      <c r="E24" s="3">
        <v>0.2452</v>
      </c>
      <c r="F24" s="4">
        <f t="shared" si="2"/>
        <v>6.7565077753263314E-2</v>
      </c>
    </row>
    <row r="25" spans="1:6" x14ac:dyDescent="0.25">
      <c r="A25" t="s">
        <v>12</v>
      </c>
      <c r="B25" t="s">
        <v>30</v>
      </c>
      <c r="C25" s="2">
        <v>1964</v>
      </c>
      <c r="D25" s="7">
        <v>11777.135308209999</v>
      </c>
      <c r="E25" s="3">
        <v>0.21360000000000001</v>
      </c>
      <c r="F25" s="4">
        <f t="shared" si="2"/>
        <v>4.4175301231095275E-2</v>
      </c>
    </row>
    <row r="26" spans="1:6" x14ac:dyDescent="0.25">
      <c r="A26" s="16" t="s">
        <v>12</v>
      </c>
      <c r="B26" s="17" t="s">
        <v>8</v>
      </c>
      <c r="C26" s="18">
        <v>107</v>
      </c>
      <c r="D26" s="31">
        <v>660</v>
      </c>
      <c r="E26" s="20">
        <v>0.21379999999999999</v>
      </c>
      <c r="F26" s="21">
        <f t="shared" si="2"/>
        <v>2.4756189047261817E-3</v>
      </c>
    </row>
    <row r="28" spans="1:6" x14ac:dyDescent="0.25">
      <c r="A28" s="6" t="s">
        <v>0</v>
      </c>
      <c r="B28" s="6" t="s">
        <v>3</v>
      </c>
      <c r="C28" s="6" t="s">
        <v>78</v>
      </c>
      <c r="D28" s="6" t="s">
        <v>29</v>
      </c>
      <c r="E28" s="6" t="s">
        <v>2</v>
      </c>
      <c r="F28" s="6" t="s">
        <v>7</v>
      </c>
    </row>
    <row r="29" spans="1:6" x14ac:dyDescent="0.25">
      <c r="A29" t="s">
        <v>24</v>
      </c>
      <c r="B29" t="s">
        <v>89</v>
      </c>
      <c r="C29" s="2">
        <v>42609</v>
      </c>
      <c r="D29" s="7">
        <v>506650</v>
      </c>
      <c r="E29" s="3">
        <v>0.22309999999999999</v>
      </c>
    </row>
    <row r="30" spans="1:6" x14ac:dyDescent="0.25">
      <c r="A30" t="s">
        <v>24</v>
      </c>
      <c r="B30" t="s">
        <v>5</v>
      </c>
      <c r="C30" s="2">
        <v>9268</v>
      </c>
      <c r="D30" s="7">
        <v>111051.34299124</v>
      </c>
      <c r="E30" s="3">
        <v>0.21609999999999999</v>
      </c>
      <c r="F30" s="4">
        <f>+D30/$D$29</f>
        <v>0.21918749233443205</v>
      </c>
    </row>
    <row r="31" spans="1:6" x14ac:dyDescent="0.25">
      <c r="A31" t="s">
        <v>24</v>
      </c>
      <c r="B31" t="s">
        <v>11</v>
      </c>
      <c r="C31" s="2">
        <v>8150</v>
      </c>
      <c r="D31" s="7">
        <v>102338.58885099999</v>
      </c>
      <c r="E31" s="3">
        <v>0.21820000000000001</v>
      </c>
      <c r="F31" s="4">
        <f t="shared" ref="F31:F37" si="3">+D31/$D$29</f>
        <v>0.20199070137372938</v>
      </c>
    </row>
    <row r="32" spans="1:6" x14ac:dyDescent="0.25">
      <c r="A32" t="s">
        <v>24</v>
      </c>
      <c r="B32" t="s">
        <v>72</v>
      </c>
      <c r="C32" s="2">
        <v>6507</v>
      </c>
      <c r="D32" s="7">
        <v>76955.254180999997</v>
      </c>
      <c r="E32" s="3">
        <v>0.23719999999999999</v>
      </c>
      <c r="F32" s="4">
        <f t="shared" si="3"/>
        <v>0.1518903664877134</v>
      </c>
    </row>
    <row r="33" spans="1:8" x14ac:dyDescent="0.25">
      <c r="A33" t="s">
        <v>24</v>
      </c>
      <c r="B33" t="s">
        <v>6</v>
      </c>
      <c r="C33" s="2">
        <v>5594</v>
      </c>
      <c r="D33" s="7">
        <v>59129.113824</v>
      </c>
      <c r="E33" s="3">
        <v>0.23400000000000001</v>
      </c>
      <c r="F33" s="4">
        <f t="shared" si="3"/>
        <v>0.11670603735122866</v>
      </c>
    </row>
    <row r="34" spans="1:8" x14ac:dyDescent="0.25">
      <c r="A34" t="s">
        <v>24</v>
      </c>
      <c r="B34" t="s">
        <v>13</v>
      </c>
      <c r="C34" s="2">
        <v>3604</v>
      </c>
      <c r="D34" s="7">
        <v>42480.756527449994</v>
      </c>
      <c r="E34" s="3">
        <v>0.2429</v>
      </c>
      <c r="F34" s="4">
        <f t="shared" si="3"/>
        <v>8.3846356513273448E-2</v>
      </c>
    </row>
    <row r="35" spans="1:8" x14ac:dyDescent="0.25">
      <c r="A35" t="s">
        <v>24</v>
      </c>
      <c r="B35" t="s">
        <v>30</v>
      </c>
      <c r="C35" s="2">
        <v>1791</v>
      </c>
      <c r="D35" s="7">
        <v>21361.98042697</v>
      </c>
      <c r="E35" s="3">
        <v>0.20519999999999999</v>
      </c>
      <c r="F35" s="4">
        <f t="shared" si="3"/>
        <v>4.2163190421336226E-2</v>
      </c>
    </row>
    <row r="36" spans="1:8" x14ac:dyDescent="0.25">
      <c r="A36" t="s">
        <v>24</v>
      </c>
      <c r="B36" t="s">
        <v>70</v>
      </c>
      <c r="C36" s="2">
        <v>1578</v>
      </c>
      <c r="D36" s="7">
        <v>18753.8</v>
      </c>
      <c r="E36" s="3">
        <v>0.2319</v>
      </c>
      <c r="F36" s="4">
        <f>+D36/$D$29</f>
        <v>3.7015296555807757E-2</v>
      </c>
    </row>
    <row r="37" spans="1:8" x14ac:dyDescent="0.25">
      <c r="A37" s="16" t="s">
        <v>24</v>
      </c>
      <c r="B37" s="17" t="s">
        <v>8</v>
      </c>
      <c r="C37" s="18">
        <v>81</v>
      </c>
      <c r="D37" s="31">
        <v>986</v>
      </c>
      <c r="E37" s="20">
        <v>0.2114</v>
      </c>
      <c r="F37" s="21">
        <f t="shared" si="3"/>
        <v>1.9461166485739664E-3</v>
      </c>
    </row>
    <row r="39" spans="1:8" x14ac:dyDescent="0.25">
      <c r="A39" s="6" t="s">
        <v>0</v>
      </c>
      <c r="B39" s="6" t="s">
        <v>3</v>
      </c>
      <c r="C39" s="6" t="s">
        <v>79</v>
      </c>
      <c r="D39" s="6" t="s">
        <v>29</v>
      </c>
      <c r="E39" s="6" t="s">
        <v>2</v>
      </c>
      <c r="F39" s="6" t="s">
        <v>7</v>
      </c>
    </row>
    <row r="40" spans="1:8" x14ac:dyDescent="0.25">
      <c r="A40" t="s">
        <v>25</v>
      </c>
      <c r="B40" t="s">
        <v>89</v>
      </c>
      <c r="C40" s="2">
        <v>27427</v>
      </c>
      <c r="D40" s="7">
        <v>673130</v>
      </c>
      <c r="E40" s="3">
        <v>0.21260000000000001</v>
      </c>
    </row>
    <row r="41" spans="1:8" x14ac:dyDescent="0.25">
      <c r="A41" t="s">
        <v>25</v>
      </c>
      <c r="B41" t="s">
        <v>5</v>
      </c>
      <c r="C41" s="2">
        <v>7004</v>
      </c>
      <c r="D41" s="7">
        <v>174278.55108866</v>
      </c>
      <c r="E41" s="3">
        <v>0.20710000000000001</v>
      </c>
      <c r="F41" s="39">
        <f t="shared" ref="F41:F47" si="4">+D41/$D$40</f>
        <v>0.25890771632323623</v>
      </c>
      <c r="H41" s="7"/>
    </row>
    <row r="42" spans="1:8" x14ac:dyDescent="0.25">
      <c r="A42" t="s">
        <v>25</v>
      </c>
      <c r="B42" t="s">
        <v>11</v>
      </c>
      <c r="C42" s="2">
        <v>6790</v>
      </c>
      <c r="D42" s="7">
        <v>167536.87223099999</v>
      </c>
      <c r="E42" s="3">
        <v>0.21260000000000001</v>
      </c>
      <c r="F42" s="39">
        <f t="shared" si="4"/>
        <v>0.24889229752202396</v>
      </c>
    </row>
    <row r="43" spans="1:8" x14ac:dyDescent="0.25">
      <c r="A43" t="s">
        <v>25</v>
      </c>
      <c r="B43" t="s">
        <v>72</v>
      </c>
      <c r="C43" s="2">
        <v>3254</v>
      </c>
      <c r="D43" s="7">
        <v>80693.848532000004</v>
      </c>
      <c r="E43" s="3">
        <v>0.22389999999999999</v>
      </c>
      <c r="F43" s="39">
        <f t="shared" si="4"/>
        <v>0.11987855025329432</v>
      </c>
    </row>
    <row r="44" spans="1:8" x14ac:dyDescent="0.25">
      <c r="A44" t="s">
        <v>25</v>
      </c>
      <c r="B44" t="s">
        <v>13</v>
      </c>
      <c r="C44" s="2">
        <v>2549</v>
      </c>
      <c r="D44" s="7">
        <v>62574.858076459997</v>
      </c>
      <c r="E44" s="3">
        <v>0.23730000000000001</v>
      </c>
      <c r="F44" s="39">
        <f t="shared" si="4"/>
        <v>9.2961029929523264E-2</v>
      </c>
    </row>
    <row r="45" spans="1:8" x14ac:dyDescent="0.25">
      <c r="A45" t="s">
        <v>25</v>
      </c>
      <c r="B45" t="s">
        <v>6</v>
      </c>
      <c r="C45" s="2">
        <v>1566</v>
      </c>
      <c r="D45" s="7">
        <v>38204.788568000004</v>
      </c>
      <c r="E45" s="3">
        <v>0.2127</v>
      </c>
      <c r="F45" s="39">
        <f t="shared" si="4"/>
        <v>5.6756924469270428E-2</v>
      </c>
    </row>
    <row r="46" spans="1:8" x14ac:dyDescent="0.25">
      <c r="A46" t="s">
        <v>25</v>
      </c>
      <c r="B46" t="s">
        <v>73</v>
      </c>
      <c r="C46" s="2">
        <v>1048</v>
      </c>
      <c r="D46" s="7">
        <v>25401.479522000001</v>
      </c>
      <c r="E46" s="3">
        <v>0.20130000000000001</v>
      </c>
      <c r="F46" s="39">
        <f t="shared" si="4"/>
        <v>3.7736365222171053E-2</v>
      </c>
    </row>
    <row r="47" spans="1:8" x14ac:dyDescent="0.25">
      <c r="A47" s="16" t="s">
        <v>25</v>
      </c>
      <c r="B47" s="17" t="s">
        <v>8</v>
      </c>
      <c r="C47" s="33">
        <v>40</v>
      </c>
      <c r="D47" s="34">
        <v>949</v>
      </c>
      <c r="E47" s="35">
        <v>0.193</v>
      </c>
      <c r="F47" s="21">
        <f t="shared" si="4"/>
        <v>1.4098316818445173E-3</v>
      </c>
    </row>
    <row r="49" spans="1:6" x14ac:dyDescent="0.25">
      <c r="A49" s="6" t="s">
        <v>0</v>
      </c>
      <c r="B49" s="6" t="s">
        <v>3</v>
      </c>
      <c r="C49" s="6" t="s">
        <v>80</v>
      </c>
      <c r="D49" s="6" t="s">
        <v>29</v>
      </c>
      <c r="E49" s="6" t="s">
        <v>2</v>
      </c>
      <c r="F49" s="6" t="s">
        <v>7</v>
      </c>
    </row>
    <row r="50" spans="1:6" x14ac:dyDescent="0.25">
      <c r="A50" t="s">
        <v>26</v>
      </c>
      <c r="B50" t="s">
        <v>87</v>
      </c>
      <c r="C50" s="2">
        <v>313737</v>
      </c>
      <c r="D50" s="7">
        <v>3420000</v>
      </c>
      <c r="E50" s="3">
        <v>0.21690000000000001</v>
      </c>
    </row>
    <row r="51" spans="1:6" x14ac:dyDescent="0.25">
      <c r="A51" t="s">
        <v>26</v>
      </c>
      <c r="B51" t="s">
        <v>5</v>
      </c>
      <c r="C51" s="2">
        <v>116728</v>
      </c>
      <c r="D51" s="7">
        <v>996314</v>
      </c>
      <c r="E51" s="3">
        <v>0.23130000000000001</v>
      </c>
      <c r="F51" s="4">
        <f t="shared" ref="F51:F58" si="5">+D51/$D$50</f>
        <v>0.29131988304093565</v>
      </c>
    </row>
    <row r="52" spans="1:6" x14ac:dyDescent="0.25">
      <c r="A52" t="s">
        <v>26</v>
      </c>
      <c r="B52" t="s">
        <v>11</v>
      </c>
      <c r="C52" s="2">
        <v>54181</v>
      </c>
      <c r="D52" s="7">
        <v>558904</v>
      </c>
      <c r="E52" s="3">
        <v>0.22120000000000001</v>
      </c>
      <c r="F52" s="4">
        <f t="shared" si="5"/>
        <v>0.16342222222222222</v>
      </c>
    </row>
    <row r="53" spans="1:6" x14ac:dyDescent="0.25">
      <c r="A53" t="s">
        <v>26</v>
      </c>
      <c r="B53" t="s">
        <v>72</v>
      </c>
      <c r="C53" s="2">
        <v>40966</v>
      </c>
      <c r="D53" s="7">
        <v>488165</v>
      </c>
      <c r="E53" s="3">
        <v>0.20630000000000001</v>
      </c>
      <c r="F53" s="4">
        <f t="shared" si="5"/>
        <v>0.14273830409356725</v>
      </c>
    </row>
    <row r="54" spans="1:6" x14ac:dyDescent="0.25">
      <c r="A54" t="s">
        <v>26</v>
      </c>
      <c r="B54" t="s">
        <v>13</v>
      </c>
      <c r="C54" s="2">
        <v>15676</v>
      </c>
      <c r="D54" s="7">
        <v>244693</v>
      </c>
      <c r="E54" s="3">
        <v>0.23230000000000001</v>
      </c>
      <c r="F54" s="4">
        <f t="shared" si="5"/>
        <v>7.1547660818713457E-2</v>
      </c>
    </row>
    <row r="55" spans="1:6" x14ac:dyDescent="0.25">
      <c r="A55" t="s">
        <v>26</v>
      </c>
      <c r="B55" t="s">
        <v>6</v>
      </c>
      <c r="C55" s="2">
        <v>20067</v>
      </c>
      <c r="D55" s="7">
        <v>189954</v>
      </c>
      <c r="E55" s="3">
        <v>0.22209999999999999</v>
      </c>
      <c r="F55" s="4">
        <f t="shared" si="5"/>
        <v>5.5542105263157893E-2</v>
      </c>
    </row>
    <row r="56" spans="1:6" x14ac:dyDescent="0.25">
      <c r="A56" t="s">
        <v>26</v>
      </c>
      <c r="B56" t="s">
        <v>90</v>
      </c>
      <c r="C56" s="28">
        <v>6953</v>
      </c>
      <c r="D56" s="7">
        <v>178629</v>
      </c>
      <c r="E56" s="3">
        <v>0.20949999999999999</v>
      </c>
      <c r="F56" s="4">
        <f>+D56/$D$50</f>
        <v>5.2230701754385968E-2</v>
      </c>
    </row>
    <row r="57" spans="1:6" x14ac:dyDescent="0.25">
      <c r="A57" t="s">
        <v>26</v>
      </c>
      <c r="B57" t="s">
        <v>27</v>
      </c>
      <c r="C57" s="28">
        <v>2415</v>
      </c>
      <c r="D57" s="7">
        <v>154328</v>
      </c>
      <c r="E57" s="3">
        <v>0.1845</v>
      </c>
      <c r="F57" s="4">
        <f t="shared" si="5"/>
        <v>4.5125146198830408E-2</v>
      </c>
    </row>
    <row r="58" spans="1:6" x14ac:dyDescent="0.25">
      <c r="A58" t="s">
        <v>26</v>
      </c>
      <c r="B58" t="s">
        <v>57</v>
      </c>
      <c r="C58" s="2">
        <v>3503</v>
      </c>
      <c r="D58" s="7">
        <v>129450</v>
      </c>
      <c r="E58" s="3">
        <v>0.17760000000000001</v>
      </c>
      <c r="F58" s="4">
        <f t="shared" si="5"/>
        <v>3.7850877192982454E-2</v>
      </c>
    </row>
    <row r="59" spans="1:6" x14ac:dyDescent="0.25">
      <c r="A59" s="16" t="s">
        <v>26</v>
      </c>
      <c r="B59" s="17" t="s">
        <v>8</v>
      </c>
      <c r="C59" s="18">
        <v>782</v>
      </c>
      <c r="D59" s="31">
        <v>4790</v>
      </c>
      <c r="E59" s="32">
        <v>0.19339999999999999</v>
      </c>
      <c r="F59" s="21">
        <f>+D59/$D$50</f>
        <v>1.4005847953216374E-3</v>
      </c>
    </row>
    <row r="61" spans="1:6" x14ac:dyDescent="0.25">
      <c r="C61" s="8">
        <f>+C7+C16+C26+C37+C47</f>
        <v>764</v>
      </c>
      <c r="D61" s="8">
        <f>+D7+D16+D26+D37+D47</f>
        <v>3375</v>
      </c>
      <c r="E61" s="3">
        <v>0.17949999999999999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1669-B199-40F7-8314-5EE5E1FD7D6F}">
  <dimension ref="A1:P42"/>
  <sheetViews>
    <sheetView showGridLines="0" tabSelected="1" topLeftCell="A82" zoomScale="90" zoomScaleNormal="90" workbookViewId="0">
      <selection activeCell="F10" sqref="F10"/>
    </sheetView>
  </sheetViews>
  <sheetFormatPr baseColWidth="10" defaultRowHeight="15" x14ac:dyDescent="0.25"/>
  <cols>
    <col min="1" max="1" width="20.5703125" customWidth="1"/>
    <col min="2" max="2" width="19.7109375" customWidth="1"/>
    <col min="3" max="3" width="24.42578125" customWidth="1"/>
    <col min="4" max="4" width="14.7109375" bestFit="1" customWidth="1"/>
    <col min="5" max="5" width="16.7109375" bestFit="1" customWidth="1"/>
    <col min="9" max="9" width="20.5703125" customWidth="1"/>
    <col min="10" max="10" width="39.42578125" customWidth="1"/>
    <col min="11" max="11" width="24.28515625" customWidth="1"/>
    <col min="12" max="12" width="33.7109375" customWidth="1"/>
    <col min="13" max="13" width="31.140625" customWidth="1"/>
    <col min="26" max="26" width="20.5703125" customWidth="1"/>
    <col min="27" max="27" width="39.42578125" customWidth="1"/>
    <col min="28" max="28" width="24.28515625" customWidth="1"/>
    <col min="29" max="29" width="33.7109375" customWidth="1"/>
    <col min="30" max="30" width="14" bestFit="1" customWidth="1"/>
  </cols>
  <sheetData>
    <row r="1" spans="1:16" x14ac:dyDescent="0.25">
      <c r="A1" s="5" t="s">
        <v>52</v>
      </c>
      <c r="J1" s="5" t="s">
        <v>52</v>
      </c>
    </row>
    <row r="2" spans="1:16" x14ac:dyDescent="0.25">
      <c r="A2" s="6" t="s">
        <v>0</v>
      </c>
      <c r="B2" s="6" t="s">
        <v>49</v>
      </c>
      <c r="C2" s="6" t="s">
        <v>3</v>
      </c>
      <c r="D2" s="6" t="s">
        <v>4</v>
      </c>
      <c r="E2" s="6" t="s">
        <v>29</v>
      </c>
      <c r="F2" s="6" t="s">
        <v>2</v>
      </c>
      <c r="G2" s="6" t="s">
        <v>7</v>
      </c>
      <c r="J2" s="6" t="s">
        <v>0</v>
      </c>
      <c r="K2" s="6" t="s">
        <v>49</v>
      </c>
      <c r="L2" s="6" t="s">
        <v>3</v>
      </c>
      <c r="M2" s="6" t="s">
        <v>4</v>
      </c>
      <c r="N2" s="6" t="s">
        <v>29</v>
      </c>
      <c r="O2" s="6" t="s">
        <v>2</v>
      </c>
      <c r="P2" s="6" t="s">
        <v>7</v>
      </c>
    </row>
    <row r="3" spans="1:16" x14ac:dyDescent="0.25">
      <c r="A3" t="s">
        <v>48</v>
      </c>
      <c r="B3" t="s">
        <v>50</v>
      </c>
      <c r="C3" t="s">
        <v>99</v>
      </c>
      <c r="D3" s="2"/>
      <c r="E3" s="8">
        <v>758780</v>
      </c>
      <c r="F3" s="3">
        <v>0.1242</v>
      </c>
      <c r="J3" t="s">
        <v>48</v>
      </c>
      <c r="K3" t="s">
        <v>51</v>
      </c>
      <c r="L3" t="s">
        <v>102</v>
      </c>
      <c r="M3" s="2">
        <v>765</v>
      </c>
      <c r="N3" s="8">
        <v>78530</v>
      </c>
      <c r="O3" s="3">
        <v>0.1181</v>
      </c>
    </row>
    <row r="4" spans="1:16" x14ac:dyDescent="0.25">
      <c r="A4" t="s">
        <v>48</v>
      </c>
      <c r="B4" t="s">
        <v>50</v>
      </c>
      <c r="C4" t="s">
        <v>11</v>
      </c>
      <c r="D4" s="2">
        <v>2166</v>
      </c>
      <c r="E4" s="8">
        <v>233659.95696400001</v>
      </c>
      <c r="F4" s="3">
        <v>0.12590000000000001</v>
      </c>
      <c r="G4" s="4">
        <f>+E4/$E$3</f>
        <v>0.30794163916286671</v>
      </c>
      <c r="J4" t="s">
        <v>48</v>
      </c>
      <c r="K4" t="s">
        <v>51</v>
      </c>
      <c r="L4" t="s">
        <v>11</v>
      </c>
      <c r="M4">
        <v>171</v>
      </c>
      <c r="N4" s="8">
        <v>18148.374168999999</v>
      </c>
      <c r="O4" s="3">
        <v>0.12369999999999999</v>
      </c>
      <c r="P4" s="4">
        <v>0.2311</v>
      </c>
    </row>
    <row r="5" spans="1:16" x14ac:dyDescent="0.25">
      <c r="A5" t="s">
        <v>48</v>
      </c>
      <c r="B5" t="s">
        <v>50</v>
      </c>
      <c r="C5" t="s">
        <v>5</v>
      </c>
      <c r="D5" s="2">
        <v>1852</v>
      </c>
      <c r="E5" s="8">
        <v>224657.42087939999</v>
      </c>
      <c r="F5" s="3">
        <v>0.1283</v>
      </c>
      <c r="G5" s="4">
        <f>+E5/$E$3</f>
        <v>0.29607715132106799</v>
      </c>
      <c r="J5" t="s">
        <v>48</v>
      </c>
      <c r="K5" t="s">
        <v>51</v>
      </c>
      <c r="L5" t="s">
        <v>74</v>
      </c>
      <c r="M5">
        <v>168</v>
      </c>
      <c r="N5" s="8">
        <v>18065.610097000001</v>
      </c>
      <c r="O5" s="3">
        <v>0.113</v>
      </c>
      <c r="P5" s="4">
        <v>0.23</v>
      </c>
    </row>
    <row r="6" spans="1:16" x14ac:dyDescent="0.25">
      <c r="A6" t="s">
        <v>48</v>
      </c>
      <c r="B6" t="s">
        <v>50</v>
      </c>
      <c r="C6" t="s">
        <v>72</v>
      </c>
      <c r="D6" s="2">
        <v>779</v>
      </c>
      <c r="E6" s="8">
        <v>88081.749335999993</v>
      </c>
      <c r="F6" s="3">
        <v>0.12909999999999999</v>
      </c>
      <c r="G6" s="4">
        <f>+E6/$E$3</f>
        <v>0.11608338297793826</v>
      </c>
      <c r="J6" t="s">
        <v>48</v>
      </c>
      <c r="K6" t="s">
        <v>51</v>
      </c>
      <c r="L6" t="s">
        <v>5</v>
      </c>
      <c r="M6">
        <v>138</v>
      </c>
      <c r="N6" s="8">
        <v>14657.024181000001</v>
      </c>
      <c r="O6" s="3">
        <v>0.12210000000000001</v>
      </c>
      <c r="P6" s="4">
        <v>0.18659999999999999</v>
      </c>
    </row>
    <row r="7" spans="1:16" x14ac:dyDescent="0.25">
      <c r="A7" t="s">
        <v>48</v>
      </c>
      <c r="B7" t="s">
        <v>50</v>
      </c>
      <c r="C7" t="s">
        <v>70</v>
      </c>
      <c r="D7" s="2">
        <v>1017</v>
      </c>
      <c r="E7" s="8">
        <v>73306.334199999998</v>
      </c>
      <c r="F7" s="3">
        <v>0.11869999999999999</v>
      </c>
      <c r="G7" s="4">
        <f t="shared" ref="G7:G8" si="0">+E7/$E$3</f>
        <v>9.6610788634386782E-2</v>
      </c>
      <c r="J7" t="s">
        <v>48</v>
      </c>
      <c r="K7" t="s">
        <v>51</v>
      </c>
      <c r="L7" t="s">
        <v>13</v>
      </c>
      <c r="M7">
        <v>115</v>
      </c>
      <c r="N7" s="8">
        <v>13413.544986999999</v>
      </c>
      <c r="O7" s="3">
        <v>0.1082</v>
      </c>
      <c r="P7" s="4">
        <v>0.17080000000000001</v>
      </c>
    </row>
    <row r="8" spans="1:16" x14ac:dyDescent="0.25">
      <c r="A8" t="s">
        <v>48</v>
      </c>
      <c r="B8" t="s">
        <v>50</v>
      </c>
      <c r="C8" t="s">
        <v>13</v>
      </c>
      <c r="D8" s="2">
        <v>577</v>
      </c>
      <c r="E8" s="8">
        <v>60146.589056669996</v>
      </c>
      <c r="F8" s="3">
        <v>0.11220000000000001</v>
      </c>
      <c r="G8" s="4">
        <f t="shared" si="0"/>
        <v>7.9267493946427153E-2</v>
      </c>
      <c r="J8" t="s">
        <v>48</v>
      </c>
      <c r="K8" t="s">
        <v>51</v>
      </c>
      <c r="L8" s="5" t="s">
        <v>8</v>
      </c>
      <c r="M8" t="s">
        <v>44</v>
      </c>
      <c r="N8" t="s">
        <v>44</v>
      </c>
      <c r="O8" t="s">
        <v>44</v>
      </c>
    </row>
    <row r="9" spans="1:16" x14ac:dyDescent="0.25">
      <c r="A9" t="s">
        <v>48</v>
      </c>
      <c r="B9" t="s">
        <v>50</v>
      </c>
      <c r="C9" t="s">
        <v>53</v>
      </c>
      <c r="D9" s="2">
        <v>408</v>
      </c>
      <c r="E9" s="8">
        <v>37987.075376360001</v>
      </c>
      <c r="F9" s="3">
        <v>0.1105</v>
      </c>
      <c r="G9" s="4">
        <f>+E9/$E$3</f>
        <v>5.0063358781675851E-2</v>
      </c>
    </row>
    <row r="10" spans="1:16" x14ac:dyDescent="0.25">
      <c r="A10" s="16" t="s">
        <v>48</v>
      </c>
      <c r="B10" s="16" t="s">
        <v>50</v>
      </c>
      <c r="C10" s="17" t="s">
        <v>8</v>
      </c>
      <c r="D10" s="18">
        <v>7</v>
      </c>
      <c r="E10" s="19">
        <v>627</v>
      </c>
      <c r="F10" s="20">
        <v>0.10290000000000001</v>
      </c>
      <c r="G10" s="21">
        <f>+E10/$E$3</f>
        <v>8.2632647144099741E-4</v>
      </c>
    </row>
    <row r="11" spans="1:16" x14ac:dyDescent="0.25">
      <c r="D11" s="2"/>
      <c r="E11" s="8"/>
      <c r="F11" s="3"/>
    </row>
    <row r="12" spans="1:16" x14ac:dyDescent="0.25">
      <c r="A12" s="5" t="s">
        <v>54</v>
      </c>
      <c r="J12" s="5" t="s">
        <v>54</v>
      </c>
    </row>
    <row r="13" spans="1:16" x14ac:dyDescent="0.25">
      <c r="A13" s="6" t="s">
        <v>0</v>
      </c>
      <c r="B13" s="6" t="s">
        <v>49</v>
      </c>
      <c r="C13" s="6" t="s">
        <v>3</v>
      </c>
      <c r="D13" s="6" t="s">
        <v>4</v>
      </c>
      <c r="E13" s="6" t="s">
        <v>29</v>
      </c>
      <c r="F13" s="6" t="s">
        <v>2</v>
      </c>
      <c r="G13" s="6" t="s">
        <v>7</v>
      </c>
      <c r="J13" s="6" t="s">
        <v>0</v>
      </c>
      <c r="K13" s="6" t="s">
        <v>49</v>
      </c>
      <c r="L13" s="6" t="s">
        <v>3</v>
      </c>
      <c r="M13" s="6" t="s">
        <v>4</v>
      </c>
      <c r="N13" s="6" t="s">
        <v>29</v>
      </c>
      <c r="O13" s="6" t="s">
        <v>2</v>
      </c>
      <c r="P13" s="6" t="s">
        <v>7</v>
      </c>
    </row>
    <row r="14" spans="1:16" x14ac:dyDescent="0.25">
      <c r="A14" t="s">
        <v>48</v>
      </c>
      <c r="B14" t="s">
        <v>50</v>
      </c>
      <c r="C14" t="s">
        <v>100</v>
      </c>
      <c r="D14" s="2">
        <v>443</v>
      </c>
      <c r="E14" s="8">
        <v>52690</v>
      </c>
      <c r="F14" s="3">
        <v>0.1232</v>
      </c>
      <c r="G14" s="4"/>
      <c r="J14" t="s">
        <v>48</v>
      </c>
      <c r="K14" t="s">
        <v>51</v>
      </c>
      <c r="L14" t="s">
        <v>101</v>
      </c>
      <c r="M14" s="2">
        <v>2911</v>
      </c>
      <c r="N14" s="8">
        <v>326540</v>
      </c>
      <c r="O14" s="3">
        <v>0.11600000000000001</v>
      </c>
    </row>
    <row r="15" spans="1:16" x14ac:dyDescent="0.25">
      <c r="A15" t="s">
        <v>48</v>
      </c>
      <c r="B15" t="s">
        <v>50</v>
      </c>
      <c r="C15" t="s">
        <v>10</v>
      </c>
      <c r="D15" s="2">
        <v>308</v>
      </c>
      <c r="E15" s="8">
        <v>35899.367310000001</v>
      </c>
      <c r="F15" s="3">
        <v>0.12960000000000002</v>
      </c>
      <c r="G15" s="4">
        <f>+E15/$E$14</f>
        <v>0.6813317007022206</v>
      </c>
      <c r="J15" t="s">
        <v>48</v>
      </c>
      <c r="K15" t="s">
        <v>51</v>
      </c>
      <c r="L15" t="s">
        <v>5</v>
      </c>
      <c r="M15" s="2">
        <v>1112</v>
      </c>
      <c r="N15" s="8">
        <v>116610.49122663001</v>
      </c>
      <c r="O15" s="3">
        <v>0.1226</v>
      </c>
      <c r="P15" s="4">
        <f>+N15/$N$14</f>
        <v>0.3571093624873829</v>
      </c>
    </row>
    <row r="16" spans="1:16" x14ac:dyDescent="0.25">
      <c r="A16" t="s">
        <v>48</v>
      </c>
      <c r="B16" t="s">
        <v>50</v>
      </c>
      <c r="C16" t="s">
        <v>13</v>
      </c>
      <c r="D16" s="2">
        <v>102</v>
      </c>
      <c r="E16" s="8">
        <v>12812.055605</v>
      </c>
      <c r="F16" s="3">
        <v>0.1096</v>
      </c>
      <c r="G16" s="4">
        <f t="shared" ref="G16:G18" si="1">+E16/$E$14</f>
        <v>0.24315914983867906</v>
      </c>
      <c r="J16" t="s">
        <v>48</v>
      </c>
      <c r="K16" t="s">
        <v>51</v>
      </c>
      <c r="L16" t="s">
        <v>65</v>
      </c>
      <c r="M16" s="2">
        <v>774</v>
      </c>
      <c r="N16" s="8">
        <v>86300.432266000003</v>
      </c>
      <c r="O16" s="3">
        <v>0.12359999999999999</v>
      </c>
      <c r="P16" s="4">
        <f>+N16/$N$14</f>
        <v>0.26428747554970294</v>
      </c>
    </row>
    <row r="17" spans="1:16" x14ac:dyDescent="0.25">
      <c r="A17" t="s">
        <v>48</v>
      </c>
      <c r="B17" t="s">
        <v>50</v>
      </c>
      <c r="C17" t="s">
        <v>55</v>
      </c>
      <c r="D17" s="2">
        <v>20</v>
      </c>
      <c r="E17" s="8">
        <v>2577.1812399999999</v>
      </c>
      <c r="F17" s="3">
        <v>0.1085</v>
      </c>
      <c r="G17" s="4">
        <f t="shared" si="1"/>
        <v>4.8912151072309736E-2</v>
      </c>
      <c r="J17" t="s">
        <v>48</v>
      </c>
      <c r="K17" t="s">
        <v>51</v>
      </c>
      <c r="L17" t="s">
        <v>98</v>
      </c>
      <c r="M17" s="2">
        <v>687</v>
      </c>
      <c r="N17" s="8">
        <v>81367.9810194499</v>
      </c>
      <c r="O17" s="3">
        <v>0.1012</v>
      </c>
      <c r="P17" s="4">
        <f>+N17/$N$14</f>
        <v>0.24918227788157624</v>
      </c>
    </row>
    <row r="18" spans="1:16" x14ac:dyDescent="0.25">
      <c r="A18" t="s">
        <v>48</v>
      </c>
      <c r="B18" t="s">
        <v>50</v>
      </c>
      <c r="C18" t="s">
        <v>85</v>
      </c>
      <c r="D18" s="2">
        <v>11</v>
      </c>
      <c r="E18" s="8">
        <v>1178.3225</v>
      </c>
      <c r="F18" s="4">
        <v>0.107</v>
      </c>
      <c r="G18" s="4">
        <f t="shared" si="1"/>
        <v>2.2363304232302143E-2</v>
      </c>
      <c r="J18" t="s">
        <v>48</v>
      </c>
      <c r="K18" t="s">
        <v>51</v>
      </c>
      <c r="L18" s="5" t="s">
        <v>8</v>
      </c>
      <c r="M18" t="s">
        <v>44</v>
      </c>
      <c r="N18" t="s">
        <v>44</v>
      </c>
      <c r="O18" t="s">
        <v>44</v>
      </c>
    </row>
    <row r="19" spans="1:16" x14ac:dyDescent="0.25">
      <c r="A19" t="s">
        <v>48</v>
      </c>
      <c r="B19" t="s">
        <v>50</v>
      </c>
      <c r="C19" s="5" t="s">
        <v>8</v>
      </c>
      <c r="D19" t="s">
        <v>44</v>
      </c>
      <c r="E19" t="s">
        <v>44</v>
      </c>
    </row>
    <row r="21" spans="1:16" x14ac:dyDescent="0.25">
      <c r="J21" s="5" t="s">
        <v>52</v>
      </c>
    </row>
    <row r="22" spans="1:16" x14ac:dyDescent="0.25">
      <c r="A22" s="5" t="s">
        <v>52</v>
      </c>
      <c r="J22" s="6" t="s">
        <v>0</v>
      </c>
      <c r="K22" s="6" t="s">
        <v>49</v>
      </c>
      <c r="L22" s="6" t="s">
        <v>3</v>
      </c>
      <c r="M22" s="6" t="s">
        <v>4</v>
      </c>
      <c r="N22" s="6" t="s">
        <v>29</v>
      </c>
      <c r="O22" s="6" t="s">
        <v>2</v>
      </c>
      <c r="P22" s="6" t="s">
        <v>7</v>
      </c>
    </row>
    <row r="23" spans="1:16" x14ac:dyDescent="0.25">
      <c r="A23" s="6" t="s">
        <v>0</v>
      </c>
      <c r="B23" s="6" t="s">
        <v>49</v>
      </c>
      <c r="C23" s="6" t="s">
        <v>3</v>
      </c>
      <c r="D23" s="6" t="s">
        <v>4</v>
      </c>
      <c r="E23" s="6" t="s">
        <v>29</v>
      </c>
      <c r="F23" s="6" t="s">
        <v>2</v>
      </c>
      <c r="G23" s="6" t="s">
        <v>7</v>
      </c>
      <c r="J23" t="s">
        <v>56</v>
      </c>
      <c r="K23" t="s">
        <v>51</v>
      </c>
      <c r="L23" t="s">
        <v>88</v>
      </c>
      <c r="M23" s="2">
        <v>108</v>
      </c>
      <c r="N23" s="8">
        <v>22670</v>
      </c>
      <c r="O23" s="3">
        <v>0.1331</v>
      </c>
    </row>
    <row r="24" spans="1:16" x14ac:dyDescent="0.25">
      <c r="A24" t="s">
        <v>56</v>
      </c>
      <c r="B24" t="s">
        <v>50</v>
      </c>
      <c r="C24" t="s">
        <v>71</v>
      </c>
      <c r="D24" s="2">
        <v>5149</v>
      </c>
      <c r="E24" s="8">
        <v>1120000</v>
      </c>
      <c r="F24" s="3">
        <v>0.12939999999999999</v>
      </c>
      <c r="J24" t="s">
        <v>56</v>
      </c>
      <c r="K24" t="s">
        <v>51</v>
      </c>
      <c r="L24" t="s">
        <v>5</v>
      </c>
      <c r="M24" s="2">
        <v>41</v>
      </c>
      <c r="N24" s="8">
        <v>9841.5824373700016</v>
      </c>
      <c r="O24" s="3">
        <v>0.1401</v>
      </c>
      <c r="P24" s="4">
        <v>0.43419999999999997</v>
      </c>
    </row>
    <row r="25" spans="1:16" x14ac:dyDescent="0.25">
      <c r="A25" t="s">
        <v>56</v>
      </c>
      <c r="B25" t="s">
        <v>50</v>
      </c>
      <c r="C25" t="s">
        <v>5</v>
      </c>
      <c r="D25" s="2">
        <v>1523</v>
      </c>
      <c r="E25" s="8">
        <v>395411.24772412999</v>
      </c>
      <c r="F25" s="27">
        <v>0.13189999999999999</v>
      </c>
      <c r="G25" s="4">
        <v>0.35199999999999998</v>
      </c>
      <c r="J25" t="s">
        <v>56</v>
      </c>
      <c r="K25" t="s">
        <v>51</v>
      </c>
      <c r="L25" t="s">
        <v>93</v>
      </c>
      <c r="M25" s="2">
        <v>25</v>
      </c>
      <c r="N25" s="8">
        <v>4909.9303300000001</v>
      </c>
      <c r="O25" s="3">
        <v>0.12590000000000001</v>
      </c>
      <c r="P25" s="4">
        <v>0.21659999999999999</v>
      </c>
    </row>
    <row r="26" spans="1:16" x14ac:dyDescent="0.25">
      <c r="A26" t="s">
        <v>56</v>
      </c>
      <c r="B26" t="s">
        <v>50</v>
      </c>
      <c r="C26" t="s">
        <v>65</v>
      </c>
      <c r="D26" s="2">
        <v>1071</v>
      </c>
      <c r="E26" s="8">
        <v>242297.449743</v>
      </c>
      <c r="F26" s="3">
        <v>0.12230000000000001</v>
      </c>
      <c r="G26" s="4">
        <v>0.2157</v>
      </c>
      <c r="J26" t="s">
        <v>56</v>
      </c>
      <c r="K26" t="s">
        <v>51</v>
      </c>
      <c r="L26" t="s">
        <v>95</v>
      </c>
      <c r="M26" s="2">
        <v>18</v>
      </c>
      <c r="N26" s="8">
        <v>3053.3663539999998</v>
      </c>
      <c r="O26" s="3">
        <v>0.1263</v>
      </c>
      <c r="P26" s="4">
        <v>0.13469999999999999</v>
      </c>
    </row>
    <row r="27" spans="1:16" x14ac:dyDescent="0.25">
      <c r="A27" t="s">
        <v>56</v>
      </c>
      <c r="B27" t="s">
        <v>50</v>
      </c>
      <c r="C27" t="s">
        <v>10</v>
      </c>
      <c r="D27" s="2">
        <v>806</v>
      </c>
      <c r="E27" s="8">
        <v>157341.13281400001</v>
      </c>
      <c r="F27" s="3">
        <v>0.12330000000000001</v>
      </c>
      <c r="G27" s="4">
        <v>0.1401</v>
      </c>
      <c r="J27" t="s">
        <v>56</v>
      </c>
      <c r="K27" t="s">
        <v>51</v>
      </c>
      <c r="L27" t="s">
        <v>98</v>
      </c>
      <c r="M27" s="2">
        <v>7</v>
      </c>
      <c r="N27" s="8">
        <v>1588.375644</v>
      </c>
      <c r="O27" s="3">
        <v>0.1308</v>
      </c>
      <c r="P27" s="4">
        <v>7.0099999999999996E-2</v>
      </c>
    </row>
    <row r="28" spans="1:16" x14ac:dyDescent="0.25">
      <c r="A28" t="s">
        <v>56</v>
      </c>
      <c r="B28" t="s">
        <v>50</v>
      </c>
      <c r="C28" t="s">
        <v>95</v>
      </c>
      <c r="D28" s="2">
        <v>606</v>
      </c>
      <c r="E28" s="8">
        <v>87597.549400999997</v>
      </c>
      <c r="F28" s="3">
        <v>0.11700000000000001</v>
      </c>
      <c r="G28" s="4">
        <v>7.8E-2</v>
      </c>
      <c r="J28" t="s">
        <v>48</v>
      </c>
      <c r="K28" t="s">
        <v>51</v>
      </c>
      <c r="L28" s="5" t="s">
        <v>8</v>
      </c>
      <c r="M28" t="s">
        <v>44</v>
      </c>
      <c r="N28" t="s">
        <v>44</v>
      </c>
      <c r="O28" t="s">
        <v>44</v>
      </c>
    </row>
    <row r="29" spans="1:16" x14ac:dyDescent="0.25">
      <c r="A29" t="s">
        <v>56</v>
      </c>
      <c r="B29" t="s">
        <v>50</v>
      </c>
      <c r="C29" t="s">
        <v>27</v>
      </c>
      <c r="D29" s="2">
        <v>218</v>
      </c>
      <c r="E29" s="8">
        <v>60527.600811999997</v>
      </c>
      <c r="F29" s="3">
        <v>0.1216</v>
      </c>
      <c r="G29" s="4">
        <v>5.3900000000000003E-2</v>
      </c>
      <c r="M29" s="2"/>
      <c r="N29" s="8"/>
      <c r="O29" s="3"/>
      <c r="P29" s="4"/>
    </row>
    <row r="30" spans="1:16" x14ac:dyDescent="0.25">
      <c r="A30" s="16" t="s">
        <v>56</v>
      </c>
      <c r="B30" s="16" t="s">
        <v>50</v>
      </c>
      <c r="C30" s="17" t="s">
        <v>8</v>
      </c>
      <c r="D30" s="18">
        <v>9</v>
      </c>
      <c r="E30" s="19">
        <v>2428</v>
      </c>
      <c r="F30" s="36">
        <v>0.1135</v>
      </c>
      <c r="G30" s="21">
        <f>+E30/$E$24</f>
        <v>2.1678571428571428E-3</v>
      </c>
    </row>
    <row r="32" spans="1:16" x14ac:dyDescent="0.25">
      <c r="A32" s="5" t="s">
        <v>54</v>
      </c>
    </row>
    <row r="33" spans="1:16" x14ac:dyDescent="0.25">
      <c r="A33" s="6" t="s">
        <v>0</v>
      </c>
      <c r="B33" s="6" t="s">
        <v>49</v>
      </c>
      <c r="C33" s="6" t="s">
        <v>3</v>
      </c>
      <c r="D33" s="6" t="s">
        <v>4</v>
      </c>
      <c r="E33" s="6" t="s">
        <v>29</v>
      </c>
      <c r="F33" s="6" t="s">
        <v>2</v>
      </c>
      <c r="G33" s="6" t="s">
        <v>7</v>
      </c>
    </row>
    <row r="34" spans="1:16" x14ac:dyDescent="0.25">
      <c r="A34" t="s">
        <v>56</v>
      </c>
      <c r="B34" t="s">
        <v>50</v>
      </c>
      <c r="C34" t="s">
        <v>100</v>
      </c>
      <c r="D34" s="2">
        <v>17</v>
      </c>
      <c r="E34" s="8">
        <v>5840</v>
      </c>
      <c r="F34" s="3">
        <v>0.1237</v>
      </c>
      <c r="G34" s="4"/>
    </row>
    <row r="35" spans="1:16" x14ac:dyDescent="0.25">
      <c r="A35" t="s">
        <v>56</v>
      </c>
      <c r="B35" t="s">
        <v>50</v>
      </c>
      <c r="C35" t="s">
        <v>96</v>
      </c>
      <c r="D35" s="2">
        <v>7</v>
      </c>
      <c r="E35" s="8">
        <v>2579.9409569999998</v>
      </c>
      <c r="F35" s="3">
        <v>0.1152</v>
      </c>
      <c r="G35" s="4">
        <v>0.44159999999999999</v>
      </c>
    </row>
    <row r="36" spans="1:16" x14ac:dyDescent="0.25">
      <c r="A36" t="s">
        <v>56</v>
      </c>
      <c r="B36" t="s">
        <v>50</v>
      </c>
      <c r="C36" t="s">
        <v>97</v>
      </c>
      <c r="D36" s="2">
        <v>7</v>
      </c>
      <c r="E36" s="8">
        <v>2579.9409569999998</v>
      </c>
      <c r="F36" s="3">
        <v>0.1152</v>
      </c>
      <c r="G36" s="4">
        <v>0.44159999999999999</v>
      </c>
    </row>
    <row r="37" spans="1:16" x14ac:dyDescent="0.25">
      <c r="A37" t="s">
        <v>56</v>
      </c>
      <c r="B37" t="s">
        <v>50</v>
      </c>
      <c r="C37" s="5" t="s">
        <v>8</v>
      </c>
      <c r="D37" t="s">
        <v>44</v>
      </c>
      <c r="E37" t="s">
        <v>44</v>
      </c>
      <c r="F37" t="s">
        <v>44</v>
      </c>
      <c r="J37" s="5" t="s">
        <v>54</v>
      </c>
    </row>
    <row r="38" spans="1:16" x14ac:dyDescent="0.25">
      <c r="D38" s="2"/>
      <c r="E38" s="8"/>
      <c r="F38" s="3"/>
      <c r="G38" s="4"/>
      <c r="J38" s="6" t="s">
        <v>0</v>
      </c>
      <c r="K38" s="6" t="s">
        <v>49</v>
      </c>
      <c r="L38" s="6" t="s">
        <v>3</v>
      </c>
      <c r="M38" s="6" t="s">
        <v>4</v>
      </c>
      <c r="N38" s="6" t="s">
        <v>29</v>
      </c>
      <c r="O38" s="6" t="s">
        <v>2</v>
      </c>
      <c r="P38" s="6" t="s">
        <v>7</v>
      </c>
    </row>
    <row r="39" spans="1:16" x14ac:dyDescent="0.25">
      <c r="J39" t="s">
        <v>56</v>
      </c>
      <c r="K39" t="s">
        <v>51</v>
      </c>
      <c r="L39" t="s">
        <v>100</v>
      </c>
      <c r="M39" s="2">
        <v>257</v>
      </c>
      <c r="N39" s="8">
        <v>57300</v>
      </c>
      <c r="O39" s="39">
        <v>0.1358</v>
      </c>
    </row>
    <row r="40" spans="1:16" x14ac:dyDescent="0.25">
      <c r="J40" t="s">
        <v>56</v>
      </c>
      <c r="K40" t="s">
        <v>51</v>
      </c>
      <c r="L40" t="s">
        <v>5</v>
      </c>
      <c r="M40" s="2">
        <v>166</v>
      </c>
      <c r="N40" s="8">
        <v>38126.841625970002</v>
      </c>
      <c r="O40" s="3">
        <v>0.14019999999999999</v>
      </c>
      <c r="P40" s="4">
        <v>0.66539999999999999</v>
      </c>
    </row>
    <row r="41" spans="1:16" x14ac:dyDescent="0.25">
      <c r="J41" t="s">
        <v>56</v>
      </c>
      <c r="K41" t="s">
        <v>51</v>
      </c>
      <c r="L41" t="s">
        <v>98</v>
      </c>
      <c r="M41" s="2">
        <v>71</v>
      </c>
      <c r="N41" s="8">
        <v>14635.36300886</v>
      </c>
      <c r="O41" s="3">
        <v>0.12429999999999999</v>
      </c>
      <c r="P41" s="4">
        <v>0.25540000000000002</v>
      </c>
    </row>
    <row r="42" spans="1:16" x14ac:dyDescent="0.25">
      <c r="J42" t="s">
        <v>48</v>
      </c>
      <c r="K42" t="s">
        <v>51</v>
      </c>
      <c r="L42" s="5" t="s">
        <v>8</v>
      </c>
      <c r="M42" t="s">
        <v>44</v>
      </c>
      <c r="N42" t="s">
        <v>44</v>
      </c>
      <c r="O42" t="s">
        <v>44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6135-BE36-492D-9484-40B40694E715}">
  <dimension ref="A2:F16"/>
  <sheetViews>
    <sheetView showGridLines="0" zoomScale="86" zoomScaleNormal="70" workbookViewId="0">
      <selection activeCell="B14" sqref="B14"/>
    </sheetView>
  </sheetViews>
  <sheetFormatPr baseColWidth="10" defaultRowHeight="15" x14ac:dyDescent="0.25"/>
  <cols>
    <col min="1" max="1" width="15.5703125" customWidth="1"/>
    <col min="2" max="2" width="14.7109375" bestFit="1" customWidth="1"/>
    <col min="3" max="3" width="22.28515625" bestFit="1" customWidth="1"/>
  </cols>
  <sheetData>
    <row r="2" spans="1:6" x14ac:dyDescent="0.25">
      <c r="A2" s="6" t="s">
        <v>3</v>
      </c>
      <c r="B2" s="6" t="s">
        <v>4</v>
      </c>
      <c r="C2" s="6" t="s">
        <v>29</v>
      </c>
      <c r="D2" s="6" t="s">
        <v>2</v>
      </c>
      <c r="E2" s="6" t="s">
        <v>7</v>
      </c>
    </row>
    <row r="3" spans="1:6" x14ac:dyDescent="0.25">
      <c r="A3" t="s">
        <v>91</v>
      </c>
      <c r="B3" s="2">
        <v>658</v>
      </c>
      <c r="C3" s="22">
        <f>48637572717/1000000</f>
        <v>48637.572717000003</v>
      </c>
      <c r="D3">
        <v>22.39</v>
      </c>
      <c r="E3" s="4">
        <v>4.36E-2</v>
      </c>
    </row>
    <row r="4" spans="1:6" x14ac:dyDescent="0.25">
      <c r="A4" t="s">
        <v>63</v>
      </c>
      <c r="B4" s="2">
        <v>87</v>
      </c>
      <c r="C4" s="22">
        <f>9566264213/1000000</f>
        <v>9566.2642130000004</v>
      </c>
      <c r="D4">
        <v>20.55</v>
      </c>
      <c r="E4" s="4">
        <v>8.6E-3</v>
      </c>
    </row>
    <row r="5" spans="1:6" x14ac:dyDescent="0.25">
      <c r="A5" t="s">
        <v>92</v>
      </c>
      <c r="B5" s="2">
        <v>2207</v>
      </c>
      <c r="C5" s="22">
        <f>131729383169/1000000</f>
        <v>131729.38316900001</v>
      </c>
      <c r="D5">
        <v>19.97</v>
      </c>
      <c r="E5" s="4">
        <v>0.1181</v>
      </c>
    </row>
    <row r="6" spans="1:6" x14ac:dyDescent="0.25">
      <c r="A6" t="s">
        <v>64</v>
      </c>
      <c r="B6" s="2">
        <v>1804</v>
      </c>
      <c r="C6" s="22">
        <f>130444673296/1000000</f>
        <v>130444.67329599999</v>
      </c>
      <c r="D6">
        <v>19.21</v>
      </c>
      <c r="E6" s="4">
        <v>0.11700000000000001</v>
      </c>
    </row>
    <row r="7" spans="1:6" x14ac:dyDescent="0.25">
      <c r="A7" t="s">
        <v>93</v>
      </c>
      <c r="B7" s="2">
        <v>727</v>
      </c>
      <c r="C7" s="22">
        <v>59303.556345160003</v>
      </c>
      <c r="D7">
        <v>19.2</v>
      </c>
      <c r="E7" s="4">
        <v>5.3199999999999997E-2</v>
      </c>
      <c r="F7" s="38"/>
    </row>
    <row r="8" spans="1:6" x14ac:dyDescent="0.25">
      <c r="A8" t="s">
        <v>94</v>
      </c>
      <c r="B8" s="2">
        <v>3006</v>
      </c>
      <c r="C8" s="22">
        <v>236070.81015899999</v>
      </c>
      <c r="D8">
        <v>18.420000000000002</v>
      </c>
      <c r="E8" s="4">
        <v>0.2117</v>
      </c>
      <c r="F8" s="38"/>
    </row>
    <row r="9" spans="1:6" x14ac:dyDescent="0.25">
      <c r="A9" t="s">
        <v>10</v>
      </c>
      <c r="B9" s="2">
        <v>1021</v>
      </c>
      <c r="C9" s="22">
        <v>71854.863387999998</v>
      </c>
      <c r="D9">
        <v>16.7</v>
      </c>
      <c r="E9" s="4">
        <v>6.4399999999999999E-2</v>
      </c>
      <c r="F9" s="38"/>
    </row>
    <row r="10" spans="1:6" x14ac:dyDescent="0.25">
      <c r="A10" t="s">
        <v>27</v>
      </c>
      <c r="B10" s="2">
        <v>965</v>
      </c>
      <c r="C10" s="22">
        <v>92087.63674038001</v>
      </c>
      <c r="D10">
        <v>16.39</v>
      </c>
      <c r="E10" s="4">
        <v>8.2600000000000007E-2</v>
      </c>
      <c r="F10" s="38"/>
    </row>
    <row r="11" spans="1:6" x14ac:dyDescent="0.25">
      <c r="A11" t="s">
        <v>95</v>
      </c>
      <c r="B11" s="2">
        <v>353</v>
      </c>
      <c r="C11" s="22">
        <v>26443.661123999998</v>
      </c>
      <c r="D11">
        <v>16.329999999999998</v>
      </c>
      <c r="E11" s="4">
        <v>2.3699999999999999E-2</v>
      </c>
      <c r="F11" s="38"/>
    </row>
    <row r="12" spans="1:6" x14ac:dyDescent="0.25">
      <c r="A12" t="s">
        <v>65</v>
      </c>
      <c r="B12" s="2">
        <v>601</v>
      </c>
      <c r="C12" s="22">
        <v>52790.826467999999</v>
      </c>
      <c r="D12">
        <v>15.91</v>
      </c>
      <c r="E12" s="4">
        <v>4.7300000000000002E-2</v>
      </c>
      <c r="F12" s="38"/>
    </row>
    <row r="13" spans="1:6" x14ac:dyDescent="0.25">
      <c r="A13" t="s">
        <v>5</v>
      </c>
      <c r="B13" s="2">
        <v>2989</v>
      </c>
      <c r="C13" s="22">
        <v>256256.89589799999</v>
      </c>
      <c r="D13">
        <v>15.52</v>
      </c>
      <c r="E13" s="4">
        <v>0.2298</v>
      </c>
      <c r="F13" s="38"/>
    </row>
    <row r="14" spans="1:6" x14ac:dyDescent="0.25">
      <c r="A14" s="17" t="s">
        <v>8</v>
      </c>
      <c r="B14" s="18">
        <v>11</v>
      </c>
      <c r="C14" s="23">
        <v>525.74040000000002</v>
      </c>
      <c r="D14" s="20">
        <v>0.14419999999999999</v>
      </c>
      <c r="E14" s="21"/>
    </row>
    <row r="15" spans="1:6" x14ac:dyDescent="0.25">
      <c r="B15" s="2"/>
      <c r="C15" s="8"/>
      <c r="D15" s="3"/>
    </row>
    <row r="16" spans="1:6" x14ac:dyDescent="0.25">
      <c r="D16" s="3"/>
    </row>
  </sheetData>
  <autoFilter ref="A2:E2" xr:uid="{6CA86135-BE36-492D-9484-40B40694E715}">
    <sortState xmlns:xlrd2="http://schemas.microsoft.com/office/spreadsheetml/2017/richdata2" ref="A3:E17">
      <sortCondition descending="1" ref="B2"/>
    </sortState>
  </autoFilter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42FE-5BF7-4758-8E13-68D7C959BEAF}">
  <dimension ref="A1:B22"/>
  <sheetViews>
    <sheetView workbookViewId="0">
      <selection activeCell="B2" sqref="B2"/>
    </sheetView>
  </sheetViews>
  <sheetFormatPr baseColWidth="10" defaultRowHeight="15" x14ac:dyDescent="0.25"/>
  <cols>
    <col min="1" max="1" width="38.28515625" customWidth="1"/>
  </cols>
  <sheetData>
    <row r="1" spans="1:2" x14ac:dyDescent="0.25">
      <c r="A1" t="s">
        <v>58</v>
      </c>
    </row>
    <row r="2" spans="1:2" x14ac:dyDescent="0.25">
      <c r="A2" t="s">
        <v>14</v>
      </c>
      <c r="B2" s="37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21</v>
      </c>
    </row>
    <row r="9" spans="1:2" x14ac:dyDescent="0.25">
      <c r="A9" t="s">
        <v>22</v>
      </c>
    </row>
    <row r="10" spans="1:2" x14ac:dyDescent="0.25">
      <c r="A10" t="s">
        <v>23</v>
      </c>
    </row>
    <row r="13" spans="1:2" x14ac:dyDescent="0.25">
      <c r="A13" t="s">
        <v>59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60</v>
      </c>
    </row>
    <row r="21" spans="1:1" x14ac:dyDescent="0.25">
      <c r="A21" t="s">
        <v>61</v>
      </c>
    </row>
    <row r="22" spans="1:1" x14ac:dyDescent="0.25">
      <c r="A22" t="s">
        <v>62</v>
      </c>
    </row>
  </sheetData>
  <hyperlinks>
    <hyperlink ref="B2" r:id="rId1" xr:uid="{9194BBDA-3455-4D51-B42B-2CAD434F53F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8054-4475-48FC-9959-45A124B8636F}">
  <dimension ref="A1:F20"/>
  <sheetViews>
    <sheetView workbookViewId="0">
      <selection activeCell="B4" sqref="B4"/>
    </sheetView>
  </sheetViews>
  <sheetFormatPr baseColWidth="10" defaultRowHeight="15" x14ac:dyDescent="0.25"/>
  <cols>
    <col min="1" max="1" width="16.28515625" customWidth="1"/>
    <col min="2" max="2" width="25.7109375" customWidth="1"/>
    <col min="4" max="4" width="13.28515625" bestFit="1" customWidth="1"/>
    <col min="6" max="6" width="12" bestFit="1" customWidth="1"/>
  </cols>
  <sheetData>
    <row r="1" spans="1:6" x14ac:dyDescent="0.25">
      <c r="A1" s="41" t="s">
        <v>47</v>
      </c>
      <c r="B1" s="41" t="s">
        <v>39</v>
      </c>
      <c r="C1" s="40" t="s">
        <v>43</v>
      </c>
      <c r="D1" s="40"/>
      <c r="E1" s="40"/>
      <c r="F1" s="40"/>
    </row>
    <row r="2" spans="1:6" x14ac:dyDescent="0.25">
      <c r="A2" s="41"/>
      <c r="B2" s="41"/>
      <c r="C2" s="24" t="s">
        <v>40</v>
      </c>
      <c r="D2" s="24" t="s">
        <v>66</v>
      </c>
      <c r="E2" s="24" t="s">
        <v>41</v>
      </c>
      <c r="F2" s="24" t="s">
        <v>42</v>
      </c>
    </row>
    <row r="3" spans="1:6" x14ac:dyDescent="0.25">
      <c r="A3" s="9" t="s">
        <v>8</v>
      </c>
      <c r="B3" s="11">
        <v>0.02</v>
      </c>
      <c r="C3" s="13">
        <v>9.7000000000000003E-2</v>
      </c>
      <c r="D3" s="13">
        <v>9.7000000000000003E-2</v>
      </c>
      <c r="E3" s="13">
        <v>9.9000000000000005E-2</v>
      </c>
      <c r="F3" s="13">
        <v>9.5000000000000001E-2</v>
      </c>
    </row>
    <row r="4" spans="1:6" x14ac:dyDescent="0.25">
      <c r="A4" s="9" t="s">
        <v>33</v>
      </c>
      <c r="B4" s="12">
        <v>0.09</v>
      </c>
      <c r="C4" s="14" t="s">
        <v>44</v>
      </c>
      <c r="D4" s="14" t="s">
        <v>44</v>
      </c>
      <c r="E4" s="12">
        <v>0.11</v>
      </c>
      <c r="F4" s="13">
        <v>9.2499999999999999E-2</v>
      </c>
    </row>
    <row r="5" spans="1:6" x14ac:dyDescent="0.25">
      <c r="A5" s="9" t="s">
        <v>6</v>
      </c>
      <c r="B5" s="15" t="s">
        <v>67</v>
      </c>
      <c r="C5" s="13">
        <v>9.1999999999999998E-2</v>
      </c>
      <c r="D5" s="13" t="s">
        <v>44</v>
      </c>
      <c r="E5" s="13">
        <v>9.2499999999999999E-2</v>
      </c>
      <c r="F5" s="13">
        <v>9.6500000000000002E-2</v>
      </c>
    </row>
    <row r="6" spans="1:6" ht="19.149999999999999" customHeight="1" x14ac:dyDescent="0.25">
      <c r="A6" s="9" t="s">
        <v>35</v>
      </c>
      <c r="B6" s="9" t="s">
        <v>46</v>
      </c>
      <c r="C6" s="13">
        <v>8.6999999999999994E-2</v>
      </c>
      <c r="D6" s="13">
        <v>8.9499999999999996E-2</v>
      </c>
      <c r="E6" s="13">
        <v>9.1999999999999998E-2</v>
      </c>
      <c r="F6" s="13">
        <v>9.6000000000000002E-2</v>
      </c>
    </row>
    <row r="7" spans="1:6" x14ac:dyDescent="0.25">
      <c r="A7" s="9" t="s">
        <v>36</v>
      </c>
      <c r="B7" s="9" t="s">
        <v>68</v>
      </c>
      <c r="C7" s="12">
        <v>0.04</v>
      </c>
      <c r="D7" s="13">
        <v>9.0999999999999998E-2</v>
      </c>
      <c r="E7" s="13">
        <v>9.6000000000000002E-2</v>
      </c>
      <c r="F7" s="13">
        <v>9.9000000000000005E-2</v>
      </c>
    </row>
    <row r="8" spans="1:6" x14ac:dyDescent="0.25">
      <c r="A8" s="9" t="s">
        <v>37</v>
      </c>
      <c r="B8" s="9" t="s">
        <v>45</v>
      </c>
      <c r="C8" s="13">
        <v>0.1</v>
      </c>
      <c r="D8" s="13">
        <v>0.1</v>
      </c>
      <c r="E8" s="13">
        <v>0.1</v>
      </c>
      <c r="F8" s="13">
        <v>9.9500000000000005E-2</v>
      </c>
    </row>
    <row r="9" spans="1:6" x14ac:dyDescent="0.25">
      <c r="A9" s="9" t="s">
        <v>38</v>
      </c>
      <c r="B9" s="9" t="s">
        <v>69</v>
      </c>
      <c r="C9" s="13">
        <v>9.2499999999999999E-2</v>
      </c>
      <c r="D9" s="13">
        <v>9.35E-2</v>
      </c>
      <c r="E9" s="13">
        <v>9.9500000000000005E-2</v>
      </c>
      <c r="F9" s="13">
        <v>0.10050000000000001</v>
      </c>
    </row>
    <row r="10" spans="1:6" x14ac:dyDescent="0.25">
      <c r="A10" s="9" t="s">
        <v>30</v>
      </c>
      <c r="B10" s="12">
        <v>0.1</v>
      </c>
      <c r="C10" s="14" t="s">
        <v>44</v>
      </c>
      <c r="D10" s="14" t="s">
        <v>44</v>
      </c>
      <c r="E10" s="14" t="s">
        <v>44</v>
      </c>
      <c r="F10" s="14" t="s">
        <v>44</v>
      </c>
    </row>
    <row r="11" spans="1:6" x14ac:dyDescent="0.25">
      <c r="A11" s="9" t="s">
        <v>31</v>
      </c>
      <c r="B11" s="25">
        <v>9.5000000000000001E-2</v>
      </c>
      <c r="C11" s="12">
        <v>0.11</v>
      </c>
      <c r="D11" s="13">
        <v>0.111</v>
      </c>
      <c r="E11" s="14" t="s">
        <v>44</v>
      </c>
      <c r="F11" s="14" t="s">
        <v>44</v>
      </c>
    </row>
    <row r="12" spans="1:6" ht="15" customHeight="1" x14ac:dyDescent="0.25">
      <c r="A12" s="9" t="s">
        <v>32</v>
      </c>
      <c r="B12" s="12">
        <v>0.1</v>
      </c>
      <c r="C12" s="26">
        <v>0.105</v>
      </c>
      <c r="D12" s="14" t="s">
        <v>44</v>
      </c>
      <c r="E12" s="12">
        <v>0.11</v>
      </c>
      <c r="F12" s="14" t="s">
        <v>44</v>
      </c>
    </row>
    <row r="13" spans="1:6" x14ac:dyDescent="0.25">
      <c r="A13" s="9" t="s">
        <v>34</v>
      </c>
      <c r="B13" s="25">
        <v>0.13</v>
      </c>
      <c r="C13" s="14" t="s">
        <v>44</v>
      </c>
      <c r="D13" s="14" t="s">
        <v>44</v>
      </c>
      <c r="E13" s="14" t="s">
        <v>44</v>
      </c>
      <c r="F13" s="14" t="s">
        <v>44</v>
      </c>
    </row>
    <row r="16" spans="1:6" x14ac:dyDescent="0.25">
      <c r="D16" s="27"/>
      <c r="F16" s="3"/>
    </row>
    <row r="17" spans="4:5" x14ac:dyDescent="0.25">
      <c r="D17" s="29"/>
    </row>
    <row r="20" spans="4:5" x14ac:dyDescent="0.25">
      <c r="D20" s="28"/>
      <c r="E20" s="29"/>
    </row>
  </sheetData>
  <mergeCells count="3">
    <mergeCell ref="C1:F1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Consumo</vt:lpstr>
      <vt:lpstr>Vivienda</vt:lpstr>
      <vt:lpstr>Vehiculo</vt:lpstr>
      <vt:lpstr>Indicaciones </vt:lpstr>
      <vt:lpstr>CDATs</vt:lpstr>
      <vt:lpstr>Consumo!Área_de_impresión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Estefania Pérez Mesa</dc:creator>
  <cp:lastModifiedBy>Juan Andres Miranda Rojo</cp:lastModifiedBy>
  <dcterms:created xsi:type="dcterms:W3CDTF">2024-11-14T15:07:37Z</dcterms:created>
  <dcterms:modified xsi:type="dcterms:W3CDTF">2026-01-21T20:01:07Z</dcterms:modified>
</cp:coreProperties>
</file>