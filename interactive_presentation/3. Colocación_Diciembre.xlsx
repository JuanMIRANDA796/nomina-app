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\.gemini\antigravity\scratch\nomina_colombia\web\interactive_presentation\"/>
    </mc:Choice>
  </mc:AlternateContent>
  <xr:revisionPtr revIDLastSave="0" documentId="13_ncr:1_{4B6964FC-8CD2-4D8A-927E-905ED8551E9C}" xr6:coauthVersionLast="47" xr6:coauthVersionMax="47" xr10:uidLastSave="{00000000-0000-0000-0000-000000000000}"/>
  <bookViews>
    <workbookView xWindow="-120" yWindow="-120" windowWidth="20730" windowHeight="11040" xr2:uid="{F5E8588E-2DE2-4C97-A8C0-12796D7F7884}"/>
  </bookViews>
  <sheets>
    <sheet name="DATOS" sheetId="1" r:id="rId1"/>
    <sheet name="Saldo de cartera por línea" sheetId="10" r:id="rId2"/>
    <sheet name="Desembolsos mensuales" sheetId="9" r:id="rId3"/>
    <sheet name="Tasa Desembolso Mensual" sheetId="8" r:id="rId4"/>
    <sheet name="Tasas de Stock Cartera" sheetId="7" r:id="rId5"/>
    <sheet name="Hoja1" sheetId="6" r:id="rId6"/>
    <sheet name="GRAFICAS" sheetId="2" r:id="rId7"/>
    <sheet name="Evolución Rking" sheetId="5" r:id="rId8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M105" i="1" l="1"/>
  <c r="BM106" i="1"/>
  <c r="BM107" i="1"/>
  <c r="BM108" i="1"/>
  <c r="BM98" i="1"/>
  <c r="BM99" i="1"/>
  <c r="BM100" i="1"/>
  <c r="BM87" i="1"/>
  <c r="BM88" i="1"/>
  <c r="BM89" i="1"/>
  <c r="BM90" i="1"/>
  <c r="BM91" i="1"/>
  <c r="BM92" i="1"/>
  <c r="BM93" i="1"/>
  <c r="BM94" i="1"/>
  <c r="BM95" i="1"/>
  <c r="BM70" i="1" l="1"/>
  <c r="BM73" i="1" s="1"/>
  <c r="BM71" i="1"/>
  <c r="BM72" i="1"/>
  <c r="BM64" i="1"/>
  <c r="BM65" i="1"/>
  <c r="BM67" i="1" s="1"/>
  <c r="BM66" i="1"/>
  <c r="BN52" i="1"/>
  <c r="BN53" i="1"/>
  <c r="BN54" i="1"/>
  <c r="BN55" i="1"/>
  <c r="BN56" i="1"/>
  <c r="BN57" i="1"/>
  <c r="BN58" i="1"/>
  <c r="BN59" i="1"/>
  <c r="BN60" i="1"/>
  <c r="BM61" i="1"/>
  <c r="BM44" i="1" l="1"/>
  <c r="BM45" i="1"/>
  <c r="BM46" i="1"/>
  <c r="BM47" i="1"/>
  <c r="BM30" i="1"/>
  <c r="BM31" i="1"/>
  <c r="BM32" i="1"/>
  <c r="BM33" i="1"/>
  <c r="BM24" i="1"/>
  <c r="BM25" i="1"/>
  <c r="BM26" i="1"/>
  <c r="BM27" i="1"/>
  <c r="BM21" i="1"/>
  <c r="BL70" i="1"/>
  <c r="BL71" i="1"/>
  <c r="BL72" i="1"/>
  <c r="BL73" i="1"/>
  <c r="BL64" i="1"/>
  <c r="BL67" i="1" s="1"/>
  <c r="BL65" i="1"/>
  <c r="BL66" i="1"/>
  <c r="BL61" i="1"/>
  <c r="BL87" i="1" l="1"/>
  <c r="BL88" i="1"/>
  <c r="BL89" i="1"/>
  <c r="BL99" i="1" s="1"/>
  <c r="BL106" i="1" s="1"/>
  <c r="BL90" i="1"/>
  <c r="BL91" i="1"/>
  <c r="BL92" i="1"/>
  <c r="BL93" i="1"/>
  <c r="BL94" i="1"/>
  <c r="BL100" i="1" s="1"/>
  <c r="BL107" i="1" s="1"/>
  <c r="BL95" i="1"/>
  <c r="BL108" i="1" l="1"/>
  <c r="BL98" i="1"/>
  <c r="BL105" i="1" s="1"/>
  <c r="BL44" i="1"/>
  <c r="BL45" i="1"/>
  <c r="BL46" i="1"/>
  <c r="BL47" i="1"/>
  <c r="BL30" i="1"/>
  <c r="BL31" i="1"/>
  <c r="BL32" i="1"/>
  <c r="BL24" i="1"/>
  <c r="BL25" i="1"/>
  <c r="BL26" i="1"/>
  <c r="BL21" i="1"/>
  <c r="BL27" i="1" s="1"/>
  <c r="BK87" i="1"/>
  <c r="BK88" i="1"/>
  <c r="BK89" i="1"/>
  <c r="BK90" i="1"/>
  <c r="BK91" i="1"/>
  <c r="BK92" i="1"/>
  <c r="BK93" i="1"/>
  <c r="BK94" i="1"/>
  <c r="BK95" i="1"/>
  <c r="BK70" i="1"/>
  <c r="BK71" i="1"/>
  <c r="BK72" i="1"/>
  <c r="BK64" i="1"/>
  <c r="BK65" i="1"/>
  <c r="BK66" i="1"/>
  <c r="BK61" i="1"/>
  <c r="BK44" i="1"/>
  <c r="BK45" i="1"/>
  <c r="BK46" i="1"/>
  <c r="BK47" i="1"/>
  <c r="BK30" i="1"/>
  <c r="BK31" i="1"/>
  <c r="BK32" i="1"/>
  <c r="BK24" i="1"/>
  <c r="BK25" i="1"/>
  <c r="BK26" i="1"/>
  <c r="BK21" i="1"/>
  <c r="BK67" i="1" l="1"/>
  <c r="BK99" i="1"/>
  <c r="BK106" i="1" s="1"/>
  <c r="BK108" i="1"/>
  <c r="BK98" i="1"/>
  <c r="BK105" i="1" s="1"/>
  <c r="BK100" i="1"/>
  <c r="BK107" i="1" s="1"/>
  <c r="BK73" i="1"/>
  <c r="BJ87" i="1"/>
  <c r="BJ88" i="1"/>
  <c r="BJ89" i="1"/>
  <c r="BJ90" i="1"/>
  <c r="BJ91" i="1"/>
  <c r="BJ92" i="1"/>
  <c r="BJ93" i="1"/>
  <c r="BJ94" i="1"/>
  <c r="BJ95" i="1"/>
  <c r="BJ70" i="1"/>
  <c r="BJ71" i="1"/>
  <c r="BJ72" i="1"/>
  <c r="BJ64" i="1"/>
  <c r="BJ65" i="1"/>
  <c r="BJ66" i="1"/>
  <c r="BI62" i="1"/>
  <c r="BJ61" i="1"/>
  <c r="BJ30" i="1"/>
  <c r="BJ31" i="1"/>
  <c r="BJ32" i="1"/>
  <c r="BJ21" i="1"/>
  <c r="BK27" i="1" s="1"/>
  <c r="BJ44" i="1"/>
  <c r="BJ45" i="1"/>
  <c r="BJ46" i="1"/>
  <c r="BJ47" i="1"/>
  <c r="BC62" i="1"/>
  <c r="BD62" i="1"/>
  <c r="BE62" i="1"/>
  <c r="BF62" i="1"/>
  <c r="BG62" i="1"/>
  <c r="BH62" i="1"/>
  <c r="BB62" i="1"/>
  <c r="BI94" i="1"/>
  <c r="BJ98" i="1" l="1"/>
  <c r="BJ105" i="1" s="1"/>
  <c r="BJ100" i="1"/>
  <c r="BJ107" i="1" s="1"/>
  <c r="BJ99" i="1"/>
  <c r="BJ106" i="1" s="1"/>
  <c r="BJ67" i="1"/>
  <c r="BJ108" i="1"/>
  <c r="BJ73" i="1"/>
  <c r="BI87" i="1"/>
  <c r="BI88" i="1"/>
  <c r="BI89" i="1"/>
  <c r="BI90" i="1"/>
  <c r="BI91" i="1"/>
  <c r="BI92" i="1"/>
  <c r="BI93" i="1"/>
  <c r="BI95" i="1"/>
  <c r="BI70" i="1"/>
  <c r="BI71" i="1"/>
  <c r="BI72" i="1"/>
  <c r="BI64" i="1"/>
  <c r="BI65" i="1"/>
  <c r="BI66" i="1"/>
  <c r="BI61" i="1"/>
  <c r="BI44" i="1"/>
  <c r="BI45" i="1"/>
  <c r="BI46" i="1"/>
  <c r="BI47" i="1"/>
  <c r="BI108" i="1" l="1"/>
  <c r="BI100" i="1"/>
  <c r="BI107" i="1" s="1"/>
  <c r="BI67" i="1"/>
  <c r="BI73" i="1"/>
  <c r="BI99" i="1"/>
  <c r="BI106" i="1" s="1"/>
  <c r="BI98" i="1"/>
  <c r="BI105" i="1" s="1"/>
  <c r="BI18" i="1"/>
  <c r="BI19" i="1"/>
  <c r="BN19" i="1" s="1"/>
  <c r="BI20" i="1"/>
  <c r="BN20" i="1" s="1"/>
  <c r="BI24" i="1" l="1"/>
  <c r="BN18" i="1"/>
  <c r="BI32" i="1"/>
  <c r="BJ26" i="1"/>
  <c r="BJ25" i="1"/>
  <c r="BJ24" i="1"/>
  <c r="BI26" i="1"/>
  <c r="BI25" i="1"/>
  <c r="BI31" i="1"/>
  <c r="BI21" i="1"/>
  <c r="BJ27" i="1" s="1"/>
  <c r="BI30" i="1"/>
  <c r="BH87" i="1"/>
  <c r="BH88" i="1"/>
  <c r="BH89" i="1"/>
  <c r="BH90" i="1"/>
  <c r="BH91" i="1"/>
  <c r="BH92" i="1"/>
  <c r="BH93" i="1"/>
  <c r="BH94" i="1"/>
  <c r="BH95" i="1"/>
  <c r="BH70" i="1"/>
  <c r="BH71" i="1"/>
  <c r="BH72" i="1"/>
  <c r="BH64" i="1"/>
  <c r="BH65" i="1"/>
  <c r="BH66" i="1"/>
  <c r="BH61" i="1"/>
  <c r="BH44" i="1"/>
  <c r="BH45" i="1"/>
  <c r="BH46" i="1"/>
  <c r="BH47" i="1"/>
  <c r="BH30" i="1"/>
  <c r="BH31" i="1"/>
  <c r="BH32" i="1"/>
  <c r="BH24" i="1"/>
  <c r="BH25" i="1"/>
  <c r="BH26" i="1"/>
  <c r="BH21" i="1"/>
  <c r="BH67" i="1" l="1"/>
  <c r="BH108" i="1"/>
  <c r="BH99" i="1"/>
  <c r="BH106" i="1" s="1"/>
  <c r="BH73" i="1"/>
  <c r="BH98" i="1"/>
  <c r="BH105" i="1" s="1"/>
  <c r="BI27" i="1"/>
  <c r="BH100" i="1"/>
  <c r="BH107" i="1" s="1"/>
  <c r="BG87" i="1"/>
  <c r="BG88" i="1"/>
  <c r="BG89" i="1"/>
  <c r="BG90" i="1"/>
  <c r="BG91" i="1"/>
  <c r="BG92" i="1"/>
  <c r="BG93" i="1"/>
  <c r="BG94" i="1"/>
  <c r="BG95" i="1"/>
  <c r="BD64" i="1"/>
  <c r="BG70" i="1"/>
  <c r="BG71" i="1"/>
  <c r="BG72" i="1"/>
  <c r="BG73" i="1" s="1"/>
  <c r="BF70" i="1"/>
  <c r="BF71" i="1"/>
  <c r="BF72" i="1"/>
  <c r="BF100" i="1" s="1"/>
  <c r="BF107" i="1" s="1"/>
  <c r="BG64" i="1"/>
  <c r="BG67" i="1" s="1"/>
  <c r="BG65" i="1"/>
  <c r="BG66" i="1"/>
  <c r="BG61" i="1"/>
  <c r="BG44" i="1"/>
  <c r="BG45" i="1"/>
  <c r="BG46" i="1"/>
  <c r="BG47" i="1"/>
  <c r="BF24" i="1"/>
  <c r="BG24" i="1"/>
  <c r="BG25" i="1"/>
  <c r="BG26" i="1"/>
  <c r="BG21" i="1"/>
  <c r="BH27" i="1" s="1"/>
  <c r="BF21" i="1"/>
  <c r="BG30" i="1"/>
  <c r="BG31" i="1"/>
  <c r="BG32" i="1"/>
  <c r="BA21" i="1"/>
  <c r="BF47" i="1"/>
  <c r="BF87" i="1"/>
  <c r="BF88" i="1"/>
  <c r="BF89" i="1"/>
  <c r="BF90" i="1"/>
  <c r="BF91" i="1"/>
  <c r="BF92" i="1"/>
  <c r="BF93" i="1"/>
  <c r="BF94" i="1"/>
  <c r="BF95" i="1"/>
  <c r="BB72" i="1"/>
  <c r="BC72" i="1"/>
  <c r="BD72" i="1"/>
  <c r="BE72" i="1"/>
  <c r="BB71" i="1"/>
  <c r="BC71" i="1"/>
  <c r="BD71" i="1"/>
  <c r="BE71" i="1"/>
  <c r="BB70" i="1"/>
  <c r="BC70" i="1"/>
  <c r="BD70" i="1"/>
  <c r="BE70" i="1"/>
  <c r="BB66" i="1"/>
  <c r="BC66" i="1"/>
  <c r="BD66" i="1"/>
  <c r="BE66" i="1"/>
  <c r="BF66" i="1"/>
  <c r="BB65" i="1"/>
  <c r="BC65" i="1"/>
  <c r="BC67" i="1" s="1"/>
  <c r="BD65" i="1"/>
  <c r="BD67" i="1" s="1"/>
  <c r="BE65" i="1"/>
  <c r="BF65" i="1"/>
  <c r="BB64" i="1"/>
  <c r="BC64" i="1"/>
  <c r="BE64" i="1"/>
  <c r="BF64" i="1"/>
  <c r="BF61" i="1"/>
  <c r="BF44" i="1"/>
  <c r="BF45" i="1"/>
  <c r="BF46" i="1"/>
  <c r="BF25" i="1"/>
  <c r="BF26" i="1"/>
  <c r="BF30" i="1"/>
  <c r="BF31" i="1"/>
  <c r="BF32" i="1"/>
  <c r="BD87" i="1"/>
  <c r="BE87" i="1"/>
  <c r="BD88" i="1"/>
  <c r="BE88" i="1"/>
  <c r="BD89" i="1"/>
  <c r="BE89" i="1"/>
  <c r="BD90" i="1"/>
  <c r="BE90" i="1"/>
  <c r="BD91" i="1"/>
  <c r="BE91" i="1"/>
  <c r="BD92" i="1"/>
  <c r="BE92" i="1"/>
  <c r="BD93" i="1"/>
  <c r="BE93" i="1"/>
  <c r="BD94" i="1"/>
  <c r="BE94" i="1"/>
  <c r="BD95" i="1"/>
  <c r="BE95" i="1"/>
  <c r="BE61" i="1"/>
  <c r="BD61" i="1"/>
  <c r="BE44" i="1"/>
  <c r="BE45" i="1"/>
  <c r="BE46" i="1"/>
  <c r="BE47" i="1"/>
  <c r="BE24" i="1"/>
  <c r="BE25" i="1"/>
  <c r="BE26" i="1"/>
  <c r="BE30" i="1"/>
  <c r="BE31" i="1"/>
  <c r="BE32" i="1"/>
  <c r="BE21" i="1"/>
  <c r="BE33" i="1" s="1"/>
  <c r="BF27" i="1"/>
  <c r="BD44" i="1"/>
  <c r="BD45" i="1"/>
  <c r="BD46" i="1"/>
  <c r="BD47" i="1"/>
  <c r="BD24" i="1"/>
  <c r="BD25" i="1"/>
  <c r="BD26" i="1"/>
  <c r="BD30" i="1"/>
  <c r="BD31" i="1"/>
  <c r="BD32" i="1"/>
  <c r="BD21" i="1"/>
  <c r="BD33" i="1" s="1"/>
  <c r="BE27" i="1"/>
  <c r="BC87" i="1"/>
  <c r="BC88" i="1"/>
  <c r="BC89" i="1"/>
  <c r="BC90" i="1"/>
  <c r="BC91" i="1"/>
  <c r="BC92" i="1"/>
  <c r="BC93" i="1"/>
  <c r="BC94" i="1"/>
  <c r="BC95" i="1"/>
  <c r="BC61" i="1"/>
  <c r="BC44" i="1"/>
  <c r="BC45" i="1"/>
  <c r="BC46" i="1"/>
  <c r="BC47" i="1"/>
  <c r="BC24" i="1"/>
  <c r="BC25" i="1"/>
  <c r="BC26" i="1"/>
  <c r="BC30" i="1"/>
  <c r="BC31" i="1"/>
  <c r="BC32" i="1"/>
  <c r="BC21" i="1"/>
  <c r="BB87" i="1"/>
  <c r="BB88" i="1"/>
  <c r="BB89" i="1"/>
  <c r="BB90" i="1"/>
  <c r="BB91" i="1"/>
  <c r="BB92" i="1"/>
  <c r="BB93" i="1"/>
  <c r="BB94" i="1"/>
  <c r="BB95" i="1"/>
  <c r="BB61" i="1"/>
  <c r="BB44" i="1"/>
  <c r="BB45" i="1"/>
  <c r="BB46" i="1"/>
  <c r="BB47" i="1"/>
  <c r="BB31" i="1"/>
  <c r="BB32" i="1"/>
  <c r="BB30" i="1"/>
  <c r="BB24" i="1"/>
  <c r="BB25" i="1"/>
  <c r="BB26" i="1"/>
  <c r="BB21" i="1"/>
  <c r="BA44" i="1"/>
  <c r="BA45" i="1"/>
  <c r="BA46" i="1"/>
  <c r="BA47" i="1"/>
  <c r="BA24" i="1"/>
  <c r="BA25" i="1"/>
  <c r="BA26" i="1"/>
  <c r="BA30" i="1"/>
  <c r="BA31" i="1"/>
  <c r="BA32" i="1"/>
  <c r="AZ87" i="1"/>
  <c r="BA87" i="1"/>
  <c r="AZ88" i="1"/>
  <c r="BA88" i="1"/>
  <c r="AZ89" i="1"/>
  <c r="BA89" i="1"/>
  <c r="AZ90" i="1"/>
  <c r="BA90" i="1"/>
  <c r="AZ91" i="1"/>
  <c r="BA91" i="1"/>
  <c r="AZ92" i="1"/>
  <c r="BA92" i="1"/>
  <c r="AZ93" i="1"/>
  <c r="BA93" i="1"/>
  <c r="AZ94" i="1"/>
  <c r="BA94" i="1"/>
  <c r="AZ95" i="1"/>
  <c r="BA95" i="1"/>
  <c r="AZ64" i="1"/>
  <c r="BA64" i="1"/>
  <c r="AZ65" i="1"/>
  <c r="BA65" i="1"/>
  <c r="AZ66" i="1"/>
  <c r="BA66" i="1"/>
  <c r="AZ70" i="1"/>
  <c r="BA70" i="1"/>
  <c r="AZ71" i="1"/>
  <c r="BA71" i="1"/>
  <c r="AZ72" i="1"/>
  <c r="BA72" i="1"/>
  <c r="AV54" i="1"/>
  <c r="AV65" i="1" s="1"/>
  <c r="AU54" i="1"/>
  <c r="AU65" i="1" s="1"/>
  <c r="AT54" i="1"/>
  <c r="AT71" i="1" s="1"/>
  <c r="AS54" i="1"/>
  <c r="AS61" i="1" s="1"/>
  <c r="AZ61" i="1"/>
  <c r="BA61" i="1"/>
  <c r="AZ44" i="1"/>
  <c r="AZ45" i="1"/>
  <c r="AZ46" i="1"/>
  <c r="AZ47" i="1"/>
  <c r="AZ24" i="1"/>
  <c r="AZ25" i="1"/>
  <c r="AZ26" i="1"/>
  <c r="AZ30" i="1"/>
  <c r="AZ31" i="1"/>
  <c r="AZ32" i="1"/>
  <c r="AZ21" i="1"/>
  <c r="AY87" i="1"/>
  <c r="AY88" i="1"/>
  <c r="AY89" i="1"/>
  <c r="AY90" i="1"/>
  <c r="AY91" i="1"/>
  <c r="AY92" i="1"/>
  <c r="AY93" i="1"/>
  <c r="AY94" i="1"/>
  <c r="AY95" i="1"/>
  <c r="AY64" i="1"/>
  <c r="AY65" i="1"/>
  <c r="AY66" i="1"/>
  <c r="AY70" i="1"/>
  <c r="AY71" i="1"/>
  <c r="AY72" i="1"/>
  <c r="AY61" i="1"/>
  <c r="AY44" i="1"/>
  <c r="AY45" i="1"/>
  <c r="AY46" i="1"/>
  <c r="AY47" i="1"/>
  <c r="AY24" i="1"/>
  <c r="AY25" i="1"/>
  <c r="AY26" i="1"/>
  <c r="AY30" i="1"/>
  <c r="AY31" i="1"/>
  <c r="AY32" i="1"/>
  <c r="AY21" i="1"/>
  <c r="AX87" i="1"/>
  <c r="AX88" i="1"/>
  <c r="AX89" i="1"/>
  <c r="AX90" i="1"/>
  <c r="AX91" i="1"/>
  <c r="AX92" i="1"/>
  <c r="AX93" i="1"/>
  <c r="AX94" i="1"/>
  <c r="AX95" i="1"/>
  <c r="AX64" i="1"/>
  <c r="AX65" i="1"/>
  <c r="AX66" i="1"/>
  <c r="AX70" i="1"/>
  <c r="AX71" i="1"/>
  <c r="AX72" i="1"/>
  <c r="AX61" i="1"/>
  <c r="AX44" i="1"/>
  <c r="AX45" i="1"/>
  <c r="AX46" i="1"/>
  <c r="AX47" i="1"/>
  <c r="AX30" i="1"/>
  <c r="AX31" i="1"/>
  <c r="AX32" i="1"/>
  <c r="AX24" i="1"/>
  <c r="AX25" i="1"/>
  <c r="AX26" i="1"/>
  <c r="AX21" i="1"/>
  <c r="AW87" i="1"/>
  <c r="AW88" i="1"/>
  <c r="AW89" i="1"/>
  <c r="AW90" i="1"/>
  <c r="AW91" i="1"/>
  <c r="AW92" i="1"/>
  <c r="AW93" i="1"/>
  <c r="AW94" i="1"/>
  <c r="AW95" i="1"/>
  <c r="AW64" i="1"/>
  <c r="AW65" i="1"/>
  <c r="AW66" i="1"/>
  <c r="AW70" i="1"/>
  <c r="AW71" i="1"/>
  <c r="AW72" i="1"/>
  <c r="AW61" i="1"/>
  <c r="AW44" i="1"/>
  <c r="AW45" i="1"/>
  <c r="AW46" i="1"/>
  <c r="AW47" i="1"/>
  <c r="AW24" i="1"/>
  <c r="AW25" i="1"/>
  <c r="AW26" i="1"/>
  <c r="AW30" i="1"/>
  <c r="AW31" i="1"/>
  <c r="AW32" i="1"/>
  <c r="AW21" i="1"/>
  <c r="AV87" i="1"/>
  <c r="AV88" i="1"/>
  <c r="AV89" i="1"/>
  <c r="AV90" i="1"/>
  <c r="AV91" i="1"/>
  <c r="AV92" i="1"/>
  <c r="AV93" i="1"/>
  <c r="AV94" i="1"/>
  <c r="AV95" i="1"/>
  <c r="AV64" i="1"/>
  <c r="AV66" i="1"/>
  <c r="AV70" i="1"/>
  <c r="AV72" i="1"/>
  <c r="AV44" i="1"/>
  <c r="AV45" i="1"/>
  <c r="AV46" i="1"/>
  <c r="AV47" i="1"/>
  <c r="AV24" i="1"/>
  <c r="AV25" i="1"/>
  <c r="AV26" i="1"/>
  <c r="AV30" i="1"/>
  <c r="AV31" i="1"/>
  <c r="AV32" i="1"/>
  <c r="AV21" i="1"/>
  <c r="AU70" i="1"/>
  <c r="AU72" i="1"/>
  <c r="AU87" i="1"/>
  <c r="AU88" i="1"/>
  <c r="AU89" i="1"/>
  <c r="AU90" i="1"/>
  <c r="AU91" i="1"/>
  <c r="AU92" i="1"/>
  <c r="AU93" i="1"/>
  <c r="AU94" i="1"/>
  <c r="AU95" i="1"/>
  <c r="AR77" i="1"/>
  <c r="AR88" i="1" s="1"/>
  <c r="AR76" i="1"/>
  <c r="AR87" i="1" s="1"/>
  <c r="AS77" i="1"/>
  <c r="AS88" i="1" s="1"/>
  <c r="AS76" i="1"/>
  <c r="AS87" i="1" s="1"/>
  <c r="AT77" i="1"/>
  <c r="AT88" i="1" s="1"/>
  <c r="AT76" i="1"/>
  <c r="AT87" i="1" s="1"/>
  <c r="AU64" i="1"/>
  <c r="AU66" i="1"/>
  <c r="AU44" i="1"/>
  <c r="AU45" i="1"/>
  <c r="AU46" i="1"/>
  <c r="AU47" i="1"/>
  <c r="AU24" i="1"/>
  <c r="AU25" i="1"/>
  <c r="AU26" i="1"/>
  <c r="AU30" i="1"/>
  <c r="AU31" i="1"/>
  <c r="AU32" i="1"/>
  <c r="AU21" i="1"/>
  <c r="AT89" i="1"/>
  <c r="AT90" i="1"/>
  <c r="AT91" i="1"/>
  <c r="AT92" i="1"/>
  <c r="AT93" i="1"/>
  <c r="AT94" i="1"/>
  <c r="AT95" i="1"/>
  <c r="AT70" i="1"/>
  <c r="AT72" i="1"/>
  <c r="AT64" i="1"/>
  <c r="AT66" i="1"/>
  <c r="AT44" i="1"/>
  <c r="AT45" i="1"/>
  <c r="AT46" i="1"/>
  <c r="AT47" i="1"/>
  <c r="AT24" i="1"/>
  <c r="AT25" i="1"/>
  <c r="AT26" i="1"/>
  <c r="AT30" i="1"/>
  <c r="AT31" i="1"/>
  <c r="AT32" i="1"/>
  <c r="AT21" i="1"/>
  <c r="AS89" i="1"/>
  <c r="AS90" i="1"/>
  <c r="AS91" i="1"/>
  <c r="AS92" i="1"/>
  <c r="AS93" i="1"/>
  <c r="AS94" i="1"/>
  <c r="AS95" i="1"/>
  <c r="AS70" i="1"/>
  <c r="AS72" i="1"/>
  <c r="AS64" i="1"/>
  <c r="AS66" i="1"/>
  <c r="AS44" i="1"/>
  <c r="AS45" i="1"/>
  <c r="AS46" i="1"/>
  <c r="AS47" i="1"/>
  <c r="AS24" i="1"/>
  <c r="AS25" i="1"/>
  <c r="AS26" i="1"/>
  <c r="AS30" i="1"/>
  <c r="AS31" i="1"/>
  <c r="AS32" i="1"/>
  <c r="AS21" i="1"/>
  <c r="AR89" i="1"/>
  <c r="AR90" i="1"/>
  <c r="AR91" i="1"/>
  <c r="AR92" i="1"/>
  <c r="AR93" i="1"/>
  <c r="AR94" i="1"/>
  <c r="AR95" i="1"/>
  <c r="AR64" i="1"/>
  <c r="AR65" i="1"/>
  <c r="AR66" i="1"/>
  <c r="AR70" i="1"/>
  <c r="AR71" i="1"/>
  <c r="AR72" i="1"/>
  <c r="AR61" i="1"/>
  <c r="AR44" i="1"/>
  <c r="AR45" i="1"/>
  <c r="AR46" i="1"/>
  <c r="AR47" i="1"/>
  <c r="AR32" i="1"/>
  <c r="AR31" i="1"/>
  <c r="AR30" i="1"/>
  <c r="AR26" i="1"/>
  <c r="AR25" i="1"/>
  <c r="AR24" i="1"/>
  <c r="AR21" i="1"/>
  <c r="AQ87" i="1"/>
  <c r="AQ88" i="1"/>
  <c r="AQ89" i="1"/>
  <c r="AQ90" i="1"/>
  <c r="AQ91" i="1"/>
  <c r="AQ92" i="1"/>
  <c r="AQ93" i="1"/>
  <c r="AQ94" i="1"/>
  <c r="AQ95" i="1"/>
  <c r="AQ64" i="1"/>
  <c r="AQ65" i="1"/>
  <c r="AQ66" i="1"/>
  <c r="AQ70" i="1"/>
  <c r="AQ71" i="1"/>
  <c r="AQ72" i="1"/>
  <c r="AQ61" i="1"/>
  <c r="BN61" i="1"/>
  <c r="AQ44" i="1"/>
  <c r="AQ45" i="1"/>
  <c r="AQ46" i="1"/>
  <c r="AQ47" i="1"/>
  <c r="AQ24" i="1"/>
  <c r="AQ25" i="1"/>
  <c r="AQ26" i="1"/>
  <c r="AQ30" i="1"/>
  <c r="AQ31" i="1"/>
  <c r="AQ32" i="1"/>
  <c r="AQ21" i="1"/>
  <c r="AP87" i="1"/>
  <c r="AP88" i="1"/>
  <c r="AP89" i="1"/>
  <c r="AP90" i="1"/>
  <c r="AP91" i="1"/>
  <c r="AP92" i="1"/>
  <c r="AP93" i="1"/>
  <c r="AP94" i="1"/>
  <c r="AP95" i="1"/>
  <c r="AP70" i="1"/>
  <c r="AP71" i="1"/>
  <c r="AP72" i="1"/>
  <c r="AP64" i="1"/>
  <c r="AP65" i="1"/>
  <c r="AP66" i="1"/>
  <c r="AP61" i="1"/>
  <c r="AP44" i="1"/>
  <c r="AP45" i="1"/>
  <c r="AP46" i="1"/>
  <c r="AP47" i="1"/>
  <c r="AP32" i="1"/>
  <c r="AP31" i="1"/>
  <c r="AP30" i="1"/>
  <c r="AP24" i="1"/>
  <c r="AP25" i="1"/>
  <c r="AP26" i="1"/>
  <c r="AP21" i="1"/>
  <c r="AO87" i="1"/>
  <c r="AN87" i="1"/>
  <c r="AN88" i="1"/>
  <c r="AO88" i="1"/>
  <c r="AN89" i="1"/>
  <c r="AO89" i="1"/>
  <c r="AN90" i="1"/>
  <c r="AO90" i="1"/>
  <c r="AN91" i="1"/>
  <c r="AO91" i="1"/>
  <c r="AN92" i="1"/>
  <c r="AO92" i="1"/>
  <c r="AN93" i="1"/>
  <c r="AO93" i="1"/>
  <c r="AN94" i="1"/>
  <c r="AO94" i="1"/>
  <c r="AN95" i="1"/>
  <c r="AO95" i="1"/>
  <c r="AN70" i="1"/>
  <c r="AO70" i="1"/>
  <c r="AN71" i="1"/>
  <c r="AO71" i="1"/>
  <c r="AN72" i="1"/>
  <c r="AO72" i="1"/>
  <c r="J18" i="1"/>
  <c r="J21" i="1" s="1"/>
  <c r="J33" i="1" s="1"/>
  <c r="I18" i="1"/>
  <c r="I21" i="1" s="1"/>
  <c r="H18" i="1"/>
  <c r="H30" i="1" s="1"/>
  <c r="G18" i="1"/>
  <c r="H24" i="1" s="1"/>
  <c r="F18" i="1"/>
  <c r="AN64" i="1"/>
  <c r="AO64" i="1"/>
  <c r="AN65" i="1"/>
  <c r="AO65" i="1"/>
  <c r="AN66" i="1"/>
  <c r="AO66" i="1"/>
  <c r="AN61" i="1"/>
  <c r="AO61" i="1"/>
  <c r="AO44" i="1"/>
  <c r="AO45" i="1"/>
  <c r="AO46" i="1"/>
  <c r="AO47" i="1"/>
  <c r="AN44" i="1"/>
  <c r="AN45" i="1"/>
  <c r="AN46" i="1"/>
  <c r="AN47" i="1"/>
  <c r="AN30" i="1"/>
  <c r="AO30" i="1"/>
  <c r="AN31" i="1"/>
  <c r="AO31" i="1"/>
  <c r="AN32" i="1"/>
  <c r="AO32" i="1"/>
  <c r="AN24" i="1"/>
  <c r="AO24" i="1"/>
  <c r="AN25" i="1"/>
  <c r="AO25" i="1"/>
  <c r="AN26" i="1"/>
  <c r="AO26" i="1"/>
  <c r="AO21" i="1"/>
  <c r="AN21" i="1"/>
  <c r="AM87" i="1"/>
  <c r="AM88" i="1"/>
  <c r="AM89" i="1"/>
  <c r="AM90" i="1"/>
  <c r="AM91" i="1"/>
  <c r="AM92" i="1"/>
  <c r="AM93" i="1"/>
  <c r="AM94" i="1"/>
  <c r="AM95" i="1"/>
  <c r="AM70" i="1"/>
  <c r="AM71" i="1"/>
  <c r="AM72" i="1"/>
  <c r="AM64" i="1"/>
  <c r="AM65" i="1"/>
  <c r="AM66" i="1"/>
  <c r="AM61" i="1"/>
  <c r="AM44" i="1"/>
  <c r="AM45" i="1"/>
  <c r="AM46" i="1"/>
  <c r="AM47" i="1"/>
  <c r="AM30" i="1"/>
  <c r="AM31" i="1"/>
  <c r="AM32" i="1"/>
  <c r="AM24" i="1"/>
  <c r="AM25" i="1"/>
  <c r="AM26" i="1"/>
  <c r="AM21" i="1"/>
  <c r="AM33" i="1" s="1"/>
  <c r="AK44" i="1"/>
  <c r="AK45" i="1"/>
  <c r="AK46" i="1"/>
  <c r="AK47" i="1"/>
  <c r="AL87" i="1"/>
  <c r="AL88" i="1"/>
  <c r="AL89" i="1"/>
  <c r="AL90" i="1"/>
  <c r="AL91" i="1"/>
  <c r="AL92" i="1"/>
  <c r="AL93" i="1"/>
  <c r="AL94" i="1"/>
  <c r="AL95" i="1"/>
  <c r="AL70" i="1"/>
  <c r="AL71" i="1"/>
  <c r="AL72" i="1"/>
  <c r="AL66" i="1"/>
  <c r="AL65" i="1"/>
  <c r="AL64" i="1"/>
  <c r="AL61" i="1"/>
  <c r="AL47" i="1"/>
  <c r="AL46" i="1"/>
  <c r="AL45" i="1"/>
  <c r="AL44" i="1"/>
  <c r="AL30" i="1"/>
  <c r="AL31" i="1"/>
  <c r="AL32" i="1"/>
  <c r="AL24" i="1"/>
  <c r="AL25" i="1"/>
  <c r="AL26" i="1"/>
  <c r="AL21" i="1"/>
  <c r="AK87" i="1"/>
  <c r="AK88" i="1"/>
  <c r="AK89" i="1"/>
  <c r="AK90" i="1"/>
  <c r="AK91" i="1"/>
  <c r="AK92" i="1"/>
  <c r="AK93" i="1"/>
  <c r="AK94" i="1"/>
  <c r="AK95" i="1"/>
  <c r="AK70" i="1"/>
  <c r="AK71" i="1"/>
  <c r="AK72" i="1"/>
  <c r="AK64" i="1"/>
  <c r="AK65" i="1"/>
  <c r="AK66" i="1"/>
  <c r="AK67" i="1" s="1"/>
  <c r="AK61" i="1"/>
  <c r="AK30" i="1"/>
  <c r="AK31" i="1"/>
  <c r="AK32" i="1"/>
  <c r="AK24" i="1"/>
  <c r="AK25" i="1"/>
  <c r="AK26" i="1"/>
  <c r="AK21" i="1"/>
  <c r="AJ87" i="1"/>
  <c r="AJ88" i="1"/>
  <c r="AJ89" i="1"/>
  <c r="AJ90" i="1"/>
  <c r="AJ91" i="1"/>
  <c r="AJ92" i="1"/>
  <c r="AJ93" i="1"/>
  <c r="AJ94" i="1"/>
  <c r="AJ95" i="1"/>
  <c r="AI64" i="1"/>
  <c r="AJ72" i="1"/>
  <c r="AJ71" i="1"/>
  <c r="AJ70" i="1"/>
  <c r="AJ66" i="1"/>
  <c r="AJ65" i="1"/>
  <c r="AJ64" i="1"/>
  <c r="AJ44" i="1"/>
  <c r="AJ61" i="1"/>
  <c r="AJ47" i="1"/>
  <c r="AJ46" i="1"/>
  <c r="AJ45" i="1"/>
  <c r="AJ31" i="1"/>
  <c r="AJ32" i="1"/>
  <c r="AJ30" i="1"/>
  <c r="AJ24" i="1"/>
  <c r="AJ26" i="1"/>
  <c r="AJ25" i="1"/>
  <c r="AJ21" i="1"/>
  <c r="W21" i="1"/>
  <c r="W33" i="1" s="1"/>
  <c r="X21" i="1"/>
  <c r="Y21" i="1"/>
  <c r="Z21" i="1"/>
  <c r="AI87" i="1"/>
  <c r="AI88" i="1"/>
  <c r="AI89" i="1"/>
  <c r="AI90" i="1"/>
  <c r="AI91" i="1"/>
  <c r="AI92" i="1"/>
  <c r="AI93" i="1"/>
  <c r="AI94" i="1"/>
  <c r="AI95" i="1"/>
  <c r="AI70" i="1"/>
  <c r="AI71" i="1"/>
  <c r="AI72" i="1"/>
  <c r="AI65" i="1"/>
  <c r="AI66" i="1"/>
  <c r="AI61" i="1"/>
  <c r="AI44" i="1"/>
  <c r="AI45" i="1"/>
  <c r="AI46" i="1"/>
  <c r="AI47" i="1"/>
  <c r="AI30" i="1"/>
  <c r="AI31" i="1"/>
  <c r="AI32" i="1"/>
  <c r="AI24" i="1"/>
  <c r="AI25" i="1"/>
  <c r="AI26" i="1"/>
  <c r="AI21" i="1"/>
  <c r="B25" i="1"/>
  <c r="AH92" i="1"/>
  <c r="AH87" i="1"/>
  <c r="AH88" i="1"/>
  <c r="AH89" i="1"/>
  <c r="AH90" i="1"/>
  <c r="AH91" i="1"/>
  <c r="AH93" i="1"/>
  <c r="AH94" i="1"/>
  <c r="AH95" i="1"/>
  <c r="AH70" i="1"/>
  <c r="AH71" i="1"/>
  <c r="AH72" i="1"/>
  <c r="AH64" i="1"/>
  <c r="AH65" i="1"/>
  <c r="AH66" i="1"/>
  <c r="AH61" i="1"/>
  <c r="AH44" i="1"/>
  <c r="AH45" i="1"/>
  <c r="AH46" i="1"/>
  <c r="AH47" i="1"/>
  <c r="AH30" i="1"/>
  <c r="AH31" i="1"/>
  <c r="AH32" i="1"/>
  <c r="AH24" i="1"/>
  <c r="AH25" i="1"/>
  <c r="AH26" i="1"/>
  <c r="AH21" i="1"/>
  <c r="AG65" i="1"/>
  <c r="AG87" i="1"/>
  <c r="AG88" i="1"/>
  <c r="AG89" i="1"/>
  <c r="AG90" i="1"/>
  <c r="AG91" i="1"/>
  <c r="AG93" i="1"/>
  <c r="AG94" i="1"/>
  <c r="AG95" i="1"/>
  <c r="AG70" i="1"/>
  <c r="AG71" i="1"/>
  <c r="AG72" i="1"/>
  <c r="AG64" i="1"/>
  <c r="AG66" i="1"/>
  <c r="AG61" i="1"/>
  <c r="AG67" i="1"/>
  <c r="AG44" i="1"/>
  <c r="AG45" i="1"/>
  <c r="AG46" i="1"/>
  <c r="AG47" i="1"/>
  <c r="AG30" i="1"/>
  <c r="AG31" i="1"/>
  <c r="AG32" i="1"/>
  <c r="AG24" i="1"/>
  <c r="AG25" i="1"/>
  <c r="AG26" i="1"/>
  <c r="AG21" i="1"/>
  <c r="AF64" i="1"/>
  <c r="AF87" i="1"/>
  <c r="AF88" i="1"/>
  <c r="AF89" i="1"/>
  <c r="AF90" i="1"/>
  <c r="AF91" i="1"/>
  <c r="AF93" i="1"/>
  <c r="AF94" i="1"/>
  <c r="AF95" i="1"/>
  <c r="AF72" i="1"/>
  <c r="AF70" i="1"/>
  <c r="AF66" i="1"/>
  <c r="AF54" i="1"/>
  <c r="AF65" i="1" s="1"/>
  <c r="AF44" i="1"/>
  <c r="AF45" i="1"/>
  <c r="AF46" i="1"/>
  <c r="AF47" i="1"/>
  <c r="AF30" i="1"/>
  <c r="AF31" i="1"/>
  <c r="AF32" i="1"/>
  <c r="AF24" i="1"/>
  <c r="AF25" i="1"/>
  <c r="AF26" i="1"/>
  <c r="AE25" i="1"/>
  <c r="AE26" i="1"/>
  <c r="AF21" i="1"/>
  <c r="AE44" i="1"/>
  <c r="AE45" i="1"/>
  <c r="AE46" i="1"/>
  <c r="AE47" i="1"/>
  <c r="AE30" i="1"/>
  <c r="AE31" i="1"/>
  <c r="AE32" i="1"/>
  <c r="AE24" i="1"/>
  <c r="AE21" i="1"/>
  <c r="AE87" i="1"/>
  <c r="AE88" i="1"/>
  <c r="AE89" i="1"/>
  <c r="AE90" i="1"/>
  <c r="AE91" i="1"/>
  <c r="AE93" i="1"/>
  <c r="AE94" i="1"/>
  <c r="AE95" i="1"/>
  <c r="AE64" i="1"/>
  <c r="AE65" i="1"/>
  <c r="AE66" i="1"/>
  <c r="AE70" i="1"/>
  <c r="AE71" i="1"/>
  <c r="AE72" i="1"/>
  <c r="AE61" i="1"/>
  <c r="AD87" i="1"/>
  <c r="AD88" i="1"/>
  <c r="AD89" i="1"/>
  <c r="AD90" i="1"/>
  <c r="AD91" i="1"/>
  <c r="AD93" i="1"/>
  <c r="AD94" i="1"/>
  <c r="AD95" i="1"/>
  <c r="S64" i="1"/>
  <c r="T64" i="1"/>
  <c r="U64" i="1"/>
  <c r="V64" i="1"/>
  <c r="W64" i="1"/>
  <c r="X64" i="1"/>
  <c r="Y64" i="1"/>
  <c r="Z64" i="1"/>
  <c r="AA64" i="1"/>
  <c r="AB64" i="1"/>
  <c r="AC64" i="1"/>
  <c r="AD64" i="1"/>
  <c r="V65" i="1"/>
  <c r="W65" i="1"/>
  <c r="X65" i="1"/>
  <c r="Y65" i="1"/>
  <c r="Z65" i="1"/>
  <c r="AD65" i="1"/>
  <c r="S66" i="1"/>
  <c r="T66" i="1"/>
  <c r="U66" i="1"/>
  <c r="V66" i="1"/>
  <c r="AD66" i="1"/>
  <c r="R66" i="1"/>
  <c r="R64" i="1"/>
  <c r="AD70" i="1"/>
  <c r="AD71" i="1"/>
  <c r="AD72" i="1"/>
  <c r="AD61" i="1"/>
  <c r="AD44" i="1"/>
  <c r="AD45" i="1"/>
  <c r="AD46" i="1"/>
  <c r="AD47" i="1"/>
  <c r="AD32" i="1"/>
  <c r="AD31" i="1"/>
  <c r="AD30" i="1"/>
  <c r="AD24" i="1"/>
  <c r="AD25" i="1"/>
  <c r="AD26" i="1"/>
  <c r="AD21" i="1"/>
  <c r="R88" i="1"/>
  <c r="R89" i="1"/>
  <c r="R90" i="1"/>
  <c r="R91" i="1"/>
  <c r="R93" i="1"/>
  <c r="R94" i="1"/>
  <c r="R95" i="1"/>
  <c r="S90" i="1"/>
  <c r="T90" i="1"/>
  <c r="U90" i="1"/>
  <c r="V90" i="1"/>
  <c r="W90" i="1"/>
  <c r="X90" i="1"/>
  <c r="Y90" i="1"/>
  <c r="Z90" i="1"/>
  <c r="AA90" i="1"/>
  <c r="AB90" i="1"/>
  <c r="AC90" i="1"/>
  <c r="AC87" i="1"/>
  <c r="AC88" i="1"/>
  <c r="AC89" i="1"/>
  <c r="AC91" i="1"/>
  <c r="AC93" i="1"/>
  <c r="AC95" i="1"/>
  <c r="AC94" i="1"/>
  <c r="AC70" i="1"/>
  <c r="W59" i="1"/>
  <c r="W61" i="1" s="1"/>
  <c r="AC54" i="1"/>
  <c r="T54" i="1"/>
  <c r="T61" i="1" s="1"/>
  <c r="S54" i="1"/>
  <c r="U54" i="1"/>
  <c r="U65" i="1" s="1"/>
  <c r="R54" i="1"/>
  <c r="R71" i="1" s="1"/>
  <c r="R65" i="1"/>
  <c r="R67" i="1"/>
  <c r="AC59" i="1"/>
  <c r="AC61" i="1" s="1"/>
  <c r="AC44" i="1"/>
  <c r="AC45" i="1"/>
  <c r="AC46" i="1"/>
  <c r="AC47" i="1"/>
  <c r="AC30" i="1"/>
  <c r="AC31" i="1"/>
  <c r="AC32" i="1"/>
  <c r="AC24" i="1"/>
  <c r="AC25" i="1"/>
  <c r="AC26" i="1"/>
  <c r="AC21" i="1"/>
  <c r="AB87" i="1"/>
  <c r="AB88" i="1"/>
  <c r="AB89" i="1"/>
  <c r="AB91" i="1"/>
  <c r="AB93" i="1"/>
  <c r="AB95" i="1"/>
  <c r="AB94" i="1"/>
  <c r="AB70" i="1"/>
  <c r="AB59" i="1"/>
  <c r="AB66" i="1" s="1"/>
  <c r="AB54" i="1"/>
  <c r="AB71" i="1" s="1"/>
  <c r="AB44" i="1"/>
  <c r="AB45" i="1"/>
  <c r="AB46" i="1"/>
  <c r="AB47" i="1"/>
  <c r="AB30" i="1"/>
  <c r="AB31" i="1"/>
  <c r="AB32" i="1"/>
  <c r="AB24" i="1"/>
  <c r="AB25" i="1"/>
  <c r="AB26" i="1"/>
  <c r="AB21" i="1"/>
  <c r="AA54" i="1"/>
  <c r="AA65" i="1" s="1"/>
  <c r="AA59" i="1"/>
  <c r="AA72" i="1" s="1"/>
  <c r="AA87" i="1"/>
  <c r="AA88" i="1"/>
  <c r="AA89" i="1"/>
  <c r="AA91" i="1"/>
  <c r="AA93" i="1"/>
  <c r="AA95" i="1"/>
  <c r="AA94" i="1"/>
  <c r="AA70" i="1"/>
  <c r="AA44" i="1"/>
  <c r="AA45" i="1"/>
  <c r="AA46" i="1"/>
  <c r="AA47" i="1"/>
  <c r="AA30" i="1"/>
  <c r="AA31" i="1"/>
  <c r="AA32" i="1"/>
  <c r="AA24" i="1"/>
  <c r="AA25" i="1"/>
  <c r="AA26" i="1"/>
  <c r="AA21" i="1"/>
  <c r="X87" i="1"/>
  <c r="Z87" i="1"/>
  <c r="Z88" i="1"/>
  <c r="Z89" i="1"/>
  <c r="Z91" i="1"/>
  <c r="Z93" i="1"/>
  <c r="Z95" i="1"/>
  <c r="Z94" i="1"/>
  <c r="Z70" i="1"/>
  <c r="Z71" i="1"/>
  <c r="Z59" i="1"/>
  <c r="Z66" i="1" s="1"/>
  <c r="Z61" i="1"/>
  <c r="Z44" i="1"/>
  <c r="Z45" i="1"/>
  <c r="Z46" i="1"/>
  <c r="Z47" i="1"/>
  <c r="Z30" i="1"/>
  <c r="Z31" i="1"/>
  <c r="Z32" i="1"/>
  <c r="Z24" i="1"/>
  <c r="Z25" i="1"/>
  <c r="Z26" i="1"/>
  <c r="Y88" i="1"/>
  <c r="Y87" i="1"/>
  <c r="Y44" i="1"/>
  <c r="Y45" i="1"/>
  <c r="Y46" i="1"/>
  <c r="Y47" i="1"/>
  <c r="Y30" i="1"/>
  <c r="Y31" i="1"/>
  <c r="Y32" i="1"/>
  <c r="Y24" i="1"/>
  <c r="Y25" i="1"/>
  <c r="Y26" i="1"/>
  <c r="Y94" i="1"/>
  <c r="Y95" i="1"/>
  <c r="Y93" i="1"/>
  <c r="Y91" i="1"/>
  <c r="Y89" i="1"/>
  <c r="Y71" i="1"/>
  <c r="Y70" i="1"/>
  <c r="Y59" i="1"/>
  <c r="Y61" i="1" s="1"/>
  <c r="X88" i="1"/>
  <c r="X89" i="1"/>
  <c r="X91" i="1"/>
  <c r="X93" i="1"/>
  <c r="X95" i="1"/>
  <c r="X94" i="1"/>
  <c r="X70" i="1"/>
  <c r="X71" i="1"/>
  <c r="X60" i="1"/>
  <c r="X59" i="1" s="1"/>
  <c r="X44" i="1"/>
  <c r="X45" i="1"/>
  <c r="X46" i="1"/>
  <c r="X47" i="1"/>
  <c r="S30" i="1"/>
  <c r="T30" i="1"/>
  <c r="U30" i="1"/>
  <c r="V30" i="1"/>
  <c r="W30" i="1"/>
  <c r="X30" i="1"/>
  <c r="S31" i="1"/>
  <c r="T31" i="1"/>
  <c r="U31" i="1"/>
  <c r="V31" i="1"/>
  <c r="W31" i="1"/>
  <c r="X31" i="1"/>
  <c r="S32" i="1"/>
  <c r="T32" i="1"/>
  <c r="U32" i="1"/>
  <c r="V32" i="1"/>
  <c r="W32" i="1"/>
  <c r="X32" i="1"/>
  <c r="R32" i="1"/>
  <c r="R31" i="1"/>
  <c r="R30" i="1"/>
  <c r="X26" i="1"/>
  <c r="X25" i="1"/>
  <c r="X24" i="1"/>
  <c r="W44" i="1"/>
  <c r="W45" i="1"/>
  <c r="W46" i="1"/>
  <c r="W47" i="1"/>
  <c r="W93" i="1"/>
  <c r="W95" i="1"/>
  <c r="W94" i="1"/>
  <c r="V95" i="1"/>
  <c r="V94" i="1"/>
  <c r="W87" i="1"/>
  <c r="W88" i="1"/>
  <c r="W89" i="1"/>
  <c r="W91" i="1"/>
  <c r="U72" i="1"/>
  <c r="T72" i="1"/>
  <c r="S72" i="1"/>
  <c r="R72" i="1"/>
  <c r="W70" i="1"/>
  <c r="W71" i="1"/>
  <c r="W24" i="1"/>
  <c r="W25" i="1"/>
  <c r="W26" i="1"/>
  <c r="V71" i="1"/>
  <c r="Q61" i="1"/>
  <c r="P61" i="1"/>
  <c r="J61" i="1"/>
  <c r="I61" i="1"/>
  <c r="H61" i="1"/>
  <c r="G61" i="1"/>
  <c r="F61" i="1"/>
  <c r="E61" i="1"/>
  <c r="D61" i="1"/>
  <c r="C61" i="1"/>
  <c r="B61" i="1"/>
  <c r="V87" i="1"/>
  <c r="V88" i="1"/>
  <c r="V89" i="1"/>
  <c r="V91" i="1"/>
  <c r="V93" i="1"/>
  <c r="V70" i="1"/>
  <c r="V44" i="1"/>
  <c r="V45" i="1"/>
  <c r="V46" i="1"/>
  <c r="V47" i="1"/>
  <c r="V24" i="1"/>
  <c r="V25" i="1"/>
  <c r="V26" i="1"/>
  <c r="V21" i="1"/>
  <c r="U87" i="1"/>
  <c r="U88" i="1"/>
  <c r="U89" i="1"/>
  <c r="U91" i="1"/>
  <c r="U93" i="1"/>
  <c r="U94" i="1"/>
  <c r="U70" i="1"/>
  <c r="U44" i="1"/>
  <c r="U45" i="1"/>
  <c r="U46" i="1"/>
  <c r="U47" i="1"/>
  <c r="U26" i="1"/>
  <c r="U25" i="1"/>
  <c r="U24" i="1"/>
  <c r="U21" i="1"/>
  <c r="V61" i="1"/>
  <c r="V72" i="1"/>
  <c r="T87" i="1"/>
  <c r="T88" i="1"/>
  <c r="T89" i="1"/>
  <c r="T95" i="1"/>
  <c r="T91" i="1"/>
  <c r="T93" i="1"/>
  <c r="T94" i="1"/>
  <c r="T70" i="1"/>
  <c r="T47" i="1"/>
  <c r="T46" i="1"/>
  <c r="T45" i="1"/>
  <c r="T44" i="1"/>
  <c r="T26" i="1"/>
  <c r="T25" i="1"/>
  <c r="T24" i="1"/>
  <c r="T21" i="1"/>
  <c r="S94" i="1"/>
  <c r="S93" i="1"/>
  <c r="S91" i="1"/>
  <c r="S95" i="1"/>
  <c r="S89" i="1"/>
  <c r="S88" i="1"/>
  <c r="S87" i="1"/>
  <c r="S70" i="1"/>
  <c r="S47" i="1"/>
  <c r="S46" i="1"/>
  <c r="S45" i="1"/>
  <c r="S44" i="1"/>
  <c r="S26" i="1"/>
  <c r="S25" i="1"/>
  <c r="S24" i="1"/>
  <c r="S21" i="1"/>
  <c r="R87" i="1"/>
  <c r="R70" i="1"/>
  <c r="R47" i="1"/>
  <c r="R46" i="1"/>
  <c r="R45" i="1"/>
  <c r="R44" i="1"/>
  <c r="R26" i="1"/>
  <c r="R25" i="1"/>
  <c r="R24" i="1"/>
  <c r="R21" i="1"/>
  <c r="G64" i="1"/>
  <c r="H64" i="1"/>
  <c r="I64" i="1"/>
  <c r="J64" i="1"/>
  <c r="K64" i="1"/>
  <c r="L64" i="1"/>
  <c r="M64" i="1"/>
  <c r="N64" i="1"/>
  <c r="O64" i="1"/>
  <c r="P64" i="1"/>
  <c r="Q64" i="1"/>
  <c r="G65" i="1"/>
  <c r="H65" i="1"/>
  <c r="I65" i="1"/>
  <c r="J65" i="1"/>
  <c r="P65" i="1"/>
  <c r="Q65" i="1"/>
  <c r="G66" i="1"/>
  <c r="H66" i="1"/>
  <c r="I66" i="1"/>
  <c r="J66" i="1"/>
  <c r="K66" i="1"/>
  <c r="L66" i="1"/>
  <c r="M66" i="1"/>
  <c r="N66" i="1"/>
  <c r="O66" i="1"/>
  <c r="P66" i="1"/>
  <c r="Q66" i="1"/>
  <c r="O54" i="1"/>
  <c r="O65" i="1" s="1"/>
  <c r="N54" i="1"/>
  <c r="N71" i="1" s="1"/>
  <c r="M54" i="1"/>
  <c r="L54" i="1"/>
  <c r="L61" i="1" s="1"/>
  <c r="K54" i="1"/>
  <c r="Q44" i="1"/>
  <c r="Q45" i="1"/>
  <c r="Q46" i="1"/>
  <c r="Q47" i="1"/>
  <c r="Q31" i="1"/>
  <c r="Q25" i="1"/>
  <c r="Q21" i="1"/>
  <c r="P89" i="1"/>
  <c r="P87" i="1"/>
  <c r="P47" i="1"/>
  <c r="P46" i="1"/>
  <c r="P45" i="1"/>
  <c r="P44" i="1"/>
  <c r="P31" i="1"/>
  <c r="P25" i="1"/>
  <c r="P21" i="1"/>
  <c r="F87" i="1"/>
  <c r="N93" i="1"/>
  <c r="N89" i="1"/>
  <c r="O47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O24" i="1"/>
  <c r="O44" i="1"/>
  <c r="L31" i="1"/>
  <c r="M31" i="1"/>
  <c r="N31" i="1"/>
  <c r="O31" i="1"/>
  <c r="O30" i="1"/>
  <c r="M13" i="1"/>
  <c r="O45" i="1"/>
  <c r="O21" i="1"/>
  <c r="N123" i="1"/>
  <c r="N87" i="1"/>
  <c r="O128" i="1"/>
  <c r="P128" i="1"/>
  <c r="Q128" i="1"/>
  <c r="BN128" i="1"/>
  <c r="N124" i="1"/>
  <c r="N125" i="1"/>
  <c r="N127" i="1"/>
  <c r="N128" i="1"/>
  <c r="N129" i="1"/>
  <c r="N134" i="1" s="1"/>
  <c r="K88" i="1"/>
  <c r="N45" i="1"/>
  <c r="N21" i="1"/>
  <c r="M45" i="1"/>
  <c r="M21" i="1"/>
  <c r="M33" i="1" s="1"/>
  <c r="L45" i="1"/>
  <c r="L44" i="1"/>
  <c r="L21" i="1"/>
  <c r="L27" i="1" s="1"/>
  <c r="H31" i="1"/>
  <c r="I31" i="1"/>
  <c r="J31" i="1"/>
  <c r="K31" i="1"/>
  <c r="G31" i="1"/>
  <c r="D66" i="1"/>
  <c r="C66" i="1"/>
  <c r="B66" i="1"/>
  <c r="D65" i="1"/>
  <c r="C65" i="1"/>
  <c r="B65" i="1"/>
  <c r="D64" i="1"/>
  <c r="C64" i="1"/>
  <c r="B64" i="1"/>
  <c r="F64" i="1"/>
  <c r="F65" i="1"/>
  <c r="F66" i="1"/>
  <c r="E65" i="1"/>
  <c r="E64" i="1"/>
  <c r="K45" i="1"/>
  <c r="K21" i="1"/>
  <c r="K33" i="1" s="1"/>
  <c r="J45" i="1"/>
  <c r="I45" i="1"/>
  <c r="H45" i="1"/>
  <c r="G45" i="1"/>
  <c r="G44" i="1"/>
  <c r="F45" i="1"/>
  <c r="F21" i="1"/>
  <c r="F33" i="1" s="1"/>
  <c r="F47" i="1"/>
  <c r="F72" i="1"/>
  <c r="F30" i="1"/>
  <c r="C32" i="1"/>
  <c r="D32" i="1"/>
  <c r="E32" i="1"/>
  <c r="F32" i="1"/>
  <c r="D30" i="1"/>
  <c r="E30" i="1"/>
  <c r="E66" i="1"/>
  <c r="E94" i="1"/>
  <c r="E93" i="1"/>
  <c r="E91" i="1"/>
  <c r="E89" i="1"/>
  <c r="E88" i="1"/>
  <c r="E87" i="1"/>
  <c r="E72" i="1"/>
  <c r="E71" i="1"/>
  <c r="E70" i="1"/>
  <c r="E73" i="1" s="1"/>
  <c r="E47" i="1"/>
  <c r="E46" i="1"/>
  <c r="E44" i="1"/>
  <c r="E27" i="1"/>
  <c r="E26" i="1"/>
  <c r="E24" i="1"/>
  <c r="D94" i="1"/>
  <c r="D100" i="1" s="1"/>
  <c r="D107" i="1" s="1"/>
  <c r="C94" i="1"/>
  <c r="C100" i="1" s="1"/>
  <c r="C107" i="1" s="1"/>
  <c r="B94" i="1"/>
  <c r="B100" i="1" s="1"/>
  <c r="B107" i="1" s="1"/>
  <c r="D93" i="1"/>
  <c r="C93" i="1"/>
  <c r="B93" i="1"/>
  <c r="D91" i="1"/>
  <c r="C91" i="1"/>
  <c r="B91" i="1"/>
  <c r="D89" i="1"/>
  <c r="C89" i="1"/>
  <c r="B89" i="1"/>
  <c r="D88" i="1"/>
  <c r="C88" i="1"/>
  <c r="B88" i="1"/>
  <c r="D87" i="1"/>
  <c r="C87" i="1"/>
  <c r="B87" i="1"/>
  <c r="D72" i="1"/>
  <c r="C72" i="1"/>
  <c r="B72" i="1"/>
  <c r="D71" i="1"/>
  <c r="C71" i="1"/>
  <c r="B71" i="1"/>
  <c r="D70" i="1"/>
  <c r="C70" i="1"/>
  <c r="B70" i="1"/>
  <c r="D47" i="1"/>
  <c r="C47" i="1"/>
  <c r="B47" i="1"/>
  <c r="B40" i="1" s="1"/>
  <c r="D46" i="1"/>
  <c r="C46" i="1"/>
  <c r="B46" i="1"/>
  <c r="B39" i="1" s="1"/>
  <c r="D44" i="1"/>
  <c r="C44" i="1"/>
  <c r="B44" i="1"/>
  <c r="B37" i="1" s="1"/>
  <c r="C30" i="1"/>
  <c r="D26" i="1"/>
  <c r="C26" i="1"/>
  <c r="B26" i="1"/>
  <c r="D24" i="1"/>
  <c r="C24" i="1"/>
  <c r="B24" i="1"/>
  <c r="C21" i="1"/>
  <c r="D27" i="1" s="1"/>
  <c r="B21" i="1"/>
  <c r="B27" i="1" s="1"/>
  <c r="E100" i="1"/>
  <c r="E107" i="1" s="1"/>
  <c r="Q94" i="1"/>
  <c r="Q107" i="1" s="1"/>
  <c r="P94" i="1"/>
  <c r="P107" i="1" s="1"/>
  <c r="O94" i="1"/>
  <c r="O107" i="1" s="1"/>
  <c r="N94" i="1"/>
  <c r="N107" i="1" s="1"/>
  <c r="M94" i="1"/>
  <c r="M107" i="1" s="1"/>
  <c r="L94" i="1"/>
  <c r="L100" i="1" s="1"/>
  <c r="L107" i="1" s="1"/>
  <c r="K94" i="1"/>
  <c r="K100" i="1" s="1"/>
  <c r="K107" i="1" s="1"/>
  <c r="J94" i="1"/>
  <c r="J100" i="1" s="1"/>
  <c r="J107" i="1" s="1"/>
  <c r="I94" i="1"/>
  <c r="I100" i="1" s="1"/>
  <c r="I107" i="1" s="1"/>
  <c r="H94" i="1"/>
  <c r="H100" i="1" s="1"/>
  <c r="H107" i="1" s="1"/>
  <c r="G94" i="1"/>
  <c r="G100" i="1" s="1"/>
  <c r="G107" i="1" s="1"/>
  <c r="F94" i="1"/>
  <c r="F100" i="1" s="1"/>
  <c r="F107" i="1" s="1"/>
  <c r="Q93" i="1"/>
  <c r="P93" i="1"/>
  <c r="O93" i="1"/>
  <c r="M93" i="1"/>
  <c r="L93" i="1"/>
  <c r="K93" i="1"/>
  <c r="J93" i="1"/>
  <c r="I93" i="1"/>
  <c r="H93" i="1"/>
  <c r="G93" i="1"/>
  <c r="F93" i="1"/>
  <c r="Q91" i="1"/>
  <c r="P91" i="1"/>
  <c r="O91" i="1"/>
  <c r="N91" i="1"/>
  <c r="M91" i="1"/>
  <c r="L91" i="1"/>
  <c r="K91" i="1"/>
  <c r="J91" i="1"/>
  <c r="I91" i="1"/>
  <c r="H91" i="1"/>
  <c r="G91" i="1"/>
  <c r="F91" i="1"/>
  <c r="M95" i="1"/>
  <c r="L95" i="1"/>
  <c r="K95" i="1"/>
  <c r="Q89" i="1"/>
  <c r="O89" i="1"/>
  <c r="M89" i="1"/>
  <c r="L89" i="1"/>
  <c r="K89" i="1"/>
  <c r="J89" i="1"/>
  <c r="I89" i="1"/>
  <c r="H89" i="1"/>
  <c r="G89" i="1"/>
  <c r="F89" i="1"/>
  <c r="Q88" i="1"/>
  <c r="P88" i="1"/>
  <c r="O88" i="1"/>
  <c r="N88" i="1"/>
  <c r="M88" i="1"/>
  <c r="L88" i="1"/>
  <c r="J88" i="1"/>
  <c r="I88" i="1"/>
  <c r="H88" i="1"/>
  <c r="G88" i="1"/>
  <c r="F88" i="1"/>
  <c r="Q87" i="1"/>
  <c r="O87" i="1"/>
  <c r="M87" i="1"/>
  <c r="L87" i="1"/>
  <c r="K87" i="1"/>
  <c r="J87" i="1"/>
  <c r="I87" i="1"/>
  <c r="H87" i="1"/>
  <c r="G87" i="1"/>
  <c r="Q72" i="1"/>
  <c r="P72" i="1"/>
  <c r="O72" i="1"/>
  <c r="N72" i="1"/>
  <c r="M72" i="1"/>
  <c r="L72" i="1"/>
  <c r="K72" i="1"/>
  <c r="J72" i="1"/>
  <c r="I72" i="1"/>
  <c r="H72" i="1"/>
  <c r="G72" i="1"/>
  <c r="Q71" i="1"/>
  <c r="P71" i="1"/>
  <c r="J71" i="1"/>
  <c r="I71" i="1"/>
  <c r="H71" i="1"/>
  <c r="G71" i="1"/>
  <c r="F71" i="1"/>
  <c r="Q70" i="1"/>
  <c r="P70" i="1"/>
  <c r="O70" i="1"/>
  <c r="N70" i="1"/>
  <c r="M70" i="1"/>
  <c r="L70" i="1"/>
  <c r="K70" i="1"/>
  <c r="J70" i="1"/>
  <c r="I70" i="1"/>
  <c r="H70" i="1"/>
  <c r="G70" i="1"/>
  <c r="F70" i="1"/>
  <c r="N47" i="1"/>
  <c r="M47" i="1"/>
  <c r="L47" i="1"/>
  <c r="K47" i="1"/>
  <c r="J47" i="1"/>
  <c r="I47" i="1"/>
  <c r="H47" i="1"/>
  <c r="G47" i="1"/>
  <c r="O46" i="1"/>
  <c r="N46" i="1"/>
  <c r="M46" i="1"/>
  <c r="L46" i="1"/>
  <c r="K46" i="1"/>
  <c r="J46" i="1"/>
  <c r="I46" i="1"/>
  <c r="H46" i="1"/>
  <c r="G46" i="1"/>
  <c r="F46" i="1"/>
  <c r="N44" i="1"/>
  <c r="M44" i="1"/>
  <c r="K44" i="1"/>
  <c r="J44" i="1"/>
  <c r="I44" i="1"/>
  <c r="H44" i="1"/>
  <c r="F44" i="1"/>
  <c r="N33" i="1"/>
  <c r="Q32" i="1"/>
  <c r="P32" i="1"/>
  <c r="O32" i="1"/>
  <c r="N32" i="1"/>
  <c r="M32" i="1"/>
  <c r="L32" i="1"/>
  <c r="K32" i="1"/>
  <c r="J32" i="1"/>
  <c r="I32" i="1"/>
  <c r="H32" i="1"/>
  <c r="G32" i="1"/>
  <c r="Q30" i="1"/>
  <c r="P30" i="1"/>
  <c r="N30" i="1"/>
  <c r="M30" i="1"/>
  <c r="L30" i="1"/>
  <c r="K30" i="1"/>
  <c r="Q26" i="1"/>
  <c r="P26" i="1"/>
  <c r="O26" i="1"/>
  <c r="N26" i="1"/>
  <c r="M26" i="1"/>
  <c r="L26" i="1"/>
  <c r="K26" i="1"/>
  <c r="J26" i="1"/>
  <c r="I26" i="1"/>
  <c r="H26" i="1"/>
  <c r="G26" i="1"/>
  <c r="F26" i="1"/>
  <c r="Q24" i="1"/>
  <c r="P24" i="1"/>
  <c r="N24" i="1"/>
  <c r="M24" i="1"/>
  <c r="L24" i="1"/>
  <c r="F24" i="1"/>
  <c r="L13" i="1"/>
  <c r="K13" i="1"/>
  <c r="J13" i="1"/>
  <c r="I13" i="1"/>
  <c r="H13" i="1"/>
  <c r="G13" i="1"/>
  <c r="F13" i="1"/>
  <c r="BN70" i="1" l="1"/>
  <c r="BN65" i="1"/>
  <c r="BN71" i="1"/>
  <c r="BK33" i="1"/>
  <c r="BL33" i="1"/>
  <c r="AZ27" i="1"/>
  <c r="BN66" i="1"/>
  <c r="BN72" i="1"/>
  <c r="AY98" i="1"/>
  <c r="AY105" i="1" s="1"/>
  <c r="BN64" i="1"/>
  <c r="AF67" i="1"/>
  <c r="AA71" i="1"/>
  <c r="AA73" i="1" s="1"/>
  <c r="AB27" i="1"/>
  <c r="Q67" i="1"/>
  <c r="Z67" i="1"/>
  <c r="BE98" i="1"/>
  <c r="BE105" i="1" s="1"/>
  <c r="AA66" i="1"/>
  <c r="AA67" i="1" s="1"/>
  <c r="H21" i="1"/>
  <c r="H33" i="1" s="1"/>
  <c r="O27" i="1"/>
  <c r="I73" i="1"/>
  <c r="D73" i="1"/>
  <c r="V33" i="1"/>
  <c r="U27" i="1"/>
  <c r="L33" i="1"/>
  <c r="AI73" i="1"/>
  <c r="H98" i="1"/>
  <c r="H105" i="1" s="1"/>
  <c r="B67" i="1"/>
  <c r="AP33" i="1"/>
  <c r="AU100" i="1"/>
  <c r="AU107" i="1" s="1"/>
  <c r="AW73" i="1"/>
  <c r="BG98" i="1"/>
  <c r="BG105" i="1" s="1"/>
  <c r="AM27" i="1"/>
  <c r="AQ108" i="1"/>
  <c r="AX27" i="1"/>
  <c r="AX100" i="1"/>
  <c r="AX107" i="1" s="1"/>
  <c r="W27" i="1"/>
  <c r="AG73" i="1"/>
  <c r="AO73" i="1"/>
  <c r="BA98" i="1"/>
  <c r="BA105" i="1" s="1"/>
  <c r="O71" i="1"/>
  <c r="O73" i="1" s="1"/>
  <c r="Q27" i="1"/>
  <c r="AI100" i="1"/>
  <c r="AI107" i="1" s="1"/>
  <c r="AT100" i="1"/>
  <c r="AT107" i="1" s="1"/>
  <c r="N100" i="1"/>
  <c r="P33" i="1"/>
  <c r="G73" i="1"/>
  <c r="Q33" i="1"/>
  <c r="W108" i="1"/>
  <c r="W109" i="1" s="1"/>
  <c r="BH33" i="1"/>
  <c r="BJ33" i="1"/>
  <c r="I30" i="1"/>
  <c r="AI98" i="1"/>
  <c r="AI105" i="1" s="1"/>
  <c r="AT61" i="1"/>
  <c r="AT108" i="1" s="1"/>
  <c r="BN21" i="1"/>
  <c r="E99" i="1"/>
  <c r="E106" i="1" s="1"/>
  <c r="F73" i="1"/>
  <c r="AT27" i="1"/>
  <c r="BB100" i="1"/>
  <c r="BB107" i="1" s="1"/>
  <c r="AE99" i="1"/>
  <c r="AE106" i="1" s="1"/>
  <c r="AO100" i="1"/>
  <c r="AO107" i="1" s="1"/>
  <c r="U71" i="1"/>
  <c r="U99" i="1" s="1"/>
  <c r="U106" i="1" s="1"/>
  <c r="U61" i="1"/>
  <c r="U108" i="1" s="1"/>
  <c r="U109" i="1" s="1"/>
  <c r="Y27" i="1"/>
  <c r="AQ99" i="1"/>
  <c r="AQ106" i="1" s="1"/>
  <c r="BE108" i="1"/>
  <c r="BG99" i="1"/>
  <c r="BG106" i="1" s="1"/>
  <c r="N99" i="1"/>
  <c r="F108" i="1"/>
  <c r="G99" i="1"/>
  <c r="G106" i="1" s="1"/>
  <c r="E33" i="1"/>
  <c r="AA33" i="1"/>
  <c r="R61" i="1"/>
  <c r="R108" i="1" s="1"/>
  <c r="R109" i="1" s="1"/>
  <c r="BF98" i="1"/>
  <c r="BF105" i="1" s="1"/>
  <c r="AU71" i="1"/>
  <c r="AU73" i="1" s="1"/>
  <c r="BA73" i="1"/>
  <c r="V98" i="1"/>
  <c r="V105" i="1" s="1"/>
  <c r="AM99" i="1"/>
  <c r="AM106" i="1" s="1"/>
  <c r="AS71" i="1"/>
  <c r="AS73" i="1" s="1"/>
  <c r="AU98" i="1"/>
  <c r="AU105" i="1" s="1"/>
  <c r="AV61" i="1"/>
  <c r="AZ73" i="1"/>
  <c r="AZ98" i="1"/>
  <c r="AZ105" i="1" s="1"/>
  <c r="BC100" i="1"/>
  <c r="BC107" i="1" s="1"/>
  <c r="O99" i="1"/>
  <c r="G30" i="1"/>
  <c r="O33" i="1"/>
  <c r="I99" i="1"/>
  <c r="I106" i="1" s="1"/>
  <c r="D33" i="1"/>
  <c r="B99" i="1"/>
  <c r="B106" i="1" s="1"/>
  <c r="R100" i="1"/>
  <c r="R107" i="1" s="1"/>
  <c r="AD100" i="1"/>
  <c r="AD107" i="1" s="1"/>
  <c r="AE67" i="1"/>
  <c r="AL99" i="1"/>
  <c r="AL106" i="1" s="1"/>
  <c r="AN100" i="1"/>
  <c r="AN107" i="1" s="1"/>
  <c r="AW27" i="1"/>
  <c r="BG33" i="1"/>
  <c r="AK99" i="1"/>
  <c r="AK106" i="1" s="1"/>
  <c r="AV71" i="1"/>
  <c r="AV99" i="1" s="1"/>
  <c r="AV106" i="1" s="1"/>
  <c r="BI33" i="1"/>
  <c r="AN67" i="1"/>
  <c r="I98" i="1"/>
  <c r="I105" i="1" s="1"/>
  <c r="G21" i="1"/>
  <c r="G33" i="1" s="1"/>
  <c r="G67" i="1"/>
  <c r="S33" i="1"/>
  <c r="V108" i="1"/>
  <c r="V109" i="1" s="1"/>
  <c r="AM100" i="1"/>
  <c r="AM107" i="1" s="1"/>
  <c r="AN99" i="1"/>
  <c r="AN106" i="1" s="1"/>
  <c r="AO98" i="1"/>
  <c r="AO105" i="1" s="1"/>
  <c r="AU61" i="1"/>
  <c r="AU108" i="1" s="1"/>
  <c r="BC99" i="1"/>
  <c r="BC106" i="1" s="1"/>
  <c r="AB33" i="1"/>
  <c r="AP27" i="1"/>
  <c r="AR67" i="1"/>
  <c r="H108" i="1"/>
  <c r="Z108" i="1"/>
  <c r="Z109" i="1" s="1"/>
  <c r="Y98" i="1"/>
  <c r="Y105" i="1" s="1"/>
  <c r="AO33" i="1"/>
  <c r="AJ73" i="1"/>
  <c r="AG99" i="1"/>
  <c r="AG106" i="1" s="1"/>
  <c r="H99" i="1"/>
  <c r="H106" i="1" s="1"/>
  <c r="I67" i="1"/>
  <c r="O100" i="1"/>
  <c r="Z72" i="1"/>
  <c r="Z100" i="1" s="1"/>
  <c r="Z107" i="1" s="1"/>
  <c r="T100" i="1"/>
  <c r="T107" i="1" s="1"/>
  <c r="I24" i="1"/>
  <c r="P67" i="1"/>
  <c r="U100" i="1"/>
  <c r="U107" i="1" s="1"/>
  <c r="AH100" i="1"/>
  <c r="AH107" i="1" s="1"/>
  <c r="AP67" i="1"/>
  <c r="AR100" i="1"/>
  <c r="AR107" i="1" s="1"/>
  <c r="AS100" i="1"/>
  <c r="AS107" i="1" s="1"/>
  <c r="AV67" i="1"/>
  <c r="AW98" i="1"/>
  <c r="AW105" i="1" s="1"/>
  <c r="BB33" i="1"/>
  <c r="X61" i="1"/>
  <c r="X108" i="1" s="1"/>
  <c r="X109" i="1" s="1"/>
  <c r="X66" i="1"/>
  <c r="X67" i="1" s="1"/>
  <c r="X72" i="1"/>
  <c r="X100" i="1" s="1"/>
  <c r="X107" i="1" s="1"/>
  <c r="X73" i="1"/>
  <c r="Z99" i="1"/>
  <c r="Z106" i="1" s="1"/>
  <c r="AB72" i="1"/>
  <c r="AB100" i="1" s="1"/>
  <c r="AB107" i="1" s="1"/>
  <c r="AF27" i="1"/>
  <c r="AG108" i="1"/>
  <c r="AG109" i="1" s="1"/>
  <c r="AL100" i="1"/>
  <c r="AL107" i="1" s="1"/>
  <c r="AS33" i="1"/>
  <c r="AP99" i="1"/>
  <c r="AP106" i="1" s="1"/>
  <c r="AR98" i="1"/>
  <c r="AR105" i="1" s="1"/>
  <c r="BD99" i="1"/>
  <c r="BD106" i="1" s="1"/>
  <c r="P108" i="1"/>
  <c r="M100" i="1"/>
  <c r="H73" i="1"/>
  <c r="D98" i="1"/>
  <c r="D105" i="1" s="1"/>
  <c r="S98" i="1"/>
  <c r="S105" i="1" s="1"/>
  <c r="Z98" i="1"/>
  <c r="Z105" i="1" s="1"/>
  <c r="AA61" i="1"/>
  <c r="AA108" i="1" s="1"/>
  <c r="AA109" i="1" s="1"/>
  <c r="AB61" i="1"/>
  <c r="AB108" i="1" s="1"/>
  <c r="AB109" i="1" s="1"/>
  <c r="T108" i="1"/>
  <c r="T109" i="1" s="1"/>
  <c r="AF71" i="1"/>
  <c r="AF73" i="1" s="1"/>
  <c r="AG100" i="1"/>
  <c r="AG107" i="1" s="1"/>
  <c r="X27" i="1"/>
  <c r="AW33" i="1"/>
  <c r="AP73" i="1"/>
  <c r="AS27" i="1"/>
  <c r="AY67" i="1"/>
  <c r="P100" i="1"/>
  <c r="D99" i="1"/>
  <c r="D106" i="1" s="1"/>
  <c r="P27" i="1"/>
  <c r="T33" i="1"/>
  <c r="V73" i="1"/>
  <c r="AB65" i="1"/>
  <c r="AE73" i="1"/>
  <c r="AE108" i="1"/>
  <c r="AE109" i="1" s="1"/>
  <c r="AF61" i="1"/>
  <c r="AF108" i="1" s="1"/>
  <c r="AF109" i="1" s="1"/>
  <c r="AZ33" i="1"/>
  <c r="AS98" i="1"/>
  <c r="AS105" i="1" s="1"/>
  <c r="AU99" i="1"/>
  <c r="AU106" i="1" s="1"/>
  <c r="AY27" i="1"/>
  <c r="AX108" i="1"/>
  <c r="AY33" i="1"/>
  <c r="F99" i="1"/>
  <c r="F106" i="1" s="1"/>
  <c r="U33" i="1"/>
  <c r="T27" i="1"/>
  <c r="W66" i="1"/>
  <c r="W67" i="1" s="1"/>
  <c r="AB67" i="1"/>
  <c r="AD108" i="1"/>
  <c r="AD109" i="1" s="1"/>
  <c r="AI27" i="1"/>
  <c r="AX99" i="1"/>
  <c r="AX106" i="1" s="1"/>
  <c r="AT73" i="1"/>
  <c r="BF108" i="1"/>
  <c r="Q108" i="1"/>
  <c r="Y108" i="1"/>
  <c r="Y109" i="1" s="1"/>
  <c r="AH73" i="1"/>
  <c r="BA67" i="1"/>
  <c r="M27" i="1"/>
  <c r="P99" i="1"/>
  <c r="Q73" i="1"/>
  <c r="C33" i="1"/>
  <c r="C27" i="1"/>
  <c r="C99" i="1"/>
  <c r="C106" i="1" s="1"/>
  <c r="Y33" i="1"/>
  <c r="R27" i="1"/>
  <c r="W72" i="1"/>
  <c r="W73" i="1" s="1"/>
  <c r="V27" i="1"/>
  <c r="R99" i="1"/>
  <c r="R106" i="1" s="1"/>
  <c r="AJ67" i="1"/>
  <c r="AJ98" i="1"/>
  <c r="AJ105" i="1" s="1"/>
  <c r="AN98" i="1"/>
  <c r="AN105" i="1" s="1"/>
  <c r="AQ98" i="1"/>
  <c r="AQ105" i="1" s="1"/>
  <c r="AW100" i="1"/>
  <c r="AW107" i="1" s="1"/>
  <c r="AY99" i="1"/>
  <c r="AY106" i="1" s="1"/>
  <c r="AZ67" i="1"/>
  <c r="BD100" i="1"/>
  <c r="BD107" i="1" s="1"/>
  <c r="BD108" i="1"/>
  <c r="V99" i="1"/>
  <c r="V106" i="1" s="1"/>
  <c r="AC108" i="1"/>
  <c r="AC109" i="1" s="1"/>
  <c r="AR33" i="1"/>
  <c r="BE67" i="1"/>
  <c r="J108" i="1"/>
  <c r="AD67" i="1"/>
  <c r="AJ99" i="1"/>
  <c r="AJ106" i="1" s="1"/>
  <c r="AK100" i="1"/>
  <c r="AK107" i="1" s="1"/>
  <c r="AR73" i="1"/>
  <c r="AZ108" i="1"/>
  <c r="L98" i="1"/>
  <c r="L105" i="1" s="1"/>
  <c r="V100" i="1"/>
  <c r="V107" i="1" s="1"/>
  <c r="X98" i="1"/>
  <c r="X105" i="1" s="1"/>
  <c r="AQ67" i="1"/>
  <c r="BA99" i="1"/>
  <c r="BA106" i="1" s="1"/>
  <c r="H67" i="1"/>
  <c r="AH98" i="1"/>
  <c r="AH105" i="1" s="1"/>
  <c r="AL67" i="1"/>
  <c r="BB73" i="1"/>
  <c r="BB108" i="1"/>
  <c r="Q99" i="1"/>
  <c r="I108" i="1"/>
  <c r="E67" i="1"/>
  <c r="F98" i="1"/>
  <c r="F105" i="1" s="1"/>
  <c r="D67" i="1"/>
  <c r="N27" i="1"/>
  <c r="E108" i="1"/>
  <c r="W99" i="1"/>
  <c r="W106" i="1" s="1"/>
  <c r="AA100" i="1"/>
  <c r="AA107" i="1" s="1"/>
  <c r="U67" i="1"/>
  <c r="AH99" i="1"/>
  <c r="AH106" i="1" s="1"/>
  <c r="Z33" i="1"/>
  <c r="G24" i="1"/>
  <c r="AQ73" i="1"/>
  <c r="BD27" i="1"/>
  <c r="BB98" i="1"/>
  <c r="BB105" i="1" s="1"/>
  <c r="BG27" i="1"/>
  <c r="AK108" i="1"/>
  <c r="AK109" i="1" s="1"/>
  <c r="AM67" i="1"/>
  <c r="BC73" i="1"/>
  <c r="AC27" i="1"/>
  <c r="AK33" i="1"/>
  <c r="AI33" i="1"/>
  <c r="AZ99" i="1"/>
  <c r="AZ106" i="1" s="1"/>
  <c r="N73" i="1"/>
  <c r="N132" i="1"/>
  <c r="AC33" i="1"/>
  <c r="M61" i="1"/>
  <c r="M108" i="1" s="1"/>
  <c r="M71" i="1"/>
  <c r="M99" i="1" s="1"/>
  <c r="AG27" i="1"/>
  <c r="AG33" i="1"/>
  <c r="AP98" i="1"/>
  <c r="AP105" i="1" s="1"/>
  <c r="AP108" i="1"/>
  <c r="N61" i="1"/>
  <c r="N106" i="1"/>
  <c r="N133" i="1"/>
  <c r="T98" i="1"/>
  <c r="T105" i="1" s="1"/>
  <c r="Y99" i="1"/>
  <c r="Y106" i="1" s="1"/>
  <c r="AH108" i="1"/>
  <c r="AH109" i="1" s="1"/>
  <c r="AM98" i="1"/>
  <c r="AM105" i="1" s="1"/>
  <c r="AR27" i="1"/>
  <c r="AV98" i="1"/>
  <c r="AV105" i="1" s="1"/>
  <c r="BA108" i="1"/>
  <c r="Q100" i="1"/>
  <c r="M98" i="1"/>
  <c r="M105" i="1" s="1"/>
  <c r="AA98" i="1"/>
  <c r="AA105" i="1" s="1"/>
  <c r="AL98" i="1"/>
  <c r="AL105" i="1" s="1"/>
  <c r="AL108" i="1"/>
  <c r="AL109" i="1" s="1"/>
  <c r="AQ27" i="1"/>
  <c r="AQ33" i="1"/>
  <c r="BA100" i="1"/>
  <c r="BA107" i="1" s="1"/>
  <c r="G108" i="1"/>
  <c r="G98" i="1"/>
  <c r="G105" i="1" s="1"/>
  <c r="AA99" i="1"/>
  <c r="AA106" i="1" s="1"/>
  <c r="AF98" i="1"/>
  <c r="AF105" i="1" s="1"/>
  <c r="AF100" i="1"/>
  <c r="AF107" i="1" s="1"/>
  <c r="AQ100" i="1"/>
  <c r="AQ107" i="1" s="1"/>
  <c r="AX73" i="1"/>
  <c r="AX98" i="1"/>
  <c r="AX105" i="1" s="1"/>
  <c r="AZ100" i="1"/>
  <c r="AZ107" i="1" s="1"/>
  <c r="BE99" i="1"/>
  <c r="BE106" i="1" s="1"/>
  <c r="O98" i="1"/>
  <c r="O105" i="1" s="1"/>
  <c r="N98" i="1"/>
  <c r="N105" i="1" s="1"/>
  <c r="M65" i="1"/>
  <c r="M67" i="1" s="1"/>
  <c r="AE98" i="1"/>
  <c r="AE105" i="1" s="1"/>
  <c r="AE33" i="1"/>
  <c r="AE27" i="1"/>
  <c r="AH67" i="1"/>
  <c r="AR99" i="1"/>
  <c r="AR106" i="1" s="1"/>
  <c r="AT99" i="1"/>
  <c r="AT106" i="1" s="1"/>
  <c r="AS108" i="1"/>
  <c r="BG100" i="1"/>
  <c r="BG107" i="1" s="1"/>
  <c r="P98" i="1"/>
  <c r="P105" i="1" s="1"/>
  <c r="D108" i="1"/>
  <c r="B98" i="1"/>
  <c r="B105" i="1" s="1"/>
  <c r="B73" i="1"/>
  <c r="F67" i="1"/>
  <c r="L108" i="1"/>
  <c r="Z27" i="1"/>
  <c r="AL73" i="1"/>
  <c r="AX33" i="1"/>
  <c r="AP100" i="1"/>
  <c r="AP107" i="1" s="1"/>
  <c r="AW108" i="1"/>
  <c r="AY100" i="1"/>
  <c r="AY107" i="1" s="1"/>
  <c r="O106" i="1"/>
  <c r="C98" i="1"/>
  <c r="C105" i="1" s="1"/>
  <c r="C73" i="1"/>
  <c r="R33" i="1"/>
  <c r="AC72" i="1"/>
  <c r="AC100" i="1" s="1"/>
  <c r="AC107" i="1" s="1"/>
  <c r="AC66" i="1"/>
  <c r="AJ100" i="1"/>
  <c r="AJ107" i="1" s="1"/>
  <c r="AL27" i="1"/>
  <c r="AL33" i="1"/>
  <c r="AT65" i="1"/>
  <c r="AT67" i="1" s="1"/>
  <c r="AT98" i="1"/>
  <c r="AT105" i="1" s="1"/>
  <c r="AV100" i="1"/>
  <c r="AV107" i="1" s="1"/>
  <c r="J98" i="1"/>
  <c r="J105" i="1" s="1"/>
  <c r="M106" i="1"/>
  <c r="K98" i="1"/>
  <c r="K105" i="1" s="1"/>
  <c r="C67" i="1"/>
  <c r="O61" i="1"/>
  <c r="O108" i="1" s="1"/>
  <c r="X99" i="1"/>
  <c r="X106" i="1" s="1"/>
  <c r="Z73" i="1"/>
  <c r="S65" i="1"/>
  <c r="S67" i="1" s="1"/>
  <c r="S61" i="1"/>
  <c r="S108" i="1" s="1"/>
  <c r="S109" i="1" s="1"/>
  <c r="S71" i="1"/>
  <c r="S99" i="1" s="1"/>
  <c r="S106" i="1" s="1"/>
  <c r="AK73" i="1"/>
  <c r="BC108" i="1"/>
  <c r="P73" i="1"/>
  <c r="F27" i="1"/>
  <c r="R73" i="1"/>
  <c r="Y72" i="1"/>
  <c r="Y66" i="1"/>
  <c r="Y67" i="1" s="1"/>
  <c r="AA27" i="1"/>
  <c r="AB98" i="1"/>
  <c r="AB105" i="1" s="1"/>
  <c r="AC98" i="1"/>
  <c r="AC105" i="1" s="1"/>
  <c r="AM108" i="1"/>
  <c r="AS65" i="1"/>
  <c r="AS67" i="1" s="1"/>
  <c r="BF99" i="1"/>
  <c r="BF106" i="1" s="1"/>
  <c r="BF73" i="1"/>
  <c r="E98" i="1"/>
  <c r="E105" i="1" s="1"/>
  <c r="N65" i="1"/>
  <c r="N67" i="1" s="1"/>
  <c r="S100" i="1"/>
  <c r="S107" i="1" s="1"/>
  <c r="T71" i="1"/>
  <c r="T99" i="1" s="1"/>
  <c r="T106" i="1" s="1"/>
  <c r="B108" i="1"/>
  <c r="W98" i="1"/>
  <c r="W105" i="1" s="1"/>
  <c r="AD33" i="1"/>
  <c r="T65" i="1"/>
  <c r="T67" i="1" s="1"/>
  <c r="AC71" i="1"/>
  <c r="AC99" i="1" s="1"/>
  <c r="AC106" i="1" s="1"/>
  <c r="AC65" i="1"/>
  <c r="AD99" i="1"/>
  <c r="AD106" i="1" s="1"/>
  <c r="AK98" i="1"/>
  <c r="AK105" i="1" s="1"/>
  <c r="AN27" i="1"/>
  <c r="AN33" i="1"/>
  <c r="AO27" i="1"/>
  <c r="AO108" i="1"/>
  <c r="I27" i="1"/>
  <c r="I33" i="1"/>
  <c r="AV108" i="1"/>
  <c r="BD98" i="1"/>
  <c r="BD105" i="1" s="1"/>
  <c r="P106" i="1"/>
  <c r="J27" i="1"/>
  <c r="K71" i="1"/>
  <c r="K65" i="1"/>
  <c r="K67" i="1" s="1"/>
  <c r="K61" i="1"/>
  <c r="K108" i="1" s="1"/>
  <c r="O67" i="1"/>
  <c r="R98" i="1"/>
  <c r="R105" i="1" s="1"/>
  <c r="C108" i="1"/>
  <c r="AB99" i="1"/>
  <c r="AB106" i="1" s="1"/>
  <c r="AD27" i="1"/>
  <c r="AD73" i="1"/>
  <c r="AN108" i="1"/>
  <c r="J30" i="1"/>
  <c r="K24" i="1"/>
  <c r="J24" i="1"/>
  <c r="K27" i="1"/>
  <c r="L71" i="1"/>
  <c r="L65" i="1"/>
  <c r="L67" i="1" s="1"/>
  <c r="S27" i="1"/>
  <c r="U98" i="1"/>
  <c r="U105" i="1" s="1"/>
  <c r="AF33" i="1"/>
  <c r="V67" i="1"/>
  <c r="AH27" i="1"/>
  <c r="AI99" i="1"/>
  <c r="AI106" i="1" s="1"/>
  <c r="AI108" i="1"/>
  <c r="AI109" i="1" s="1"/>
  <c r="AV33" i="1"/>
  <c r="AV27" i="1"/>
  <c r="AW67" i="1"/>
  <c r="AY73" i="1"/>
  <c r="AY108" i="1"/>
  <c r="J67" i="1"/>
  <c r="AG98" i="1"/>
  <c r="AG105" i="1" s="1"/>
  <c r="AJ108" i="1"/>
  <c r="AJ109" i="1" s="1"/>
  <c r="BC27" i="1"/>
  <c r="BC33" i="1"/>
  <c r="J73" i="1"/>
  <c r="J99" i="1"/>
  <c r="J106" i="1" s="1"/>
  <c r="AE100" i="1"/>
  <c r="AE107" i="1" s="1"/>
  <c r="AU27" i="1"/>
  <c r="AU33" i="1"/>
  <c r="AW99" i="1"/>
  <c r="AW106" i="1" s="1"/>
  <c r="AX67" i="1"/>
  <c r="BB67" i="1"/>
  <c r="X33" i="1"/>
  <c r="AJ27" i="1"/>
  <c r="AJ33" i="1"/>
  <c r="AK27" i="1"/>
  <c r="AM73" i="1"/>
  <c r="AN73" i="1"/>
  <c r="AR108" i="1"/>
  <c r="BF67" i="1"/>
  <c r="BE73" i="1"/>
  <c r="BA27" i="1"/>
  <c r="BA33" i="1"/>
  <c r="BF33" i="1"/>
  <c r="Q98" i="1"/>
  <c r="Q105" i="1" s="1"/>
  <c r="Q106" i="1"/>
  <c r="AI67" i="1"/>
  <c r="AT33" i="1"/>
  <c r="AU67" i="1"/>
  <c r="BC98" i="1"/>
  <c r="BC105" i="1" s="1"/>
  <c r="BD73" i="1"/>
  <c r="AD98" i="1"/>
  <c r="AD105" i="1" s="1"/>
  <c r="AO99" i="1"/>
  <c r="AO106" i="1" s="1"/>
  <c r="BB99" i="1"/>
  <c r="BB106" i="1" s="1"/>
  <c r="AH33" i="1"/>
  <c r="AO67" i="1"/>
  <c r="BB27" i="1"/>
  <c r="BE100" i="1"/>
  <c r="BE107" i="1" s="1"/>
  <c r="BG108" i="1"/>
  <c r="U73" i="1" l="1"/>
  <c r="H27" i="1"/>
  <c r="AV73" i="1"/>
  <c r="AF99" i="1"/>
  <c r="AF106" i="1" s="1"/>
  <c r="AS99" i="1"/>
  <c r="AS106" i="1" s="1"/>
  <c r="M73" i="1"/>
  <c r="AB73" i="1"/>
  <c r="G27" i="1"/>
  <c r="BN73" i="1"/>
  <c r="AC67" i="1"/>
  <c r="W100" i="1"/>
  <c r="W107" i="1" s="1"/>
  <c r="BN67" i="1"/>
  <c r="K73" i="1"/>
  <c r="K99" i="1"/>
  <c r="K106" i="1" s="1"/>
  <c r="N108" i="1"/>
  <c r="N135" i="1"/>
  <c r="L73" i="1"/>
  <c r="L99" i="1"/>
  <c r="L106" i="1" s="1"/>
  <c r="S73" i="1"/>
  <c r="Y100" i="1"/>
  <c r="Y107" i="1" s="1"/>
  <c r="Y73" i="1"/>
  <c r="T73" i="1"/>
  <c r="AC7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  <author>Practicante Financiero</author>
  </authors>
  <commentList>
    <comment ref="A17" authorId="0" shapeId="0" xr:uid="{667D0374-69C3-4390-9A05-AD4875168B62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Se extrae del analisis de cartera - Consumo -Vivienda</t>
        </r>
      </text>
    </comment>
    <comment ref="A36" authorId="0" shapeId="0" xr:uid="{8E043850-EF57-4DCA-94EA-5E39D0B88990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Sale del plano de cartera, hoja tasa ponderada</t>
        </r>
      </text>
    </comment>
    <comment ref="A37" authorId="0" shapeId="0" xr:uid="{AF52B45B-288C-49AC-A560-9AD7736E21F4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Tabla 4</t>
        </r>
      </text>
    </comment>
    <comment ref="A38" authorId="0" shapeId="0" xr:uid="{39A9F4B6-B6BF-4EB0-973C-5811F05E9626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Tabla 5</t>
        </r>
      </text>
    </comment>
    <comment ref="A39" authorId="0" shapeId="0" xr:uid="{BEDC1A76-F7C1-479A-A90F-DE9046326FA9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Tabla 6</t>
        </r>
      </text>
    </comment>
    <comment ref="A40" authorId="0" shapeId="0" xr:uid="{6BFDD7B5-D0CA-447B-8F51-65E78A4BC32D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Tabla 7
</t>
        </r>
      </text>
    </comment>
    <comment ref="A51" authorId="0" shapeId="0" xr:uid="{C70B5E23-9B20-4A8D-9ACB-41CBA91C1227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Se extrae del reporte de Desembolsos</t>
        </r>
      </text>
    </comment>
    <comment ref="V60" authorId="0" shapeId="0" xr:uid="{BC839392-3370-4083-873E-4DFE510FDC2F}">
      <text>
        <r>
          <rPr>
            <b/>
            <sz val="9"/>
            <color indexed="81"/>
            <rFont val="Tahoma"/>
            <family val="2"/>
          </rPr>
          <t>Unificación de vivienda</t>
        </r>
      </text>
    </comment>
    <comment ref="W60" authorId="0" shapeId="0" xr:uid="{9007A891-998D-43C5-8DA9-B698EB1EF7F7}">
      <text>
        <r>
          <rPr>
            <b/>
            <sz val="9"/>
            <color indexed="81"/>
            <rFont val="Tahoma"/>
            <family val="2"/>
          </rPr>
          <t>unificación vivienda</t>
        </r>
      </text>
    </comment>
    <comment ref="A112" authorId="1" shapeId="0" xr:uid="{47039660-BA15-4B9F-B1F8-975D0B8C7E27}">
      <text>
        <r>
          <rPr>
            <b/>
            <sz val="9"/>
            <color indexed="81"/>
            <rFont val="Tahoma"/>
            <family val="2"/>
          </rPr>
          <t xml:space="preserve">Practicante Financiero:
</t>
        </r>
        <r>
          <rPr>
            <sz val="9"/>
            <color indexed="81"/>
            <rFont val="Tahoma"/>
            <family val="2"/>
          </rPr>
          <t>publicadas en la página web.</t>
        </r>
      </text>
    </comment>
    <comment ref="A122" authorId="1" shapeId="0" xr:uid="{9899030A-F33B-437C-ADE8-27CAD5EDD97C}">
      <text>
        <r>
          <rPr>
            <b/>
            <sz val="9"/>
            <color indexed="81"/>
            <rFont val="Tahoma"/>
            <family val="2"/>
          </rPr>
          <t xml:space="preserve">Practicante Financiero:
</t>
        </r>
        <r>
          <rPr>
            <sz val="9"/>
            <color indexed="81"/>
            <rFont val="Tahoma"/>
            <family val="2"/>
          </rPr>
          <t>publicadas en la página web.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Administrador</author>
  </authors>
  <commentList>
    <comment ref="A1" authorId="0" shapeId="0" xr:uid="{7628BA7C-E611-415C-986A-D0820E08EAB5}">
      <text>
        <r>
          <rPr>
            <b/>
            <sz val="9"/>
            <color indexed="81"/>
            <rFont val="Tahoma"/>
            <family val="2"/>
          </rPr>
          <t>Administrador:</t>
        </r>
        <r>
          <rPr>
            <sz val="9"/>
            <color indexed="81"/>
            <rFont val="Tahoma"/>
            <family val="2"/>
          </rPr>
          <t xml:space="preserve">
Se extrae del analisis de cartera - Consumo -Vivienda</t>
        </r>
      </text>
    </comment>
  </commentList>
</comments>
</file>

<file path=xl/sharedStrings.xml><?xml version="1.0" encoding="utf-8"?>
<sst xmlns="http://schemas.openxmlformats.org/spreadsheetml/2006/main" count="160" uniqueCount="68">
  <si>
    <t>CS - Creditos Sociales</t>
  </si>
  <si>
    <t>EX - Creditos EXITO</t>
  </si>
  <si>
    <t>HE - Vehiculo</t>
  </si>
  <si>
    <t>LI - Libre Inversion</t>
  </si>
  <si>
    <t>MC - MiCompra</t>
  </si>
  <si>
    <t>PV - Vacacionales PRESENTE</t>
  </si>
  <si>
    <t>RO - Crediyá</t>
  </si>
  <si>
    <t>SS - Seguros y Servicios</t>
  </si>
  <si>
    <t>ST - Seguros sin Tasa</t>
  </si>
  <si>
    <t>VI - Vivienda</t>
  </si>
  <si>
    <t>Total general</t>
  </si>
  <si>
    <t>Linea</t>
  </si>
  <si>
    <t>CO - Consumo</t>
  </si>
  <si>
    <t>Vivienda</t>
  </si>
  <si>
    <t>Vehiculo</t>
  </si>
  <si>
    <t>Educación y Calamidad</t>
  </si>
  <si>
    <t>Novación</t>
  </si>
  <si>
    <t>Libre Inversion</t>
  </si>
  <si>
    <t>Crediya</t>
  </si>
  <si>
    <t>Mi Compra</t>
  </si>
  <si>
    <t>Linea TPP Cartera EA</t>
  </si>
  <si>
    <t>CONSUMO</t>
  </si>
  <si>
    <t xml:space="preserve">Tpp Colocación EA </t>
  </si>
  <si>
    <t>Tpp Colocación NAMV</t>
  </si>
  <si>
    <t>VIVIENDA</t>
  </si>
  <si>
    <t>Total</t>
  </si>
  <si>
    <t>Montos de Colocación</t>
  </si>
  <si>
    <t>TPP</t>
  </si>
  <si>
    <t>Linea TPP Cartera NAMV</t>
  </si>
  <si>
    <t xml:space="preserve">TARJETA </t>
  </si>
  <si>
    <t>Tpp de Colocación EA</t>
  </si>
  <si>
    <t>Variacion x Linea</t>
  </si>
  <si>
    <t>Saldos cartera por linea</t>
  </si>
  <si>
    <t>TP- Rotativos</t>
  </si>
  <si>
    <t>TARJETA</t>
  </si>
  <si>
    <t xml:space="preserve"> </t>
  </si>
  <si>
    <t>tasa entrada (&gt;stock)</t>
  </si>
  <si>
    <t>TASAS DE ENTRADA</t>
  </si>
  <si>
    <t>TASAS STOCK</t>
  </si>
  <si>
    <t xml:space="preserve">Tpp Colocación mensual </t>
  </si>
  <si>
    <t>Tpp Colocación anual</t>
  </si>
  <si>
    <t>(veh tipos 1 y 2)</t>
  </si>
  <si>
    <t>LIBRE INVERSION 5 AÑOS</t>
  </si>
  <si>
    <t>EA</t>
  </si>
  <si>
    <t>MAXIMO LIBRANZA</t>
  </si>
  <si>
    <t>Importante para la ppt:</t>
  </si>
  <si>
    <t>(se coloca en ppt)</t>
  </si>
  <si>
    <t xml:space="preserve">Montos de Colocación </t>
  </si>
  <si>
    <t>Educacion y Calamidad</t>
  </si>
  <si>
    <t>Novación Vivienda</t>
  </si>
  <si>
    <t>Novación Consumo</t>
  </si>
  <si>
    <t>COLOCACIÓN (DESEMBOLSOS MENSUALES)</t>
  </si>
  <si>
    <t>TASA DESEMBOLSO MENSUAL</t>
  </si>
  <si>
    <t>MES</t>
  </si>
  <si>
    <t>VIS</t>
  </si>
  <si>
    <t>NO VIS</t>
  </si>
  <si>
    <t>LIBRE INVERSION</t>
  </si>
  <si>
    <t>VEHICULO</t>
  </si>
  <si>
    <t>COMPRA CARTERA</t>
  </si>
  <si>
    <t>CREDITOS ROTATIVOS</t>
  </si>
  <si>
    <t>TASAS STOCK CARTERA</t>
  </si>
  <si>
    <t>Variaciones Cartera (vs Dic t-1)</t>
  </si>
  <si>
    <t>Emprendimiento</t>
  </si>
  <si>
    <t>SALDOS DE CARTERA POR LINEA</t>
  </si>
  <si>
    <t>TOTAL 2025</t>
  </si>
  <si>
    <t>Promedio</t>
  </si>
  <si>
    <t>Colocación real</t>
  </si>
  <si>
    <t>CIFRAS EN MIllONES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</si>
</sst>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0.000%"/>
    <numFmt numFmtId="166" formatCode="_(* #,##0_);_(* \(#,##0\);_(* &quot;-&quot;??_);_(@_)"/>
    <numFmt numFmtId="167" formatCode="_-* #,##0.000_-;\-* #,##0.000_-;_-* &quot;-&quot;??_-;_-@_-"/>
    <numFmt numFmtId="168" formatCode="_-* #,##0.00\ _€_-;\-* #,##0.00\ _€_-;_-* &quot;-&quot;??\ _€_-;_-@_-"/>
    <numFmt numFmtId="169" formatCode="_ * #,##0.00_ ;_ * \-#,##0.00_ ;_ * &quot;-&quot;??_ ;_ @_ "/>
    <numFmt numFmtId="170" formatCode="_-* #,##0.00000_-;\-* #,##0.00000_-;_-* &quot;-&quot;??_-;_-@_-"/>
    <numFmt numFmtId="171" formatCode="_-* #,##0.000_-;\-* #,##0.000_-;_-* &quot;-&quot;_-;_-@_-"/>
    <numFmt numFmtId="172" formatCode="_-* #,##0.0000_-;\-* #,##0.0000_-;_-* &quot;-&quot;_-;_-@_-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Aptos Narrow"/>
      <family val="2"/>
    </font>
  </fonts>
  <fills count="6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281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20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21" fillId="0" borderId="0"/>
    <xf numFmtId="0" fontId="23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23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36" borderId="0" applyNumberFormat="0" applyBorder="0" applyAlignment="0" applyProtection="0"/>
    <xf numFmtId="0" fontId="23" fillId="39" borderId="0" applyNumberFormat="0" applyBorder="0" applyAlignment="0" applyProtection="0"/>
    <xf numFmtId="0" fontId="23" fillId="42" borderId="0" applyNumberFormat="0" applyBorder="0" applyAlignment="0" applyProtection="0"/>
    <xf numFmtId="0" fontId="24" fillId="43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46" borderId="0" applyNumberFormat="0" applyBorder="0" applyAlignment="0" applyProtection="0"/>
    <xf numFmtId="0" fontId="25" fillId="35" borderId="0" applyNumberFormat="0" applyBorder="0" applyAlignment="0" applyProtection="0"/>
    <xf numFmtId="0" fontId="26" fillId="47" borderId="10" applyNumberFormat="0" applyAlignment="0" applyProtection="0"/>
    <xf numFmtId="0" fontId="27" fillId="48" borderId="11" applyNumberFormat="0" applyAlignment="0" applyProtection="0"/>
    <xf numFmtId="0" fontId="28" fillId="0" borderId="12" applyNumberFormat="0" applyFill="0" applyAlignment="0" applyProtection="0"/>
    <xf numFmtId="0" fontId="29" fillId="0" borderId="0" applyNumberFormat="0" applyFill="0" applyBorder="0" applyAlignment="0" applyProtection="0"/>
    <xf numFmtId="0" fontId="24" fillId="49" borderId="0" applyNumberFormat="0" applyBorder="0" applyAlignment="0" applyProtection="0"/>
    <xf numFmtId="0" fontId="24" fillId="50" borderId="0" applyNumberFormat="0" applyBorder="0" applyAlignment="0" applyProtection="0"/>
    <xf numFmtId="0" fontId="24" fillId="51" borderId="0" applyNumberFormat="0" applyBorder="0" applyAlignment="0" applyProtection="0"/>
    <xf numFmtId="0" fontId="24" fillId="44" borderId="0" applyNumberFormat="0" applyBorder="0" applyAlignment="0" applyProtection="0"/>
    <xf numFmtId="0" fontId="24" fillId="45" borderId="0" applyNumberFormat="0" applyBorder="0" applyAlignment="0" applyProtection="0"/>
    <xf numFmtId="0" fontId="24" fillId="52" borderId="0" applyNumberFormat="0" applyBorder="0" applyAlignment="0" applyProtection="0"/>
    <xf numFmtId="0" fontId="30" fillId="38" borderId="10" applyNumberFormat="0" applyAlignment="0" applyProtection="0"/>
    <xf numFmtId="0" fontId="31" fillId="34" borderId="0" applyNumberFormat="0" applyBorder="0" applyAlignment="0" applyProtection="0"/>
    <xf numFmtId="169" fontId="22" fillId="0" borderId="0" applyFont="0" applyFill="0" applyBorder="0" applyAlignment="0" applyProtection="0"/>
    <xf numFmtId="0" fontId="32" fillId="53" borderId="0" applyNumberFormat="0" applyBorder="0" applyAlignment="0" applyProtection="0"/>
    <xf numFmtId="0" fontId="22" fillId="54" borderId="13" applyNumberFormat="0" applyFont="0" applyAlignment="0" applyProtection="0"/>
    <xf numFmtId="9" fontId="22" fillId="0" borderId="0" applyFont="0" applyFill="0" applyBorder="0" applyAlignment="0" applyProtection="0"/>
    <xf numFmtId="0" fontId="33" fillId="47" borderId="14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15" applyNumberFormat="0" applyFill="0" applyAlignment="0" applyProtection="0"/>
    <xf numFmtId="0" fontId="38" fillId="0" borderId="16" applyNumberFormat="0" applyFill="0" applyAlignment="0" applyProtection="0"/>
    <xf numFmtId="0" fontId="29" fillId="0" borderId="17" applyNumberFormat="0" applyFill="0" applyAlignment="0" applyProtection="0"/>
    <xf numFmtId="0" fontId="39" fillId="0" borderId="18" applyNumberFormat="0" applyFill="0" applyAlignment="0" applyProtection="0"/>
    <xf numFmtId="0" fontId="1" fillId="0" borderId="0"/>
    <xf numFmtId="0" fontId="1" fillId="0" borderId="0"/>
    <xf numFmtId="0" fontId="22" fillId="0" borderId="0"/>
    <xf numFmtId="0" fontId="22" fillId="0" borderId="0"/>
    <xf numFmtId="43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41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20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2" fillId="0" borderId="0" applyNumberForma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62" borderId="29" applyFont="0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21" fillId="54" borderId="13" applyNumberFormat="0" applyFont="0" applyAlignment="0" applyProtection="0"/>
    <xf numFmtId="9" fontId="21" fillId="0" borderId="0" applyFont="0" applyFill="0" applyBorder="0" applyAlignment="0" applyProtection="0"/>
    <xf numFmtId="0" fontId="48" fillId="0" borderId="0"/>
    <xf numFmtId="43" fontId="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5">
    <xf numFmtId="0" fontId="0" fillId="0" borderId="0" xfId="0"/>
    <xf numFmtId="164" fontId="0" fillId="0" borderId="0" xfId="0" applyNumberFormat="1"/>
    <xf numFmtId="17" fontId="0" fillId="0" borderId="0" xfId="0" applyNumberFormat="1"/>
    <xf numFmtId="43" fontId="0" fillId="0" borderId="0" xfId="1" applyFont="1"/>
    <xf numFmtId="164" fontId="0" fillId="0" borderId="0" xfId="1" applyNumberFormat="1" applyFont="1"/>
    <xf numFmtId="165" fontId="0" fillId="0" borderId="0" xfId="3" applyNumberFormat="1" applyFont="1"/>
    <xf numFmtId="10" fontId="0" fillId="0" borderId="0" xfId="3" applyNumberFormat="1" applyFont="1"/>
    <xf numFmtId="164" fontId="0" fillId="0" borderId="0" xfId="1" applyNumberFormat="1" applyFont="1" applyBorder="1"/>
    <xf numFmtId="41" fontId="0" fillId="0" borderId="0" xfId="2" applyFont="1" applyBorder="1"/>
    <xf numFmtId="166" fontId="0" fillId="0" borderId="0" xfId="1" applyNumberFormat="1" applyFont="1" applyBorder="1"/>
    <xf numFmtId="43" fontId="0" fillId="0" borderId="0" xfId="1" applyFont="1" applyBorder="1"/>
    <xf numFmtId="0" fontId="2" fillId="0" borderId="0" xfId="0" applyFont="1"/>
    <xf numFmtId="10" fontId="0" fillId="0" borderId="0" xfId="3" applyNumberFormat="1" applyFont="1" applyBorder="1"/>
    <xf numFmtId="167" fontId="0" fillId="0" borderId="0" xfId="1" applyNumberFormat="1" applyFont="1"/>
    <xf numFmtId="43" fontId="0" fillId="0" borderId="0" xfId="0" applyNumberFormat="1"/>
    <xf numFmtId="43" fontId="2" fillId="0" borderId="0" xfId="1" applyFont="1"/>
    <xf numFmtId="10" fontId="0" fillId="0" borderId="0" xfId="0" applyNumberFormat="1"/>
    <xf numFmtId="3" fontId="43" fillId="0" borderId="0" xfId="0" applyNumberFormat="1" applyFont="1" applyAlignment="1">
      <alignment vertical="center" wrapText="1"/>
    </xf>
    <xf numFmtId="17" fontId="0" fillId="55" borderId="0" xfId="0" applyNumberFormat="1" applyFill="1"/>
    <xf numFmtId="170" fontId="0" fillId="0" borderId="0" xfId="1" applyNumberFormat="1" applyFont="1" applyBorder="1"/>
    <xf numFmtId="0" fontId="44" fillId="55" borderId="0" xfId="0" applyFont="1" applyFill="1"/>
    <xf numFmtId="0" fontId="45" fillId="55" borderId="0" xfId="0" applyFont="1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0" borderId="19" xfId="0" applyBorder="1"/>
    <xf numFmtId="164" fontId="0" fillId="0" borderId="19" xfId="1" applyNumberFormat="1" applyFont="1" applyBorder="1"/>
    <xf numFmtId="41" fontId="0" fillId="0" borderId="19" xfId="2" applyFont="1" applyBorder="1"/>
    <xf numFmtId="166" fontId="0" fillId="0" borderId="19" xfId="1" applyNumberFormat="1" applyFont="1" applyBorder="1"/>
    <xf numFmtId="10" fontId="2" fillId="0" borderId="0" xfId="3" applyNumberFormat="1" applyFont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10" fontId="0" fillId="0" borderId="24" xfId="3" applyNumberFormat="1" applyFont="1" applyBorder="1"/>
    <xf numFmtId="0" fontId="3" fillId="59" borderId="26" xfId="0" applyFont="1" applyFill="1" applyBorder="1"/>
    <xf numFmtId="17" fontId="2" fillId="59" borderId="26" xfId="0" applyNumberFormat="1" applyFont="1" applyFill="1" applyBorder="1"/>
    <xf numFmtId="17" fontId="2" fillId="59" borderId="26" xfId="0" applyNumberFormat="1" applyFont="1" applyFill="1" applyBorder="1" applyAlignment="1">
      <alignment horizontal="center"/>
    </xf>
    <xf numFmtId="0" fontId="2" fillId="0" borderId="26" xfId="0" applyFont="1" applyBorder="1"/>
    <xf numFmtId="43" fontId="0" fillId="0" borderId="26" xfId="1" applyFont="1" applyBorder="1"/>
    <xf numFmtId="164" fontId="1" fillId="0" borderId="26" xfId="1" applyNumberFormat="1" applyFont="1" applyBorder="1"/>
    <xf numFmtId="0" fontId="2" fillId="60" borderId="26" xfId="0" applyFont="1" applyFill="1" applyBorder="1"/>
    <xf numFmtId="164" fontId="2" fillId="60" borderId="26" xfId="1" applyNumberFormat="1" applyFont="1" applyFill="1" applyBorder="1"/>
    <xf numFmtId="43" fontId="2" fillId="60" borderId="26" xfId="1" applyFont="1" applyFill="1" applyBorder="1"/>
    <xf numFmtId="0" fontId="2" fillId="59" borderId="26" xfId="0" applyFont="1" applyFill="1" applyBorder="1"/>
    <xf numFmtId="165" fontId="0" fillId="0" borderId="26" xfId="3" applyNumberFormat="1" applyFont="1" applyBorder="1"/>
    <xf numFmtId="165" fontId="0" fillId="60" borderId="26" xfId="3" applyNumberFormat="1" applyFont="1" applyFill="1" applyBorder="1"/>
    <xf numFmtId="171" fontId="0" fillId="0" borderId="26" xfId="2" applyNumberFormat="1" applyFont="1" applyBorder="1"/>
    <xf numFmtId="171" fontId="0" fillId="60" borderId="26" xfId="2" applyNumberFormat="1" applyFont="1" applyFill="1" applyBorder="1"/>
    <xf numFmtId="0" fontId="0" fillId="0" borderId="26" xfId="0" applyBorder="1"/>
    <xf numFmtId="41" fontId="0" fillId="0" borderId="26" xfId="2" applyFont="1" applyBorder="1"/>
    <xf numFmtId="164" fontId="0" fillId="57" borderId="26" xfId="0" applyNumberFormat="1" applyFill="1" applyBorder="1"/>
    <xf numFmtId="164" fontId="2" fillId="60" borderId="26" xfId="0" applyNumberFormat="1" applyFont="1" applyFill="1" applyBorder="1"/>
    <xf numFmtId="41" fontId="0" fillId="60" borderId="26" xfId="2" applyFont="1" applyFill="1" applyBorder="1"/>
    <xf numFmtId="167" fontId="0" fillId="0" borderId="26" xfId="1" applyNumberFormat="1" applyFont="1" applyBorder="1"/>
    <xf numFmtId="0" fontId="0" fillId="57" borderId="26" xfId="0" applyFill="1" applyBorder="1"/>
    <xf numFmtId="10" fontId="0" fillId="0" borderId="26" xfId="3" applyNumberFormat="1" applyFont="1" applyBorder="1"/>
    <xf numFmtId="0" fontId="0" fillId="56" borderId="26" xfId="0" applyFill="1" applyBorder="1"/>
    <xf numFmtId="0" fontId="0" fillId="58" borderId="26" xfId="0" applyFill="1" applyBorder="1"/>
    <xf numFmtId="10" fontId="0" fillId="0" borderId="26" xfId="0" applyNumberFormat="1" applyBorder="1"/>
    <xf numFmtId="10" fontId="2" fillId="60" borderId="26" xfId="3" applyNumberFormat="1" applyFont="1" applyFill="1" applyBorder="1"/>
    <xf numFmtId="43" fontId="2" fillId="0" borderId="26" xfId="1" applyFont="1" applyFill="1" applyBorder="1"/>
    <xf numFmtId="43" fontId="2" fillId="0" borderId="26" xfId="1" applyFont="1" applyBorder="1"/>
    <xf numFmtId="4" fontId="0" fillId="0" borderId="27" xfId="0" applyNumberFormat="1" applyBorder="1"/>
    <xf numFmtId="164" fontId="0" fillId="0" borderId="28" xfId="1" applyNumberFormat="1" applyFont="1" applyBorder="1" applyAlignment="1">
      <alignment horizontal="left"/>
    </xf>
    <xf numFmtId="10" fontId="0" fillId="60" borderId="26" xfId="3" applyNumberFormat="1" applyFont="1" applyFill="1" applyBorder="1"/>
    <xf numFmtId="4" fontId="0" fillId="0" borderId="27" xfId="180" applyNumberFormat="1" applyFont="1" applyBorder="1"/>
    <xf numFmtId="43" fontId="46" fillId="0" borderId="0" xfId="1" applyFont="1"/>
    <xf numFmtId="0" fontId="3" fillId="59" borderId="30" xfId="0" applyFont="1" applyFill="1" applyBorder="1"/>
    <xf numFmtId="17" fontId="2" fillId="59" borderId="30" xfId="0" applyNumberFormat="1" applyFont="1" applyFill="1" applyBorder="1"/>
    <xf numFmtId="17" fontId="2" fillId="59" borderId="30" xfId="0" applyNumberFormat="1" applyFont="1" applyFill="1" applyBorder="1" applyAlignment="1">
      <alignment horizontal="center"/>
    </xf>
    <xf numFmtId="0" fontId="0" fillId="0" borderId="28" xfId="0" applyBorder="1"/>
    <xf numFmtId="164" fontId="0" fillId="0" borderId="28" xfId="1" applyNumberFormat="1" applyFont="1" applyBorder="1"/>
    <xf numFmtId="164" fontId="0" fillId="0" borderId="28" xfId="1" applyNumberFormat="1" applyFont="1" applyFill="1" applyBorder="1"/>
    <xf numFmtId="41" fontId="0" fillId="0" borderId="28" xfId="2" applyFont="1" applyBorder="1"/>
    <xf numFmtId="164" fontId="0" fillId="57" borderId="28" xfId="0" applyNumberFormat="1" applyFill="1" applyBorder="1"/>
    <xf numFmtId="41" fontId="0" fillId="0" borderId="28" xfId="1" applyNumberFormat="1" applyFont="1" applyBorder="1"/>
    <xf numFmtId="41" fontId="0" fillId="0" borderId="28" xfId="0" applyNumberFormat="1" applyBorder="1"/>
    <xf numFmtId="166" fontId="0" fillId="0" borderId="28" xfId="1" applyNumberFormat="1" applyFont="1" applyBorder="1"/>
    <xf numFmtId="164" fontId="2" fillId="0" borderId="28" xfId="1" applyNumberFormat="1" applyFont="1" applyBorder="1"/>
    <xf numFmtId="164" fontId="0" fillId="0" borderId="28" xfId="201" applyNumberFormat="1" applyFont="1" applyBorder="1"/>
    <xf numFmtId="0" fontId="2" fillId="0" borderId="28" xfId="0" applyFont="1" applyBorder="1"/>
    <xf numFmtId="41" fontId="2" fillId="0" borderId="28" xfId="0" applyNumberFormat="1" applyFont="1" applyBorder="1"/>
    <xf numFmtId="166" fontId="2" fillId="0" borderId="28" xfId="1" applyNumberFormat="1" applyFont="1" applyBorder="1"/>
    <xf numFmtId="164" fontId="0" fillId="0" borderId="28" xfId="203" applyNumberFormat="1" applyFont="1" applyBorder="1"/>
    <xf numFmtId="164" fontId="0" fillId="0" borderId="28" xfId="206" applyNumberFormat="1" applyFont="1" applyBorder="1"/>
    <xf numFmtId="0" fontId="2" fillId="60" borderId="28" xfId="0" applyFont="1" applyFill="1" applyBorder="1"/>
    <xf numFmtId="164" fontId="2" fillId="60" borderId="28" xfId="0" applyNumberFormat="1" applyFont="1" applyFill="1" applyBorder="1"/>
    <xf numFmtId="3" fontId="0" fillId="0" borderId="0" xfId="0" applyNumberFormat="1"/>
    <xf numFmtId="4" fontId="0" fillId="0" borderId="0" xfId="0" applyNumberFormat="1"/>
    <xf numFmtId="172" fontId="0" fillId="0" borderId="26" xfId="2" applyNumberFormat="1" applyFont="1" applyBorder="1"/>
    <xf numFmtId="164" fontId="47" fillId="0" borderId="28" xfId="211" applyNumberFormat="1" applyFont="1" applyBorder="1"/>
    <xf numFmtId="0" fontId="2" fillId="61" borderId="0" xfId="0" applyFont="1" applyFill="1" applyAlignment="1">
      <alignment horizontal="center"/>
    </xf>
  </cellXfs>
  <cellStyles count="281">
    <cellStyle name="20% - Énfasis1" xfId="22" builtinId="30" customBuiltin="1"/>
    <cellStyle name="20% - Énfasis1 2" xfId="118" xr:uid="{5E06671D-A1C0-4A45-BE6E-CF8C82BB7ECB}"/>
    <cellStyle name="20% - Énfasis1 3" xfId="143" xr:uid="{7DEF38D0-1624-436C-A56B-2F7297B4BD40}"/>
    <cellStyle name="20% - Énfasis1 4" xfId="47" xr:uid="{5C5647D0-BD03-4A5B-8530-BC1A1DF4F9D3}"/>
    <cellStyle name="20% - Énfasis2" xfId="26" builtinId="34" customBuiltin="1"/>
    <cellStyle name="20% - Énfasis2 2" xfId="122" xr:uid="{6B7B1D25-7C82-452F-A644-0B4F8D348B9D}"/>
    <cellStyle name="20% - Énfasis2 3" xfId="145" xr:uid="{E66D949D-FBAA-4EB2-BAAC-515F62355913}"/>
    <cellStyle name="20% - Énfasis2 4" xfId="48" xr:uid="{82E781C0-371C-4F23-8234-07B892D4171A}"/>
    <cellStyle name="20% - Énfasis3" xfId="30" builtinId="38" customBuiltin="1"/>
    <cellStyle name="20% - Énfasis3 2" xfId="126" xr:uid="{BA960F3C-F224-459A-B382-DE5F9CE3629B}"/>
    <cellStyle name="20% - Énfasis3 3" xfId="147" xr:uid="{B84470C7-2D5C-4D30-9A4D-FED6C060234A}"/>
    <cellStyle name="20% - Énfasis3 4" xfId="49" xr:uid="{62BF2F20-A973-4C95-84F5-969FE2151E79}"/>
    <cellStyle name="20% - Énfasis4" xfId="34" builtinId="42" customBuiltin="1"/>
    <cellStyle name="20% - Énfasis4 2" xfId="130" xr:uid="{C68F1184-011C-4081-BC31-196AD46B6A30}"/>
    <cellStyle name="20% - Énfasis4 3" xfId="149" xr:uid="{D08EC32A-A41B-457B-9923-3AD18D3A6D45}"/>
    <cellStyle name="20% - Énfasis4 4" xfId="50" xr:uid="{E7AA5F90-CE7D-4B17-8D38-A1848E61EC0D}"/>
    <cellStyle name="20% - Énfasis5" xfId="38" builtinId="46" customBuiltin="1"/>
    <cellStyle name="20% - Énfasis5 2" xfId="134" xr:uid="{1A7F2113-D21F-4CBD-AA97-C99AED779908}"/>
    <cellStyle name="20% - Énfasis5 3" xfId="151" xr:uid="{AC117359-8903-4779-A6AD-4A0F91BC1D5C}"/>
    <cellStyle name="20% - Énfasis5 4" xfId="51" xr:uid="{3564F9C0-BDE7-4A10-A5B1-73DF27BBBBC5}"/>
    <cellStyle name="20% - Énfasis6" xfId="42" builtinId="50" customBuiltin="1"/>
    <cellStyle name="20% - Énfasis6 2" xfId="138" xr:uid="{682427A7-C818-4020-8932-C76CE437F221}"/>
    <cellStyle name="20% - Énfasis6 3" xfId="153" xr:uid="{6CEC717B-7037-41A0-BC98-9959AB40CC4C}"/>
    <cellStyle name="20% - Énfasis6 4" xfId="52" xr:uid="{4029C6FA-193F-4BF0-85C8-87C9ACF334C5}"/>
    <cellStyle name="40% - Énfasis1" xfId="23" builtinId="31" customBuiltin="1"/>
    <cellStyle name="40% - Énfasis1 2" xfId="119" xr:uid="{EAC744FE-412F-437F-A564-4F68E62353C1}"/>
    <cellStyle name="40% - Énfasis1 3" xfId="144" xr:uid="{6057D05B-1B44-494D-82C2-13F3D63D50E4}"/>
    <cellStyle name="40% - Énfasis1 4" xfId="53" xr:uid="{4C7101F2-A5B8-40C0-9941-A1CD30802768}"/>
    <cellStyle name="40% - Énfasis2" xfId="27" builtinId="35" customBuiltin="1"/>
    <cellStyle name="40% - Énfasis2 2" xfId="123" xr:uid="{85B65B14-BA58-4330-BC67-6EAD777A4AC4}"/>
    <cellStyle name="40% - Énfasis2 3" xfId="146" xr:uid="{DA27F9A7-AD00-4070-9BFA-FD5EAA6932E2}"/>
    <cellStyle name="40% - Énfasis2 4" xfId="54" xr:uid="{12952C88-0F93-468E-8520-4A7F4E05478F}"/>
    <cellStyle name="40% - Énfasis3" xfId="31" builtinId="39" customBuiltin="1"/>
    <cellStyle name="40% - Énfasis3 2" xfId="127" xr:uid="{2F7BDCC1-3BB4-497D-912E-365BEE71216D}"/>
    <cellStyle name="40% - Énfasis3 3" xfId="148" xr:uid="{91E4168E-0933-4C24-A311-1E885919E124}"/>
    <cellStyle name="40% - Énfasis3 4" xfId="55" xr:uid="{764ACBB2-D7C4-4B84-B135-01512470B87E}"/>
    <cellStyle name="40% - Énfasis4" xfId="35" builtinId="43" customBuiltin="1"/>
    <cellStyle name="40% - Énfasis4 2" xfId="131" xr:uid="{28DB7527-8629-4B45-B5DA-041C97F8A09B}"/>
    <cellStyle name="40% - Énfasis4 3" xfId="150" xr:uid="{97ABBC43-0C78-4FDE-897C-3E36B035EF38}"/>
    <cellStyle name="40% - Énfasis4 4" xfId="56" xr:uid="{2D0B40C9-4FE9-42A7-9E25-A01C1D53F468}"/>
    <cellStyle name="40% - Énfasis5" xfId="39" builtinId="47" customBuiltin="1"/>
    <cellStyle name="40% - Énfasis5 2" xfId="135" xr:uid="{BF4AC49E-F139-4808-AC94-51C0C6BB9A80}"/>
    <cellStyle name="40% - Énfasis5 3" xfId="152" xr:uid="{7A25C791-6A60-4EE5-A222-D21E71EB958F}"/>
    <cellStyle name="40% - Énfasis5 4" xfId="57" xr:uid="{A63C9B48-0229-4D79-9980-9AD4828E004C}"/>
    <cellStyle name="40% - Énfasis6" xfId="43" builtinId="51" customBuiltin="1"/>
    <cellStyle name="40% - Énfasis6 2" xfId="139" xr:uid="{8C0DA8E0-6040-4904-A6FD-6070F0068086}"/>
    <cellStyle name="40% - Énfasis6 3" xfId="154" xr:uid="{F2D2B8FE-FCED-4C56-99FF-E4CA6279DE43}"/>
    <cellStyle name="40% - Énfasis6 4" xfId="58" xr:uid="{C3C35648-616E-4577-B1B9-B41476E4E317}"/>
    <cellStyle name="60% - Énfasis1" xfId="24" builtinId="32" customBuiltin="1"/>
    <cellStyle name="60% - Énfasis1 2" xfId="120" xr:uid="{72849261-5515-4DA2-B3D1-101BE880F719}"/>
    <cellStyle name="60% - Énfasis1 3" xfId="59" xr:uid="{2DC85408-9819-4F49-8739-12C51CA8FB73}"/>
    <cellStyle name="60% - Énfasis2" xfId="28" builtinId="36" customBuiltin="1"/>
    <cellStyle name="60% - Énfasis2 2" xfId="124" xr:uid="{40D4CFF5-D34E-4672-8CAF-0E4636F245B7}"/>
    <cellStyle name="60% - Énfasis2 3" xfId="60" xr:uid="{C007D26B-421F-48AB-976A-C9C87102A887}"/>
    <cellStyle name="60% - Énfasis3" xfId="32" builtinId="40" customBuiltin="1"/>
    <cellStyle name="60% - Énfasis3 2" xfId="128" xr:uid="{F23131CC-B54C-4293-B606-4A24049E212B}"/>
    <cellStyle name="60% - Énfasis3 3" xfId="61" xr:uid="{FBB1B616-FBF6-4E9C-9520-835E1318CC91}"/>
    <cellStyle name="60% - Énfasis4" xfId="36" builtinId="44" customBuiltin="1"/>
    <cellStyle name="60% - Énfasis4 2" xfId="132" xr:uid="{29B35B27-F847-4B1A-A859-ED27720BB2C0}"/>
    <cellStyle name="60% - Énfasis4 3" xfId="62" xr:uid="{544474FC-A4B1-42EC-9248-279E13A5F571}"/>
    <cellStyle name="60% - Énfasis5" xfId="40" builtinId="48" customBuiltin="1"/>
    <cellStyle name="60% - Énfasis5 2" xfId="136" xr:uid="{B189E411-621A-4C81-8E96-A67134C9AB42}"/>
    <cellStyle name="60% - Énfasis5 3" xfId="63" xr:uid="{3F53C0CF-9BAE-490C-AF0D-A2E931097802}"/>
    <cellStyle name="60% - Énfasis6" xfId="44" builtinId="52" customBuiltin="1"/>
    <cellStyle name="60% - Énfasis6 2" xfId="140" xr:uid="{9430DEDA-B45A-4F84-B88A-92AD7A3EB658}"/>
    <cellStyle name="60% - Énfasis6 3" xfId="64" xr:uid="{E3ED77CD-BA34-49F5-A7B0-540450CA8E7B}"/>
    <cellStyle name="Buena 2" xfId="105" xr:uid="{602B956D-8E35-441F-B263-33117B1FA291}"/>
    <cellStyle name="Bueno" xfId="9" builtinId="26" customBuiltin="1"/>
    <cellStyle name="Bueno 2" xfId="65" xr:uid="{071982F4-4364-4E18-844E-74F22F382EA0}"/>
    <cellStyle name="Cálculo" xfId="14" builtinId="22" customBuiltin="1"/>
    <cellStyle name="Cálculo 2" xfId="110" xr:uid="{E8E67676-F66A-4C15-B567-7D2CD20CD13D}"/>
    <cellStyle name="Cálculo 3" xfId="66" xr:uid="{E97E2DAD-26F6-4389-9AC2-F759EDDA3B8D}"/>
    <cellStyle name="Celda de comprobación" xfId="16" builtinId="23" customBuiltin="1"/>
    <cellStyle name="Celda de comprobación 2" xfId="112" xr:uid="{E7F72198-A6C3-43C8-ACD8-F7CBC40BEEC9}"/>
    <cellStyle name="Celda de comprobación 3" xfId="67" xr:uid="{2F0A3785-4552-480C-B00E-630EEDDE606C}"/>
    <cellStyle name="Celda vinculada" xfId="15" builtinId="24" customBuiltin="1"/>
    <cellStyle name="Celda vinculada 2" xfId="111" xr:uid="{E4963FC4-6351-476A-A412-D0F6EAED01D4}"/>
    <cellStyle name="Celda vinculada 3" xfId="68" xr:uid="{24B46475-64F7-44EB-B7F5-5D4FBC870122}"/>
    <cellStyle name="Encabezado 1" xfId="5" builtinId="16" customBuiltin="1"/>
    <cellStyle name="Encabezado 1 2" xfId="86" xr:uid="{3951AB20-AD85-42FA-A1C9-6779CE7528A9}"/>
    <cellStyle name="Encabezado 4" xfId="8" builtinId="19" customBuiltin="1"/>
    <cellStyle name="Encabezado 4 2" xfId="104" xr:uid="{0EF1FB0D-ED46-4F7E-BDAE-79FC71C73A4F}"/>
    <cellStyle name="Encabezado 4 3" xfId="69" xr:uid="{2FC0E8BE-7EA3-4386-A98D-D48EAAA464B9}"/>
    <cellStyle name="Énfasis1" xfId="21" builtinId="29" customBuiltin="1"/>
    <cellStyle name="Énfasis1 2" xfId="117" xr:uid="{DCC71F16-4907-44BC-B187-FD3FCD1F1B4F}"/>
    <cellStyle name="Énfasis1 3" xfId="70" xr:uid="{164DF5C1-81F0-4BEC-99B9-D8C83EB80894}"/>
    <cellStyle name="Énfasis2" xfId="25" builtinId="33" customBuiltin="1"/>
    <cellStyle name="Énfasis2 2" xfId="121" xr:uid="{A720C570-78CC-4A37-9C72-D6C8A14FDC1D}"/>
    <cellStyle name="Énfasis2 3" xfId="71" xr:uid="{97CEC044-BDED-4818-A07D-DD252F9A5F4E}"/>
    <cellStyle name="Énfasis3" xfId="29" builtinId="37" customBuiltin="1"/>
    <cellStyle name="Énfasis3 2" xfId="125" xr:uid="{B66B28AC-2D64-450E-8AF8-0618A4F27418}"/>
    <cellStyle name="Énfasis3 3" xfId="72" xr:uid="{0ED36072-8009-4630-ACF6-D0FEBB1ECAFC}"/>
    <cellStyle name="Énfasis4" xfId="33" builtinId="41" customBuiltin="1"/>
    <cellStyle name="Énfasis4 2" xfId="129" xr:uid="{39E2473E-E549-4A35-8052-389E8811E74B}"/>
    <cellStyle name="Énfasis4 3" xfId="73" xr:uid="{C415A9AD-2CD4-4DEB-AD4C-6D939664311E}"/>
    <cellStyle name="Énfasis5" xfId="37" builtinId="45" customBuiltin="1"/>
    <cellStyle name="Énfasis5 2" xfId="133" xr:uid="{8497E5C8-A34E-4882-85F5-8CBEE8C99105}"/>
    <cellStyle name="Énfasis5 3" xfId="74" xr:uid="{AB1EFC75-AA31-47BB-A2C2-A90A9A2F69FF}"/>
    <cellStyle name="Énfasis6" xfId="41" builtinId="49" customBuiltin="1"/>
    <cellStyle name="Énfasis6 2" xfId="137" xr:uid="{239A5A03-E235-4055-A34C-6ADBF33EAE98}"/>
    <cellStyle name="Énfasis6 3" xfId="75" xr:uid="{7194ABE3-C6EC-4171-8E25-945A466B2699}"/>
    <cellStyle name="Entrada" xfId="12" builtinId="20" customBuiltin="1"/>
    <cellStyle name="Entrada 2" xfId="108" xr:uid="{153D4C7A-95D7-43B7-BACE-B7C7AE46DA8A}"/>
    <cellStyle name="Entrada 3" xfId="76" xr:uid="{D733C63C-6318-49BB-8861-42E329DF2FC5}"/>
    <cellStyle name="Estilo 1" xfId="185" xr:uid="{6DBBBCF9-3A6B-45E2-9919-B22C5C584227}"/>
    <cellStyle name="Hipervínculo 2" xfId="155" xr:uid="{F9DA38EF-16AF-46D6-9F9D-0EF1D9A18BCE}"/>
    <cellStyle name="Incorrecto" xfId="10" builtinId="27" customBuiltin="1"/>
    <cellStyle name="Incorrecto 2" xfId="106" xr:uid="{2BFB85CD-00A3-4363-82BD-BDF85F8B7E91}"/>
    <cellStyle name="Incorrecto 3" xfId="77" xr:uid="{6E265986-45A9-4452-9C47-5E1B32D72538}"/>
    <cellStyle name="Millares" xfId="1" builtinId="3"/>
    <cellStyle name="Millares [0]" xfId="2" builtinId="6"/>
    <cellStyle name="Millares [0] 2" xfId="162" xr:uid="{7DBC57F2-5ACE-4757-AE30-AF788D1651C1}"/>
    <cellStyle name="Millares [0] 2 2" xfId="171" xr:uid="{D77DAAEC-A875-45FE-B8A1-65438EE9FC37}"/>
    <cellStyle name="Millares [0] 2 2 2" xfId="240" xr:uid="{7F26D640-5119-4191-8DBB-D2AFA2D69115}"/>
    <cellStyle name="Millares [0] 2 3" xfId="231" xr:uid="{AAD8D69D-E03E-431E-B098-22ADD9E562C8}"/>
    <cellStyle name="Millares [0] 3" xfId="163" xr:uid="{C1BBE0A4-DD0C-48DC-A33C-288203FE7C18}"/>
    <cellStyle name="Millares [0] 3 2" xfId="232" xr:uid="{6EFEBBF6-D791-49AD-9B2F-36F0FE2ACC23}"/>
    <cellStyle name="Millares [0] 4" xfId="168" xr:uid="{83377121-F636-4A27-AA14-7C4642CB03F6}"/>
    <cellStyle name="Millares [0] 4 2" xfId="237" xr:uid="{B703FF02-8EEC-486E-AE6D-0FFC67D9F840}"/>
    <cellStyle name="Millares [0] 5" xfId="217" xr:uid="{84B6C85F-DD48-47A5-87C4-DD47C167FA33}"/>
    <cellStyle name="Millares 10" xfId="94" xr:uid="{B6FD6F82-670E-491C-B914-BD79983C818E}"/>
    <cellStyle name="Millares 10 2" xfId="226" xr:uid="{DE050E58-CA41-4AD1-8844-34F6393C429C}"/>
    <cellStyle name="Millares 11" xfId="166" xr:uid="{90A1BE5A-A6FE-4089-8FE4-F78B0060A5AC}"/>
    <cellStyle name="Millares 11 2" xfId="235" xr:uid="{AD06EF19-3BD7-4566-9149-1FB08F7D5189}"/>
    <cellStyle name="Millares 12" xfId="167" xr:uid="{1E44764A-A32B-4C71-8EFD-3302AEBBAE6D}"/>
    <cellStyle name="Millares 12 2" xfId="236" xr:uid="{85F04677-C2E2-4FF1-B915-85E1D9BE7E41}"/>
    <cellStyle name="Millares 13" xfId="169" xr:uid="{5DA5D745-36D5-41D8-B169-44ACDE7F77D4}"/>
    <cellStyle name="Millares 13 2" xfId="238" xr:uid="{8B925CA0-D7CC-4AC5-BCF3-4B5938D844B9}"/>
    <cellStyle name="Millares 14" xfId="176" xr:uid="{948F9299-B6CB-4437-BE30-E4731E7D5C13}"/>
    <cellStyle name="Millares 14 2" xfId="245" xr:uid="{DD4C5428-6922-4942-AEA3-A2B7D6C81DD0}"/>
    <cellStyle name="Millares 15" xfId="177" xr:uid="{8E8B33DF-93B3-42D4-84A1-17FF0ED27C67}"/>
    <cellStyle name="Millares 15 2" xfId="246" xr:uid="{9B6C83DC-4509-4F8E-9160-739628347CC4}"/>
    <cellStyle name="Millares 16" xfId="178" xr:uid="{C46028F9-ABF9-439C-B480-CF5E520BA698}"/>
    <cellStyle name="Millares 16 2" xfId="247" xr:uid="{25EF0DD6-15D0-489B-912C-2E2D19753249}"/>
    <cellStyle name="Millares 17" xfId="179" xr:uid="{B6F75DB1-D6B6-4D1D-BCC5-7A7AA0A24AD5}"/>
    <cellStyle name="Millares 17 2" xfId="248" xr:uid="{4B036DD5-3038-4421-A04F-8FBE5E385F1E}"/>
    <cellStyle name="Millares 18" xfId="182" xr:uid="{0408B492-2E69-44E6-9E6F-C1CB2B6E29D9}"/>
    <cellStyle name="Millares 18 2" xfId="251" xr:uid="{1E245A65-F539-4C8D-B889-AAE92BEFE7C8}"/>
    <cellStyle name="Millares 19" xfId="181" xr:uid="{106E4024-8042-4057-B21B-98C8A836F86C}"/>
    <cellStyle name="Millares 19 2" xfId="250" xr:uid="{E9FD2BAF-6A99-412B-AD45-3AEF4F09C571}"/>
    <cellStyle name="Millares 2" xfId="45" xr:uid="{A13BA7DB-9A0C-4882-9C48-890EAEB61949}"/>
    <cellStyle name="Millares 2 2" xfId="173" xr:uid="{4D8EE600-DEE2-43C3-A8F6-9D4D9EB50FFA}"/>
    <cellStyle name="Millares 2 2 2" xfId="188" xr:uid="{921DC29F-C38D-45E7-A8C8-D0311DB4AF9A}"/>
    <cellStyle name="Millares 2 2 2 2" xfId="256" xr:uid="{1308AFE0-6CF2-4017-BE0D-FAA2EAC75A39}"/>
    <cellStyle name="Millares 2 2 3" xfId="210" xr:uid="{87CD8FA5-0D0A-4DB6-8A70-8F5F4B0CF9C1}"/>
    <cellStyle name="Millares 2 2 3 2" xfId="278" xr:uid="{391D1A87-4E48-4C3E-B161-6CF22EC6A0DF}"/>
    <cellStyle name="Millares 2 2 4" xfId="215" xr:uid="{E11DEB9F-17B5-4D4F-B1EE-D243931FEECC}"/>
    <cellStyle name="Millares 2 2 5" xfId="242" xr:uid="{18B766A1-C2B6-4FC2-87BB-B8EADE5E9306}"/>
    <cellStyle name="Millares 2 3" xfId="180" xr:uid="{9774B95E-ACD0-4340-A279-846C0CB763EA}"/>
    <cellStyle name="Millares 2 3 2" xfId="249" xr:uid="{610EBFDE-844D-4909-B7BE-0E26FB5423F2}"/>
    <cellStyle name="Millares 2 4" xfId="184" xr:uid="{04A62FEF-FE4E-447D-9A5C-BB2A82B38930}"/>
    <cellStyle name="Millares 2 4 2" xfId="253" xr:uid="{20740C09-74D2-412E-A52E-263532BAB991}"/>
    <cellStyle name="Millares 2 5" xfId="208" xr:uid="{D26133F0-6B4E-411B-927E-F3CA59440F50}"/>
    <cellStyle name="Millares 2 5 2" xfId="276" xr:uid="{F60C723D-FACF-494C-83BB-F190C8F1E89F}"/>
    <cellStyle name="Millares 2 6" xfId="213" xr:uid="{16EA0DDD-0D06-4E89-93D2-C941A0B6DDAD}"/>
    <cellStyle name="Millares 2 7" xfId="218" xr:uid="{EB525CC0-40C9-49B4-AA5F-4B85B406E8E2}"/>
    <cellStyle name="Millares 20" xfId="183" xr:uid="{9CB2A68D-0B7E-4207-AB52-485DAE56D9F8}"/>
    <cellStyle name="Millares 20 2" xfId="252" xr:uid="{B6435E41-4BF9-46BA-8571-8A85B7944005}"/>
    <cellStyle name="Millares 21" xfId="189" xr:uid="{99DA5D76-1D5E-41C5-AF25-9484A1880EC4}"/>
    <cellStyle name="Millares 21 2" xfId="257" xr:uid="{C66213D8-5430-453B-9568-EC8D429008E7}"/>
    <cellStyle name="Millares 22" xfId="192" xr:uid="{07C37D3A-21A5-4AC5-9ECE-A2B6D20ABF00}"/>
    <cellStyle name="Millares 22 2" xfId="260" xr:uid="{7843859C-2F43-4C0C-A2EA-62EE0A2635FC}"/>
    <cellStyle name="Millares 23" xfId="190" xr:uid="{B20A4D25-17EB-4910-A2EC-531BA17054BC}"/>
    <cellStyle name="Millares 23 2" xfId="258" xr:uid="{AF6CA19F-B130-47D2-B1AA-18522F1E6722}"/>
    <cellStyle name="Millares 24" xfId="193" xr:uid="{C4BAD1F5-E798-4386-A59A-806833000530}"/>
    <cellStyle name="Millares 24 2" xfId="261" xr:uid="{6FBCC352-F2FA-42FE-96FE-8846BA0CCA29}"/>
    <cellStyle name="Millares 25" xfId="191" xr:uid="{523E0791-1780-4D73-A0C1-81A07C069D43}"/>
    <cellStyle name="Millares 25 2" xfId="259" xr:uid="{8530AA48-CDCC-4BA8-80B4-4A2EF67F522E}"/>
    <cellStyle name="Millares 26" xfId="194" xr:uid="{6E4B6937-9A00-4A89-953A-D6050F7A62FE}"/>
    <cellStyle name="Millares 26 2" xfId="262" xr:uid="{C0A39517-62D5-4D2A-B3D9-F0C377912DAF}"/>
    <cellStyle name="Millares 27" xfId="195" xr:uid="{EA012549-A43E-45E0-9513-C7EC19D1B673}"/>
    <cellStyle name="Millares 27 2" xfId="263" xr:uid="{84C64627-4B45-4E46-925D-9FD7B563D72D}"/>
    <cellStyle name="Millares 28" xfId="196" xr:uid="{A5CC1672-E1A0-48F8-B451-6E01ACFCF9F1}"/>
    <cellStyle name="Millares 28 2" xfId="264" xr:uid="{3D565B80-8795-41EB-A1BC-6D25EC97B301}"/>
    <cellStyle name="Millares 29" xfId="197" xr:uid="{38D7A59B-77CA-40B3-A800-D649D388B1B9}"/>
    <cellStyle name="Millares 29 2" xfId="265" xr:uid="{ADED4271-E29B-4B82-92CE-B9DEDD3BE9F1}"/>
    <cellStyle name="Millares 3" xfId="96" xr:uid="{81961337-50D8-4EA5-A506-E85CEE3E2516}"/>
    <cellStyle name="Millares 3 2" xfId="174" xr:uid="{BA0FADF1-CA33-4082-BF0A-6DD499BB5E38}"/>
    <cellStyle name="Millares 3 2 2" xfId="243" xr:uid="{2657FF36-295F-457D-B8EC-AEC71C7C1C5C}"/>
    <cellStyle name="Millares 3 3" xfId="187" xr:uid="{5B75B78D-8924-4B05-86CD-386B2F2AFB5B}"/>
    <cellStyle name="Millares 3 3 2" xfId="255" xr:uid="{AA726C05-A80B-46C9-B775-47C5C6AF66AD}"/>
    <cellStyle name="Millares 3 4" xfId="209" xr:uid="{5BB47FC4-6E5F-47E3-9DE4-0F2E96734139}"/>
    <cellStyle name="Millares 3 4 2" xfId="277" xr:uid="{8849AAFB-64DD-4104-BB10-34A91138DC91}"/>
    <cellStyle name="Millares 3 5" xfId="214" xr:uid="{225F5CA0-F926-4070-8A97-BF5CACBF6CFE}"/>
    <cellStyle name="Millares 3 6" xfId="227" xr:uid="{4374CCBE-57BC-4C56-B230-2956D398B54A}"/>
    <cellStyle name="Millares 30" xfId="198" xr:uid="{966084E5-885B-4889-AF3E-CF2CC2F15BC2}"/>
    <cellStyle name="Millares 30 2" xfId="266" xr:uid="{3B4FF158-4D4C-4FC5-B2A4-759BE6D88F7B}"/>
    <cellStyle name="Millares 31" xfId="200" xr:uid="{F21C42AE-EB09-4ED7-A7C4-56C19EB05C66}"/>
    <cellStyle name="Millares 31 2" xfId="268" xr:uid="{78CF474E-121A-4B05-8B1D-DFE429618D92}"/>
    <cellStyle name="Millares 32" xfId="201" xr:uid="{BA89D6C7-5585-4361-99F2-D40A4CDFED5D}"/>
    <cellStyle name="Millares 32 2" xfId="269" xr:uid="{54FF6525-2D82-4491-B6EF-224F93816A8F}"/>
    <cellStyle name="Millares 33" xfId="203" xr:uid="{A8445594-A0E0-47CE-8215-CC5259B082DE}"/>
    <cellStyle name="Millares 33 2" xfId="271" xr:uid="{4D54D1BB-BAE5-4AAB-9D65-74972128EC33}"/>
    <cellStyle name="Millares 34" xfId="206" xr:uid="{EE700645-24C8-4334-9415-16222FA9BF51}"/>
    <cellStyle name="Millares 34 2" xfId="274" xr:uid="{EBDA5151-4A43-4024-BED3-E3A1E52E240F}"/>
    <cellStyle name="Millares 35" xfId="202" xr:uid="{6BDFAFCB-F320-400F-B44C-EFE1E54C8B28}"/>
    <cellStyle name="Millares 35 2" xfId="270" xr:uid="{780A18AA-1334-4BBA-B26B-9CA29C416918}"/>
    <cellStyle name="Millares 36" xfId="199" xr:uid="{EBCE7E42-2A97-4965-BB66-CB959425D026}"/>
    <cellStyle name="Millares 36 2" xfId="267" xr:uid="{D9D9A3B9-A20C-4381-B3C8-61D03044C0A7}"/>
    <cellStyle name="Millares 37" xfId="204" xr:uid="{43F4D67F-C103-40C9-AE61-F11004A7BA26}"/>
    <cellStyle name="Millares 37 2" xfId="272" xr:uid="{553D826A-263C-4020-862D-5176A7BD9918}"/>
    <cellStyle name="Millares 38" xfId="205" xr:uid="{CDD5A35A-0233-42C0-A4E7-51AB1F51E886}"/>
    <cellStyle name="Millares 38 2" xfId="273" xr:uid="{8FE247A9-6458-467E-81DD-0FDC2164D33C}"/>
    <cellStyle name="Millares 39" xfId="207" xr:uid="{3DD32238-B5CB-4A9B-86B1-8DC7D235E529}"/>
    <cellStyle name="Millares 39 2" xfId="275" xr:uid="{84D1BA26-2915-46C9-878D-F504B53D7E51}"/>
    <cellStyle name="Millares 4" xfId="99" xr:uid="{289870BF-2473-43A0-AD9D-D0B8B2BF9FB7}"/>
    <cellStyle name="Millares 4 2" xfId="172" xr:uid="{400AB98E-C5B2-4B94-869B-5B3C2CD27636}"/>
    <cellStyle name="Millares 4 2 2" xfId="241" xr:uid="{5A1303A3-5136-415B-A809-811D6390A9C6}"/>
    <cellStyle name="Millares 4 3" xfId="186" xr:uid="{A3593261-6D16-4CC6-8BCC-DC15BFC8728A}"/>
    <cellStyle name="Millares 4 3 2" xfId="254" xr:uid="{3F63AF0A-9CA3-445A-A13F-30883FE09B4B}"/>
    <cellStyle name="Millares 4 4" xfId="228" xr:uid="{4142FC54-22ED-485F-BF25-76AD190D93E9}"/>
    <cellStyle name="Millares 40" xfId="211" xr:uid="{4EAA026F-B29A-4C67-B1DD-92D147EDAA0F}"/>
    <cellStyle name="Millares 41" xfId="216" xr:uid="{826F4A71-B9D6-43E6-A472-A07C1389AD50}"/>
    <cellStyle name="Millares 42" xfId="212" xr:uid="{40F501ED-15E8-4086-9F78-D9A89746AFC4}"/>
    <cellStyle name="Millares 43" xfId="229" xr:uid="{D902941D-33CD-4E83-9A8E-F7C214ABC097}"/>
    <cellStyle name="Millares 44" xfId="223" xr:uid="{EE92BF95-E7C1-4122-941E-00CF94ED7EFF}"/>
    <cellStyle name="Millares 45" xfId="279" xr:uid="{6CD47A93-5ED6-46F7-8C1F-EF3BF8C328CF}"/>
    <cellStyle name="Millares 46" xfId="280" xr:uid="{487B2AA7-1084-4310-B012-B6886B16B218}"/>
    <cellStyle name="Millares 5" xfId="157" xr:uid="{02350BCD-CFCB-46BA-8238-CB8598D49C26}"/>
    <cellStyle name="Millares 5 2" xfId="170" xr:uid="{5069C1AE-CBF2-45BD-8233-E0B575607EB8}"/>
    <cellStyle name="Millares 5 2 2" xfId="239" xr:uid="{67C535C4-DBBD-4DA6-A216-A19F4FAB2F18}"/>
    <cellStyle name="Millares 6" xfId="160" xr:uid="{BC0874B5-7611-4660-B2D2-7A26799440ED}"/>
    <cellStyle name="Millares 6 2" xfId="175" xr:uid="{2B85B485-1EF7-4F7B-992C-EF01E321E981}"/>
    <cellStyle name="Millares 6 2 2" xfId="244" xr:uid="{FC065C23-954C-4D55-A0CF-8B37364E6DEA}"/>
    <cellStyle name="Millares 6 3" xfId="230" xr:uid="{D4C18632-656C-4417-B836-05CBFAE03340}"/>
    <cellStyle name="Millares 7" xfId="78" xr:uid="{0EA07A15-C046-425B-B68D-08ABC8F1FFEA}"/>
    <cellStyle name="Millares 7 2" xfId="219" xr:uid="{51314D0E-3F2C-4271-B06A-9CDACBF1903B}"/>
    <cellStyle name="Millares 8" xfId="164" xr:uid="{748FD8F5-287C-429D-874D-4F0C93792414}"/>
    <cellStyle name="Millares 8 2" xfId="233" xr:uid="{85711B8D-20C4-40A3-82E3-F199E91AC237}"/>
    <cellStyle name="Millares 9" xfId="165" xr:uid="{38970064-8322-455A-8534-CD8BE0ACDE5F}"/>
    <cellStyle name="Millares 9 2" xfId="234" xr:uid="{8700FF0B-DD7B-465D-95C9-B860CB239FED}"/>
    <cellStyle name="Neutral" xfId="11" builtinId="28" customBuiltin="1"/>
    <cellStyle name="Neutral 2" xfId="107" xr:uid="{28B7E1DA-DB72-492B-B008-DDE429BC24C8}"/>
    <cellStyle name="Neutral 3" xfId="79" xr:uid="{7D092E73-FBE6-47AE-BEF0-7654F4856066}"/>
    <cellStyle name="Normal" xfId="0" builtinId="0"/>
    <cellStyle name="Normal 10" xfId="93" xr:uid="{F5A5338C-DCDC-442C-9BBB-BBC69407F045}"/>
    <cellStyle name="Normal 10 2" xfId="225" xr:uid="{809F5396-F17E-4658-AD56-A8E0B537ECE3}"/>
    <cellStyle name="Normal 11" xfId="46" xr:uid="{01049200-C9D9-4CF1-98B0-09E5D10BC9A0}"/>
    <cellStyle name="Normal 11 2" xfId="158" xr:uid="{7229A8DE-D432-412E-98C6-D5E118B2AC4A}"/>
    <cellStyle name="Normal 2" xfId="90" xr:uid="{626A41FD-C389-4B73-991D-EC1BB8633403}"/>
    <cellStyle name="Normal 2 2" xfId="222" xr:uid="{4383437E-567D-49D0-9D75-F8ED44EC4063}"/>
    <cellStyle name="Normal 3" xfId="91" xr:uid="{17779A57-0661-429C-B7EE-73D3DF261F9B}"/>
    <cellStyle name="Normal 30" xfId="92" xr:uid="{812D4BA0-660C-41EF-BD45-529389767A83}"/>
    <cellStyle name="Normal 30 2" xfId="224" xr:uid="{F7FD41BD-1388-4D9C-83FB-D968A648ED55}"/>
    <cellStyle name="Normal 4" xfId="95" xr:uid="{43D5655D-DC3A-4BFD-B1E2-BE04AF6ACACA}"/>
    <cellStyle name="Normal 5" xfId="98" xr:uid="{893945DA-A8CC-4447-8D2C-B80DA93E6A77}"/>
    <cellStyle name="Normal 6" xfId="141" xr:uid="{7975050C-5CF5-456D-B45C-0C5017ECA89F}"/>
    <cellStyle name="Normal 7" xfId="156" xr:uid="{BC6DE0F0-D484-4D89-BAF0-CF0BAA6DE148}"/>
    <cellStyle name="Normal 8" xfId="159" xr:uid="{DA276FC1-DF9A-4FFA-BA1E-991BE13CA029}"/>
    <cellStyle name="Normal 9" xfId="161" xr:uid="{8CA50DC0-78C5-47DE-836E-75004D1B6298}"/>
    <cellStyle name="Notas" xfId="18" builtinId="10" customBuiltin="1"/>
    <cellStyle name="Notas 2" xfId="114" xr:uid="{A370D400-FE81-4BF6-A77E-DCF12E83E078}"/>
    <cellStyle name="Notas 3" xfId="142" xr:uid="{88EC9A47-7BCC-41D9-8487-0389E978AD0E}"/>
    <cellStyle name="Notas 4" xfId="80" xr:uid="{944C966F-8ED3-49F1-8A03-6CE61B4E136B}"/>
    <cellStyle name="Notas 4 2" xfId="220" xr:uid="{00D0C06A-159E-4706-9611-495443FBD75D}"/>
    <cellStyle name="Porcentaje" xfId="3" builtinId="5"/>
    <cellStyle name="Porcentaje 2" xfId="97" xr:uid="{AC7741D9-7259-43C6-B1AD-B6F5DCEA4EC9}"/>
    <cellStyle name="Porcentaje 3" xfId="81" xr:uid="{52D1F896-3186-44A6-96C8-DBBD6784BD8D}"/>
    <cellStyle name="Porcentaje 3 2" xfId="221" xr:uid="{0DCD199B-5A94-4F82-B0F1-8D2477D9D796}"/>
    <cellStyle name="Salida" xfId="13" builtinId="21" customBuiltin="1"/>
    <cellStyle name="Salida 2" xfId="109" xr:uid="{8453511C-FA09-4BC7-8EAE-389984591E95}"/>
    <cellStyle name="Salida 3" xfId="82" xr:uid="{5AA10D3A-7AA4-41BE-BE6A-1780EE1C656A}"/>
    <cellStyle name="Texto de advertencia" xfId="17" builtinId="11" customBuiltin="1"/>
    <cellStyle name="Texto de advertencia 2" xfId="113" xr:uid="{56F115B4-4B39-4AB9-9690-768CA68CF0BD}"/>
    <cellStyle name="Texto de advertencia 3" xfId="83" xr:uid="{A6E391DD-22B5-47F7-8AC5-C66E01BC10EE}"/>
    <cellStyle name="Texto explicativo" xfId="19" builtinId="53" customBuiltin="1"/>
    <cellStyle name="Texto explicativo 2" xfId="115" xr:uid="{53D5AF1D-FBD0-4B21-A28E-46AB7B14BF83}"/>
    <cellStyle name="Texto explicativo 3" xfId="84" xr:uid="{3F5103D6-80D0-4D16-BA9D-C2B7C13C2966}"/>
    <cellStyle name="Título" xfId="4" builtinId="15" customBuiltin="1"/>
    <cellStyle name="Título 1 2" xfId="101" xr:uid="{57CC839E-5DBA-4137-A336-EA6A00DEE47D}"/>
    <cellStyle name="Título 2" xfId="6" builtinId="17" customBuiltin="1"/>
    <cellStyle name="Título 2 2" xfId="102" xr:uid="{2D69718D-2EB5-4B0D-8581-F5F2E04CFBC3}"/>
    <cellStyle name="Título 2 3" xfId="87" xr:uid="{05CD0431-28B4-492E-9A1A-94C9894D30D1}"/>
    <cellStyle name="Título 3" xfId="7" builtinId="18" customBuiltin="1"/>
    <cellStyle name="Título 3 2" xfId="103" xr:uid="{6F460F4B-B9E9-46BA-9F1F-1F53964A7419}"/>
    <cellStyle name="Título 3 3" xfId="88" xr:uid="{6B90FC1F-DE28-492D-9772-8446922AF711}"/>
    <cellStyle name="Título 4" xfId="100" xr:uid="{6B0EDD52-B9DE-4527-8CA8-CECCE177F306}"/>
    <cellStyle name="Título 5" xfId="85" xr:uid="{ABDC2398-C6D1-4919-93F2-41EB2B66E589}"/>
    <cellStyle name="Total" xfId="20" builtinId="25" customBuiltin="1"/>
    <cellStyle name="Total 2" xfId="116" xr:uid="{D1F9747F-64AA-4B88-8FA0-6F6CF0AB4C12}"/>
    <cellStyle name="Total 3" xfId="89" xr:uid="{0E2DDB81-3FC9-4315-A9CF-793140206D81}"/>
  </cellStyles>
  <dxfs count="0"/>
  <tableStyles count="0" defaultTableStyle="TableStyleMedium2" defaultPivotStyle="PivotStyleLight16"/>
  <colors>
    <mruColors>
      <color rgb="FF00FF00"/>
      <color rgb="FFAD83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612068679772046E-2"/>
          <c:y val="6.950282350176204E-2"/>
          <c:w val="0.93491025872958489"/>
          <c:h val="0.74537055414940201"/>
        </c:manualLayout>
      </c:layout>
      <c:lineChart>
        <c:grouping val="standard"/>
        <c:varyColors val="0"/>
        <c:ser>
          <c:idx val="0"/>
          <c:order val="0"/>
          <c:tx>
            <c:strRef>
              <c:f>DATOS!$A$64</c:f>
              <c:strCache>
                <c:ptCount val="1"/>
                <c:pt idx="0">
                  <c:v>TARJETA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19050">
                <a:solidFill>
                  <a:srgbClr val="00B0F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1507587580481834E-2"/>
                  <c:y val="4.71805013733336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B9-404D-B096-781DD1BB0AE1}"/>
                </c:ext>
              </c:extLst>
            </c:dLbl>
            <c:dLbl>
              <c:idx val="3"/>
              <c:layout>
                <c:manualLayout>
                  <c:x val="-2.1507587580481914E-2"/>
                  <c:y val="3.8980530557481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2E-4921-A4F3-8744479CAA3C}"/>
                </c:ext>
              </c:extLst>
            </c:dLbl>
            <c:dLbl>
              <c:idx val="6"/>
              <c:layout>
                <c:manualLayout>
                  <c:x val="4.5995199070655215E-3"/>
                  <c:y val="-3.04109367514517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2E-4921-A4F3-8744479CAA3C}"/>
                </c:ext>
              </c:extLst>
            </c:dLbl>
            <c:dLbl>
              <c:idx val="7"/>
              <c:layout>
                <c:manualLayout>
                  <c:x val="-3.0158123949025964E-3"/>
                  <c:y val="3.07805597416298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B9-404D-B096-781DD1BB0AE1}"/>
                </c:ext>
              </c:extLst>
            </c:dLbl>
            <c:dLbl>
              <c:idx val="8"/>
              <c:layout>
                <c:manualLayout>
                  <c:x val="-1.8244333135967822E-2"/>
                  <c:y val="4.71805013733336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A2-4B0B-B157-01F5EDB62D83}"/>
                </c:ext>
              </c:extLst>
            </c:dLbl>
            <c:dLbl>
              <c:idx val="9"/>
              <c:layout>
                <c:manualLayout>
                  <c:x val="-5.1913153579117776E-3"/>
                  <c:y val="6.180647294074121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EC-4CA6-8DEA-306C9C01F8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DATOS!$BA$63:$BM$63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DATOS!$BA$64:$BM$64</c:f>
              <c:numCache>
                <c:formatCode>_(* #,##0_);_(* \(#,##0\);_(* "-"_);_(@_)</c:formatCode>
                <c:ptCount val="13"/>
                <c:pt idx="0">
                  <c:v>5283.4234529999994</c:v>
                </c:pt>
                <c:pt idx="1">
                  <c:v>13699.863357</c:v>
                </c:pt>
                <c:pt idx="2">
                  <c:v>9189.1630830000013</c:v>
                </c:pt>
                <c:pt idx="3">
                  <c:v>7112.0806430000002</c:v>
                </c:pt>
                <c:pt idx="4">
                  <c:v>6254.4456620000001</c:v>
                </c:pt>
                <c:pt idx="5">
                  <c:v>8622.7807969999994</c:v>
                </c:pt>
                <c:pt idx="6">
                  <c:v>4258.2007880000001</c:v>
                </c:pt>
                <c:pt idx="7">
                  <c:v>5446.9002550000005</c:v>
                </c:pt>
                <c:pt idx="8">
                  <c:v>5249.9302539999999</c:v>
                </c:pt>
                <c:pt idx="9">
                  <c:v>5937.1941639999995</c:v>
                </c:pt>
                <c:pt idx="10">
                  <c:v>5478.9335880000008</c:v>
                </c:pt>
                <c:pt idx="11">
                  <c:v>5127.5674750000007</c:v>
                </c:pt>
                <c:pt idx="12">
                  <c:v>5382.580457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7E-45FA-A1E2-F589372303A0}"/>
            </c:ext>
          </c:extLst>
        </c:ser>
        <c:ser>
          <c:idx val="1"/>
          <c:order val="1"/>
          <c:tx>
            <c:strRef>
              <c:f>DATOS!$A$65</c:f>
              <c:strCache>
                <c:ptCount val="1"/>
                <c:pt idx="0">
                  <c:v>CONSUMO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2595339061986502E-2"/>
                  <c:y val="-4.71805013733336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B9-404D-B096-781DD1BB0AE1}"/>
                </c:ext>
              </c:extLst>
            </c:dLbl>
            <c:dLbl>
              <c:idx val="3"/>
              <c:layout>
                <c:manualLayout>
                  <c:x val="-2.4770842024995923E-2"/>
                  <c:y val="-5.94804575971115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22E-4921-A4F3-8744479CAA3C}"/>
                </c:ext>
              </c:extLst>
            </c:dLbl>
            <c:dLbl>
              <c:idx val="6"/>
              <c:layout>
                <c:manualLayout>
                  <c:x val="2.4749973014048115E-4"/>
                  <c:y val="-4.26481788113863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22E-4921-A4F3-8744479CAA3C}"/>
                </c:ext>
              </c:extLst>
            </c:dLbl>
            <c:dLbl>
              <c:idx val="7"/>
              <c:layout>
                <c:manualLayout>
                  <c:x val="-2.2595339061986661E-2"/>
                  <c:y val="-5.12804867812597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B9-404D-B096-781DD1BB0AE1}"/>
                </c:ext>
              </c:extLst>
            </c:dLbl>
            <c:dLbl>
              <c:idx val="8"/>
              <c:layout>
                <c:manualLayout>
                  <c:x val="-2.2595339061986661E-2"/>
                  <c:y val="-6.35804430050375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A2-4B0B-B157-01F5EDB62D83}"/>
                </c:ext>
              </c:extLst>
            </c:dLbl>
            <c:dLbl>
              <c:idx val="9"/>
              <c:layout>
                <c:manualLayout>
                  <c:x val="-9.542321283930618E-3"/>
                  <c:y val="-4.3080515965407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EC-4CA6-8DEA-306C9C01F801}"/>
                </c:ext>
              </c:extLst>
            </c:dLbl>
            <c:dLbl>
              <c:idx val="10"/>
              <c:layout>
                <c:manualLayout>
                  <c:x val="-2.2633031963363314E-2"/>
                  <c:y val="-6.05651600181683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DE-4095-B39E-66FA0DA6FB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DATOS!$BA$63:$BM$63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DATOS!$BA$65:$BM$65</c:f>
              <c:numCache>
                <c:formatCode>_(* #,##0_);_(* \(#,##0\);_(* "-"_);_(@_)</c:formatCode>
                <c:ptCount val="13"/>
                <c:pt idx="0">
                  <c:v>7319.1159990000006</c:v>
                </c:pt>
                <c:pt idx="1">
                  <c:v>6540.0850699999992</c:v>
                </c:pt>
                <c:pt idx="2">
                  <c:v>8668.1454570000005</c:v>
                </c:pt>
                <c:pt idx="3">
                  <c:v>9835.5095459999975</c:v>
                </c:pt>
                <c:pt idx="4">
                  <c:v>7121.5125039999994</c:v>
                </c:pt>
                <c:pt idx="5">
                  <c:v>7723.8423159999993</c:v>
                </c:pt>
                <c:pt idx="6">
                  <c:v>5344.4048270000003</c:v>
                </c:pt>
                <c:pt idx="7">
                  <c:v>6872.0698389999998</c:v>
                </c:pt>
                <c:pt idx="8">
                  <c:v>5683.1722600000003</c:v>
                </c:pt>
                <c:pt idx="9">
                  <c:v>7440.3931530000009</c:v>
                </c:pt>
                <c:pt idx="10">
                  <c:v>7311.977543</c:v>
                </c:pt>
                <c:pt idx="11">
                  <c:v>5441.1547659999997</c:v>
                </c:pt>
                <c:pt idx="12">
                  <c:v>4789.9581610000005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7E-45FA-A1E2-F589372303A0}"/>
            </c:ext>
          </c:extLst>
        </c:ser>
        <c:ser>
          <c:idx val="2"/>
          <c:order val="2"/>
          <c:tx>
            <c:strRef>
              <c:f>DATOS!$A$66</c:f>
              <c:strCache>
                <c:ptCount val="1"/>
                <c:pt idx="0">
                  <c:v>VIVIENDA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1507587580481834E-2"/>
                  <c:y val="2.661923596933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22E-4921-A4F3-8744479CAA3C}"/>
                </c:ext>
              </c:extLst>
            </c:dLbl>
            <c:dLbl>
              <c:idx val="6"/>
              <c:layout>
                <c:manualLayout>
                  <c:x val="2.4749973014048115E-4"/>
                  <c:y val="2.22932572444696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22E-4921-A4F3-8744479CAA3C}"/>
                </c:ext>
              </c:extLst>
            </c:dLbl>
            <c:dLbl>
              <c:idx val="9"/>
              <c:layout>
                <c:manualLayout>
                  <c:x val="-3.0158123949025964E-3"/>
                  <c:y val="-2.080661886148247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22E-4921-A4F3-8744479CAA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DATOS!$BA$63:$BM$63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DATOS!$BA$66:$BM$66</c:f>
              <c:numCache>
                <c:formatCode>_(* #,##0_);_(* \(#,##0\);_(* "-"_);_(@_)</c:formatCode>
                <c:ptCount val="13"/>
                <c:pt idx="0">
                  <c:v>1563.2565260000001</c:v>
                </c:pt>
                <c:pt idx="1">
                  <c:v>2080.4615309999999</c:v>
                </c:pt>
                <c:pt idx="2">
                  <c:v>2515.2280740000001</c:v>
                </c:pt>
                <c:pt idx="3">
                  <c:v>3239.4443509999996</c:v>
                </c:pt>
                <c:pt idx="4">
                  <c:v>2486.935332</c:v>
                </c:pt>
                <c:pt idx="5">
                  <c:v>2548.9062990000002</c:v>
                </c:pt>
                <c:pt idx="6">
                  <c:v>3941.7023260000001</c:v>
                </c:pt>
                <c:pt idx="7">
                  <c:v>4127.4502700000003</c:v>
                </c:pt>
                <c:pt idx="8">
                  <c:v>2136.4154750000002</c:v>
                </c:pt>
                <c:pt idx="9">
                  <c:v>1572.797613</c:v>
                </c:pt>
                <c:pt idx="10">
                  <c:v>552.838258</c:v>
                </c:pt>
                <c:pt idx="11">
                  <c:v>2086.5602589999999</c:v>
                </c:pt>
                <c:pt idx="12">
                  <c:v>3054.4623730000003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2F-40DB-B1CA-418002F46355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41299696"/>
        <c:axId val="430932944"/>
      </c:lineChart>
      <c:dateAx>
        <c:axId val="5412996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0932944"/>
        <c:crosses val="autoZero"/>
        <c:auto val="1"/>
        <c:lblOffset val="100"/>
        <c:baseTimeUnit val="months"/>
      </c:dateAx>
      <c:valAx>
        <c:axId val="430932944"/>
        <c:scaling>
          <c:orientation val="minMax"/>
          <c:max val="20000"/>
        </c:scaling>
        <c:delete val="1"/>
        <c:axPos val="l"/>
        <c:numFmt formatCode="_(* #,##0_);_(* \(#,##0\);_(* &quot;-&quot;_);_(@_)" sourceLinked="1"/>
        <c:majorTickMark val="none"/>
        <c:minorTickMark val="none"/>
        <c:tickLblPos val="nextTo"/>
        <c:crossAx val="541299696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282325515065184"/>
          <c:y val="0.92943500657696532"/>
          <c:w val="0.25435348969869637"/>
          <c:h val="7.05649934230346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269604572327769E-2"/>
          <c:y val="0.15910960024432122"/>
          <c:w val="0.93284529182335074"/>
          <c:h val="0.66105173367701786"/>
        </c:manualLayout>
      </c:layout>
      <c:lineChart>
        <c:grouping val="standard"/>
        <c:varyColors val="0"/>
        <c:ser>
          <c:idx val="0"/>
          <c:order val="0"/>
          <c:tx>
            <c:strRef>
              <c:f>DATOS!$A$105</c:f>
              <c:strCache>
                <c:ptCount val="1"/>
                <c:pt idx="0">
                  <c:v>TARJETA 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19050">
                <a:solidFill>
                  <a:srgbClr val="00B0F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DATOS!$BA$104:$BM$104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DATOS!$BA$105:$BM$105</c:f>
              <c:numCache>
                <c:formatCode>0.00%</c:formatCode>
                <c:ptCount val="13"/>
                <c:pt idx="0">
                  <c:v>0.26084986090057788</c:v>
                </c:pt>
                <c:pt idx="1">
                  <c:v>0.24585035498299798</c:v>
                </c:pt>
                <c:pt idx="2">
                  <c:v>0.24585035498299801</c:v>
                </c:pt>
                <c:pt idx="3">
                  <c:v>0.24585035498299798</c:v>
                </c:pt>
                <c:pt idx="4">
                  <c:v>0.24585035498299801</c:v>
                </c:pt>
                <c:pt idx="5">
                  <c:v>0.24585035498299798</c:v>
                </c:pt>
                <c:pt idx="6">
                  <c:v>0.24585035498299804</c:v>
                </c:pt>
                <c:pt idx="7">
                  <c:v>0.24920002723110213</c:v>
                </c:pt>
                <c:pt idx="8">
                  <c:v>0.24920000000000075</c:v>
                </c:pt>
                <c:pt idx="9">
                  <c:v>0.24754926799673482</c:v>
                </c:pt>
                <c:pt idx="10">
                  <c:v>0.24110028643694201</c:v>
                </c:pt>
                <c:pt idx="11">
                  <c:v>0.24890000000000054</c:v>
                </c:pt>
                <c:pt idx="12">
                  <c:v>0.24920000000000073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1F-4F4C-884F-87442C4A481A}"/>
            </c:ext>
          </c:extLst>
        </c:ser>
        <c:ser>
          <c:idx val="1"/>
          <c:order val="1"/>
          <c:tx>
            <c:strRef>
              <c:f>DATOS!$A$106</c:f>
              <c:strCache>
                <c:ptCount val="1"/>
                <c:pt idx="0">
                  <c:v>CONSUMO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9050">
                <a:solidFill>
                  <a:schemeClr val="accent2"/>
                </a:solidFill>
              </a:ln>
              <a:effectLst/>
            </c:spPr>
          </c:marker>
          <c:dLbls>
            <c:dLbl>
              <c:idx val="6"/>
              <c:layout>
                <c:manualLayout>
                  <c:x val="6.5304857595771884E-3"/>
                  <c:y val="-1.32621690709961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84-4C7B-A7C0-3980EF4DD4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DATOS!$BA$104:$BM$104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DATOS!$BA$106:$BM$106</c:f>
              <c:numCache>
                <c:formatCode>0.00%</c:formatCode>
                <c:ptCount val="13"/>
                <c:pt idx="0">
                  <c:v>0.22318948515162393</c:v>
                </c:pt>
                <c:pt idx="1">
                  <c:v>0.22847376091139124</c:v>
                </c:pt>
                <c:pt idx="2">
                  <c:v>0.21278743387345689</c:v>
                </c:pt>
                <c:pt idx="3">
                  <c:v>0.19963035967834677</c:v>
                </c:pt>
                <c:pt idx="4">
                  <c:v>0.17949081569408146</c:v>
                </c:pt>
                <c:pt idx="5">
                  <c:v>0.18046094913440108</c:v>
                </c:pt>
                <c:pt idx="6">
                  <c:v>0.18946122529309278</c:v>
                </c:pt>
                <c:pt idx="7">
                  <c:v>0.18797321111848955</c:v>
                </c:pt>
                <c:pt idx="8">
                  <c:v>0.19334277742961867</c:v>
                </c:pt>
                <c:pt idx="9">
                  <c:v>0.18672092000376131</c:v>
                </c:pt>
                <c:pt idx="10">
                  <c:v>0.18815419060634569</c:v>
                </c:pt>
                <c:pt idx="11">
                  <c:v>0.19107019562022978</c:v>
                </c:pt>
                <c:pt idx="12">
                  <c:v>0.19377416748145165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1F-4F4C-884F-87442C4A481A}"/>
            </c:ext>
          </c:extLst>
        </c:ser>
        <c:ser>
          <c:idx val="2"/>
          <c:order val="2"/>
          <c:tx>
            <c:strRef>
              <c:f>DATOS!$A$107</c:f>
              <c:strCache>
                <c:ptCount val="1"/>
                <c:pt idx="0">
                  <c:v>VIVIENDA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DATOS!$BA$104:$BM$104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DATOS!$BA$107:$BM$107</c:f>
              <c:numCache>
                <c:formatCode>0.000%</c:formatCode>
                <c:ptCount val="13"/>
                <c:pt idx="0">
                  <c:v>0.11487927168459479</c:v>
                </c:pt>
                <c:pt idx="1">
                  <c:v>0.11382600078251603</c:v>
                </c:pt>
                <c:pt idx="2">
                  <c:v>0.10499950023286674</c:v>
                </c:pt>
                <c:pt idx="3">
                  <c:v>0.10029819089755332</c:v>
                </c:pt>
                <c:pt idx="4">
                  <c:v>8.6407157926658762E-2</c:v>
                </c:pt>
                <c:pt idx="5">
                  <c:v>0.10213174569226657</c:v>
                </c:pt>
                <c:pt idx="6">
                  <c:v>9.6315626872646387E-2</c:v>
                </c:pt>
                <c:pt idx="7">
                  <c:v>9.6401909043288381E-2</c:v>
                </c:pt>
                <c:pt idx="8">
                  <c:v>0.10998407502145802</c:v>
                </c:pt>
                <c:pt idx="9">
                  <c:v>0.11686988661326959</c:v>
                </c:pt>
                <c:pt idx="10">
                  <c:v>0.11002556308228995</c:v>
                </c:pt>
                <c:pt idx="11">
                  <c:v>0.11185051889869357</c:v>
                </c:pt>
                <c:pt idx="12">
                  <c:v>0.11134195157961568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F4-4522-A443-A920C7293744}"/>
            </c:ext>
          </c:extLst>
        </c:ser>
        <c:ser>
          <c:idx val="3"/>
          <c:order val="3"/>
          <c:tx>
            <c:strRef>
              <c:f>DATOS!$A$108</c:f>
              <c:strCache>
                <c:ptCount val="1"/>
                <c:pt idx="0">
                  <c:v>TPP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6"/>
              <c:layout>
                <c:manualLayout>
                  <c:x val="4.3680732564059339E-3"/>
                  <c:y val="3.59488293742828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84-4C7B-A7C0-3980EF4DD4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DATOS!$BA$104:$BM$104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DATOS!$BA$108:$BM$108</c:f>
              <c:numCache>
                <c:formatCode>0.00%</c:formatCode>
                <c:ptCount val="13"/>
                <c:pt idx="0">
                  <c:v>0.22528319485153001</c:v>
                </c:pt>
                <c:pt idx="1">
                  <c:v>0.22845300456447631</c:v>
                </c:pt>
                <c:pt idx="2">
                  <c:v>0.21439299423957242</c:v>
                </c:pt>
                <c:pt idx="3">
                  <c:v>0.19997411006340163</c:v>
                </c:pt>
                <c:pt idx="4">
                  <c:v>0.19106178761842962</c:v>
                </c:pt>
                <c:pt idx="5">
                  <c:v>0.19973454052676129</c:v>
                </c:pt>
                <c:pt idx="6">
                  <c:v>0.18008193577725151</c:v>
                </c:pt>
                <c:pt idx="7">
                  <c:v>0.18526990947631386</c:v>
                </c:pt>
                <c:pt idx="8">
                  <c:v>0.20215394406735304</c:v>
                </c:pt>
                <c:pt idx="9">
                  <c:v>0.20352906075091023</c:v>
                </c:pt>
                <c:pt idx="10">
                  <c:v>0.20665690983928636</c:v>
                </c:pt>
                <c:pt idx="11">
                  <c:v>0.20143974642601706</c:v>
                </c:pt>
                <c:pt idx="12">
                  <c:v>0.19729332508670169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E8-42EB-990F-7667571DE95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41299696"/>
        <c:axId val="430932944"/>
      </c:lineChart>
      <c:dateAx>
        <c:axId val="5412996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0932944"/>
        <c:crosses val="autoZero"/>
        <c:auto val="1"/>
        <c:lblOffset val="100"/>
        <c:baseTimeUnit val="months"/>
      </c:dateAx>
      <c:valAx>
        <c:axId val="430932944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541299696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33342068514110795"/>
          <c:y val="0.93443807494862918"/>
          <c:w val="0.33315862971778409"/>
          <c:h val="6.55619250513708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6117028251933699E-2"/>
          <c:y val="3.4658482049453376E-2"/>
          <c:w val="0.95081610399318617"/>
          <c:h val="0.78021367575792311"/>
        </c:manualLayout>
      </c:layout>
      <c:lineChart>
        <c:grouping val="standard"/>
        <c:varyColors val="0"/>
        <c:ser>
          <c:idx val="0"/>
          <c:order val="0"/>
          <c:tx>
            <c:strRef>
              <c:f>DATOS!$A$44</c:f>
              <c:strCache>
                <c:ptCount val="1"/>
                <c:pt idx="0">
                  <c:v>CO - Consumo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DATOS!$BA$43:$BM$43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DATOS!$BA$44:$BM$44</c:f>
              <c:numCache>
                <c:formatCode>0.00%</c:formatCode>
                <c:ptCount val="13"/>
                <c:pt idx="0">
                  <c:v>0.21628192558020709</c:v>
                </c:pt>
                <c:pt idx="1">
                  <c:v>0.2172467268262277</c:v>
                </c:pt>
                <c:pt idx="2">
                  <c:v>0.21714899299853618</c:v>
                </c:pt>
                <c:pt idx="3">
                  <c:v>0.21799145247181051</c:v>
                </c:pt>
                <c:pt idx="4">
                  <c:v>0.21808375545542957</c:v>
                </c:pt>
                <c:pt idx="5">
                  <c:v>0.21429750293291194</c:v>
                </c:pt>
                <c:pt idx="6">
                  <c:v>0.21011362585694782</c:v>
                </c:pt>
                <c:pt idx="7">
                  <c:v>0.20768420910764096</c:v>
                </c:pt>
                <c:pt idx="8">
                  <c:v>0.19720819291416136</c:v>
                </c:pt>
                <c:pt idx="9">
                  <c:v>0.18855533716614281</c:v>
                </c:pt>
                <c:pt idx="10">
                  <c:v>0.18836214397841711</c:v>
                </c:pt>
                <c:pt idx="11">
                  <c:v>0.18983594638314027</c:v>
                </c:pt>
                <c:pt idx="12">
                  <c:v>0.19117040096740068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39-420A-8759-DA70D5621C0E}"/>
            </c:ext>
          </c:extLst>
        </c:ser>
        <c:ser>
          <c:idx val="1"/>
          <c:order val="1"/>
          <c:tx>
            <c:strRef>
              <c:f>DATOS!$A$45</c:f>
              <c:strCache>
                <c:ptCount val="1"/>
                <c:pt idx="0">
                  <c:v>TP- Rotativos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DATOS!$BA$43:$BM$43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DATOS!$BA$45:$BM$45</c:f>
              <c:numCache>
                <c:formatCode>0.00%</c:formatCode>
                <c:ptCount val="13"/>
                <c:pt idx="0">
                  <c:v>0.26222638204709559</c:v>
                </c:pt>
                <c:pt idx="1">
                  <c:v>0.26475128834329631</c:v>
                </c:pt>
                <c:pt idx="2">
                  <c:v>0.26505762337239136</c:v>
                </c:pt>
                <c:pt idx="3">
                  <c:v>0.26465615205819626</c:v>
                </c:pt>
                <c:pt idx="4">
                  <c:v>0.26439391097912934</c:v>
                </c:pt>
                <c:pt idx="5">
                  <c:v>0.26371090024607691</c:v>
                </c:pt>
                <c:pt idx="6">
                  <c:v>0.26345080054156655</c:v>
                </c:pt>
                <c:pt idx="7">
                  <c:v>0.26311036573557978</c:v>
                </c:pt>
                <c:pt idx="8">
                  <c:v>0.24649025820372783</c:v>
                </c:pt>
                <c:pt idx="9">
                  <c:v>0.24630197239774998</c:v>
                </c:pt>
                <c:pt idx="10">
                  <c:v>0.24225218595088505</c:v>
                </c:pt>
                <c:pt idx="11">
                  <c:v>0.24424621550855408</c:v>
                </c:pt>
                <c:pt idx="12">
                  <c:v>0.24450252461409794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39-420A-8759-DA70D5621C0E}"/>
            </c:ext>
          </c:extLst>
        </c:ser>
        <c:ser>
          <c:idx val="2"/>
          <c:order val="2"/>
          <c:tx>
            <c:strRef>
              <c:f>DATOS!$A$46</c:f>
              <c:strCache>
                <c:ptCount val="1"/>
                <c:pt idx="0">
                  <c:v>VI - Vivienda</c:v>
                </c:pt>
              </c:strCache>
            </c:strRef>
          </c:tx>
          <c:spPr>
            <a:ln w="1270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DATOS!$BA$43:$BM$43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DATOS!$BA$46:$BM$46</c:f>
              <c:numCache>
                <c:formatCode>0.00%</c:formatCode>
                <c:ptCount val="13"/>
                <c:pt idx="0">
                  <c:v>0.11214914541188503</c:v>
                </c:pt>
                <c:pt idx="1">
                  <c:v>0.11215615292662795</c:v>
                </c:pt>
                <c:pt idx="2">
                  <c:v>0.11205943788430361</c:v>
                </c:pt>
                <c:pt idx="3">
                  <c:v>0.11140397309219852</c:v>
                </c:pt>
                <c:pt idx="4">
                  <c:v>0.11076808376759328</c:v>
                </c:pt>
                <c:pt idx="5">
                  <c:v>0.11052659602521819</c:v>
                </c:pt>
                <c:pt idx="6">
                  <c:v>0.110162733332408</c:v>
                </c:pt>
                <c:pt idx="7">
                  <c:v>0.10968583079197258</c:v>
                </c:pt>
                <c:pt idx="8">
                  <c:v>0.10789884411428363</c:v>
                </c:pt>
                <c:pt idx="9">
                  <c:v>0.10816934113272314</c:v>
                </c:pt>
                <c:pt idx="10">
                  <c:v>0.10819617412016291</c:v>
                </c:pt>
                <c:pt idx="11">
                  <c:v>0.10828969981716852</c:v>
                </c:pt>
                <c:pt idx="12">
                  <c:v>0.10869134064651242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39-420A-8759-DA70D5621C0E}"/>
            </c:ext>
          </c:extLst>
        </c:ser>
        <c:ser>
          <c:idx val="3"/>
          <c:order val="3"/>
          <c:tx>
            <c:strRef>
              <c:f>DATOS!$A$47</c:f>
              <c:strCache>
                <c:ptCount val="1"/>
                <c:pt idx="0">
                  <c:v>Total general</c:v>
                </c:pt>
              </c:strCache>
            </c:strRef>
          </c:tx>
          <c:spPr>
            <a:ln w="127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DATOS!$BA$43:$BM$43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DATOS!$BA$47:$BM$47</c:f>
              <c:numCache>
                <c:formatCode>0.00%</c:formatCode>
                <c:ptCount val="13"/>
                <c:pt idx="0">
                  <c:v>0.19981099212890441</c:v>
                </c:pt>
                <c:pt idx="1">
                  <c:v>0.20188949009099888</c:v>
                </c:pt>
                <c:pt idx="2">
                  <c:v>0.20208582530161823</c:v>
                </c:pt>
                <c:pt idx="3">
                  <c:v>0.20181363307781175</c:v>
                </c:pt>
                <c:pt idx="4">
                  <c:v>0.20130168693105954</c:v>
                </c:pt>
                <c:pt idx="5">
                  <c:v>0.19946639006299183</c:v>
                </c:pt>
                <c:pt idx="6">
                  <c:v>0.19653490037893562</c:v>
                </c:pt>
                <c:pt idx="7">
                  <c:v>0.194308244084344</c:v>
                </c:pt>
                <c:pt idx="8">
                  <c:v>0.18467993274759142</c:v>
                </c:pt>
                <c:pt idx="9">
                  <c:v>0.18040796893308153</c:v>
                </c:pt>
                <c:pt idx="10">
                  <c:v>0.17927849336512813</c:v>
                </c:pt>
                <c:pt idx="11">
                  <c:v>0.18008887866737711</c:v>
                </c:pt>
                <c:pt idx="12">
                  <c:v>0.18040795413965616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39-420A-8759-DA70D5621C0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39026384"/>
        <c:axId val="1739369168"/>
      </c:lineChart>
      <c:dateAx>
        <c:axId val="17390263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9369168"/>
        <c:crosses val="autoZero"/>
        <c:auto val="1"/>
        <c:lblOffset val="100"/>
        <c:baseTimeUnit val="months"/>
      </c:dateAx>
      <c:valAx>
        <c:axId val="1739369168"/>
        <c:scaling>
          <c:orientation val="minMax"/>
        </c:scaling>
        <c:delete val="1"/>
        <c:axPos val="l"/>
        <c:numFmt formatCode="0%" sourceLinked="0"/>
        <c:majorTickMark val="none"/>
        <c:minorTickMark val="none"/>
        <c:tickLblPos val="nextTo"/>
        <c:crossAx val="173902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8435917346611767E-2"/>
          <c:y val="6.5500498358074186E-2"/>
          <c:w val="0.93811485726501898"/>
          <c:h val="0.7800981869216379"/>
        </c:manualLayout>
      </c:layout>
      <c:lineChart>
        <c:grouping val="standard"/>
        <c:varyColors val="0"/>
        <c:ser>
          <c:idx val="0"/>
          <c:order val="0"/>
          <c:tx>
            <c:strRef>
              <c:f>DATOS!$A$18</c:f>
              <c:strCache>
                <c:ptCount val="1"/>
                <c:pt idx="0">
                  <c:v>CO - Consumo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DATOS!$BA$17:$BM$17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DATOS!$BA$18:$BM$18</c:f>
              <c:numCache>
                <c:formatCode>_-* #,##0_-;\-* #,##0_-;_-* "-"??_-;_-@_-</c:formatCode>
                <c:ptCount val="13"/>
                <c:pt idx="0">
                  <c:v>189569.16443100001</c:v>
                </c:pt>
                <c:pt idx="1">
                  <c:v>189702.21033500001</c:v>
                </c:pt>
                <c:pt idx="2">
                  <c:v>191241.64048999999</c:v>
                </c:pt>
                <c:pt idx="3">
                  <c:v>192311.300552</c:v>
                </c:pt>
                <c:pt idx="4">
                  <c:v>191636.438689</c:v>
                </c:pt>
                <c:pt idx="5">
                  <c:v>194648.27966</c:v>
                </c:pt>
                <c:pt idx="6">
                  <c:v>196456.15143999999</c:v>
                </c:pt>
                <c:pt idx="7">
                  <c:v>197152.9878</c:v>
                </c:pt>
                <c:pt idx="8">
                  <c:v>196138.77372299999</c:v>
                </c:pt>
                <c:pt idx="9">
                  <c:v>203953.11782799999</c:v>
                </c:pt>
                <c:pt idx="10">
                  <c:v>200214.12185200001</c:v>
                </c:pt>
                <c:pt idx="11">
                  <c:v>197648.65289100001</c:v>
                </c:pt>
                <c:pt idx="12">
                  <c:v>194798.42125399999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97C-40B0-B0F9-71FC4D324783}"/>
            </c:ext>
          </c:extLst>
        </c:ser>
        <c:ser>
          <c:idx val="1"/>
          <c:order val="1"/>
          <c:tx>
            <c:strRef>
              <c:f>DATOS!$A$19</c:f>
              <c:strCache>
                <c:ptCount val="1"/>
                <c:pt idx="0">
                  <c:v>TP- Rotativos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DATOS!$BA$17:$BM$17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DATOS!$BA$19:$BM$19</c:f>
              <c:numCache>
                <c:formatCode>_-* #,##0_-;\-* #,##0_-;_-* "-"??_-;_-@_-</c:formatCode>
                <c:ptCount val="13"/>
                <c:pt idx="0">
                  <c:v>88516.290403000006</c:v>
                </c:pt>
                <c:pt idx="1">
                  <c:v>95634.061363999994</c:v>
                </c:pt>
                <c:pt idx="2">
                  <c:v>98525.122174999997</c:v>
                </c:pt>
                <c:pt idx="3">
                  <c:v>98330.610625000001</c:v>
                </c:pt>
                <c:pt idx="4">
                  <c:v>98552.628295999995</c:v>
                </c:pt>
                <c:pt idx="5">
                  <c:v>100246.240978</c:v>
                </c:pt>
                <c:pt idx="6">
                  <c:v>98015.009223999994</c:v>
                </c:pt>
                <c:pt idx="7">
                  <c:v>96714.958406000005</c:v>
                </c:pt>
                <c:pt idx="8">
                  <c:v>96053.413931999996</c:v>
                </c:pt>
                <c:pt idx="9">
                  <c:v>95524.448399999994</c:v>
                </c:pt>
                <c:pt idx="10">
                  <c:v>94670.731799000001</c:v>
                </c:pt>
                <c:pt idx="11">
                  <c:v>93873.042705999993</c:v>
                </c:pt>
                <c:pt idx="12">
                  <c:v>91825.585867999995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97C-40B0-B0F9-71FC4D324783}"/>
            </c:ext>
          </c:extLst>
        </c:ser>
        <c:ser>
          <c:idx val="2"/>
          <c:order val="2"/>
          <c:tx>
            <c:strRef>
              <c:f>DATOS!$A$20</c:f>
              <c:strCache>
                <c:ptCount val="1"/>
                <c:pt idx="0">
                  <c:v>VI - Vivienda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DATOS!$BA$17:$BM$17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DATOS!$BA$20:$BM$20</c:f>
              <c:numCache>
                <c:formatCode>_-* #,##0_-;\-* #,##0_-;_-* "-"??_-;_-@_-</c:formatCode>
                <c:ptCount val="13"/>
                <c:pt idx="0">
                  <c:v>93673.929090000005</c:v>
                </c:pt>
                <c:pt idx="1">
                  <c:v>94328.086118000007</c:v>
                </c:pt>
                <c:pt idx="2">
                  <c:v>95680.756156999996</c:v>
                </c:pt>
                <c:pt idx="3">
                  <c:v>97434.096512999997</c:v>
                </c:pt>
                <c:pt idx="4">
                  <c:v>98792.381187999999</c:v>
                </c:pt>
                <c:pt idx="5">
                  <c:v>99420.408951000005</c:v>
                </c:pt>
                <c:pt idx="6">
                  <c:v>101268.624088</c:v>
                </c:pt>
                <c:pt idx="7">
                  <c:v>104093.645871</c:v>
                </c:pt>
                <c:pt idx="8">
                  <c:v>104160.22784599999</c:v>
                </c:pt>
                <c:pt idx="9">
                  <c:v>104850.557214</c:v>
                </c:pt>
                <c:pt idx="10">
                  <c:v>104381.659186</c:v>
                </c:pt>
                <c:pt idx="11">
                  <c:v>105529.623288</c:v>
                </c:pt>
                <c:pt idx="12">
                  <c:v>106128.56307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97C-40B0-B0F9-71FC4D324783}"/>
            </c:ext>
          </c:extLst>
        </c:ser>
        <c:ser>
          <c:idx val="3"/>
          <c:order val="3"/>
          <c:tx>
            <c:strRef>
              <c:f>DATOS!$A$21</c:f>
              <c:strCache>
                <c:ptCount val="1"/>
                <c:pt idx="0">
                  <c:v>Total general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DATOS!$BA$17:$BM$17</c:f>
              <c:numCache>
                <c:formatCode>mmm\-yy</c:formatCode>
                <c:ptCount val="13"/>
                <c:pt idx="0">
                  <c:v>45627</c:v>
                </c:pt>
                <c:pt idx="1">
                  <c:v>45658</c:v>
                </c:pt>
                <c:pt idx="2">
                  <c:v>45689</c:v>
                </c:pt>
                <c:pt idx="3">
                  <c:v>45717</c:v>
                </c:pt>
                <c:pt idx="4">
                  <c:v>45748</c:v>
                </c:pt>
                <c:pt idx="5">
                  <c:v>45778</c:v>
                </c:pt>
                <c:pt idx="6">
                  <c:v>45809</c:v>
                </c:pt>
                <c:pt idx="7">
                  <c:v>45839</c:v>
                </c:pt>
                <c:pt idx="8">
                  <c:v>45870</c:v>
                </c:pt>
                <c:pt idx="9">
                  <c:v>45901</c:v>
                </c:pt>
                <c:pt idx="10">
                  <c:v>45931</c:v>
                </c:pt>
                <c:pt idx="11">
                  <c:v>45962</c:v>
                </c:pt>
                <c:pt idx="12">
                  <c:v>45992</c:v>
                </c:pt>
              </c:numCache>
            </c:numRef>
          </c:cat>
          <c:val>
            <c:numRef>
              <c:f>DATOS!$BA$21:$BM$21</c:f>
              <c:numCache>
                <c:formatCode>_-* #,##0_-;\-* #,##0_-;_-* "-"??_-;_-@_-</c:formatCode>
                <c:ptCount val="13"/>
                <c:pt idx="0">
                  <c:v>371759.38392400002</c:v>
                </c:pt>
                <c:pt idx="1">
                  <c:v>379664.35781700001</c:v>
                </c:pt>
                <c:pt idx="2">
                  <c:v>385447.51882200001</c:v>
                </c:pt>
                <c:pt idx="3">
                  <c:v>388076.00769</c:v>
                </c:pt>
                <c:pt idx="4">
                  <c:v>388981.44817300001</c:v>
                </c:pt>
                <c:pt idx="5">
                  <c:v>394314.92958900001</c:v>
                </c:pt>
                <c:pt idx="6">
                  <c:v>395739.78475199995</c:v>
                </c:pt>
                <c:pt idx="7">
                  <c:v>397961.59207700001</c:v>
                </c:pt>
                <c:pt idx="8">
                  <c:v>396352.41550100001</c:v>
                </c:pt>
                <c:pt idx="9">
                  <c:v>404328.12344200001</c:v>
                </c:pt>
                <c:pt idx="10">
                  <c:v>399266.51283700002</c:v>
                </c:pt>
                <c:pt idx="11">
                  <c:v>397051.31888500002</c:v>
                </c:pt>
                <c:pt idx="12">
                  <c:v>392752.57019200001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FF-446E-977C-878E6632BE8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39026384"/>
        <c:axId val="1739369168"/>
      </c:lineChart>
      <c:dateAx>
        <c:axId val="17390263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9369168"/>
        <c:crosses val="autoZero"/>
        <c:auto val="1"/>
        <c:lblOffset val="100"/>
        <c:baseTimeUnit val="months"/>
      </c:dateAx>
      <c:valAx>
        <c:axId val="1739369168"/>
        <c:scaling>
          <c:orientation val="minMax"/>
        </c:scaling>
        <c:delete val="1"/>
        <c:axPos val="l"/>
        <c:numFmt formatCode="#,##0" sourceLinked="0"/>
        <c:majorTickMark val="none"/>
        <c:minorTickMark val="none"/>
        <c:tickLblPos val="nextTo"/>
        <c:crossAx val="173902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Evolución  de Tasas</a:t>
            </a:r>
            <a:r>
              <a:rPr lang="es-CO" baseline="0"/>
              <a:t> Promedio</a:t>
            </a:r>
          </a:p>
        </c:rich>
      </c:tx>
      <c:layout>
        <c:manualLayout>
          <c:xMode val="edge"/>
          <c:yMode val="edge"/>
          <c:x val="0.429767056099782"/>
          <c:y val="3.25998453689224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DATOS!$A$37</c:f>
              <c:strCache>
                <c:ptCount val="1"/>
                <c:pt idx="0">
                  <c:v>CO - Consumo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DATOS!$E$36:$O$36</c:f>
            </c:numRef>
          </c:xVal>
          <c:yVal>
            <c:numRef>
              <c:f>DATOS!$E$37:$O$37</c:f>
            </c:numRef>
          </c:yVal>
          <c:smooth val="1"/>
          <c:extLst>
            <c:ext xmlns:c16="http://schemas.microsoft.com/office/drawing/2014/chart" uri="{C3380CC4-5D6E-409C-BE32-E72D297353CC}">
              <c16:uniqueId val="{00000000-2901-49FC-8A22-3822AD112D2D}"/>
            </c:ext>
          </c:extLst>
        </c:ser>
        <c:ser>
          <c:idx val="1"/>
          <c:order val="1"/>
          <c:tx>
            <c:strRef>
              <c:f>DATOS!$A$39</c:f>
              <c:strCache>
                <c:ptCount val="1"/>
                <c:pt idx="0">
                  <c:v>VI - Vivienda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DATOS!$E$36:$O$36</c:f>
            </c:numRef>
          </c:xVal>
          <c:yVal>
            <c:numRef>
              <c:f>DATOS!$E$39:$O$39</c:f>
            </c:numRef>
          </c:yVal>
          <c:smooth val="1"/>
          <c:extLst>
            <c:ext xmlns:c16="http://schemas.microsoft.com/office/drawing/2014/chart" uri="{C3380CC4-5D6E-409C-BE32-E72D297353CC}">
              <c16:uniqueId val="{00000001-2901-49FC-8A22-3822AD112D2D}"/>
            </c:ext>
          </c:extLst>
        </c:ser>
        <c:ser>
          <c:idx val="2"/>
          <c:order val="2"/>
          <c:tx>
            <c:strRef>
              <c:f>DATOS!$A$40</c:f>
              <c:strCache>
                <c:ptCount val="1"/>
                <c:pt idx="0">
                  <c:v>Total general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DATOS!$E$36:$O$36</c:f>
            </c:numRef>
          </c:xVal>
          <c:yVal>
            <c:numRef>
              <c:f>DATOS!$E$40:$O$40</c:f>
            </c:numRef>
          </c:yVal>
          <c:smooth val="1"/>
          <c:extLst>
            <c:ext xmlns:c16="http://schemas.microsoft.com/office/drawing/2014/chart" uri="{C3380CC4-5D6E-409C-BE32-E72D297353CC}">
              <c16:uniqueId val="{00000002-2901-49FC-8A22-3822AD112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049647"/>
        <c:axId val="612075007"/>
      </c:scatterChart>
      <c:valAx>
        <c:axId val="321049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2075007"/>
        <c:crosses val="autoZero"/>
        <c:crossBetween val="midCat"/>
      </c:valAx>
      <c:valAx>
        <c:axId val="612075007"/>
        <c:scaling>
          <c:orientation val="minMax"/>
          <c:max val="20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0_-;\-* #,##0.000_-;_-* &quot;-&quot;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1049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Ánalisis</a:t>
            </a:r>
            <a:r>
              <a:rPr lang="es-CO" baseline="0"/>
              <a:t> de variaciones saldos de cartera mes a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DATOS!$A$24</c:f>
              <c:strCache>
                <c:ptCount val="1"/>
                <c:pt idx="0">
                  <c:v>CO - Consumo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DATOS!$F$23:$O$23</c:f>
            </c:numRef>
          </c:xVal>
          <c:yVal>
            <c:numRef>
              <c:f>DATOS!$F$24:$O$24</c:f>
            </c:numRef>
          </c:yVal>
          <c:smooth val="1"/>
          <c:extLst>
            <c:ext xmlns:c16="http://schemas.microsoft.com/office/drawing/2014/chart" uri="{C3380CC4-5D6E-409C-BE32-E72D297353CC}">
              <c16:uniqueId val="{00000000-033C-4AB2-9686-AC7AF1C9F6DC}"/>
            </c:ext>
          </c:extLst>
        </c:ser>
        <c:ser>
          <c:idx val="1"/>
          <c:order val="1"/>
          <c:tx>
            <c:strRef>
              <c:f>DATOS!$A$26</c:f>
              <c:strCache>
                <c:ptCount val="1"/>
                <c:pt idx="0">
                  <c:v>VI - Vivienda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DATOS!$F$23:$O$23</c:f>
            </c:numRef>
          </c:xVal>
          <c:yVal>
            <c:numRef>
              <c:f>DATOS!$F$26:$O$26</c:f>
            </c:numRef>
          </c:yVal>
          <c:smooth val="1"/>
          <c:extLst>
            <c:ext xmlns:c16="http://schemas.microsoft.com/office/drawing/2014/chart" uri="{C3380CC4-5D6E-409C-BE32-E72D297353CC}">
              <c16:uniqueId val="{00000001-033C-4AB2-9686-AC7AF1C9F6DC}"/>
            </c:ext>
          </c:extLst>
        </c:ser>
        <c:ser>
          <c:idx val="2"/>
          <c:order val="2"/>
          <c:tx>
            <c:strRef>
              <c:f>DATOS!$A$27</c:f>
              <c:strCache>
                <c:ptCount val="1"/>
                <c:pt idx="0">
                  <c:v>Total general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DATOS!$F$23:$O$23</c:f>
            </c:numRef>
          </c:xVal>
          <c:yVal>
            <c:numRef>
              <c:f>DATOS!$F$27:$O$27</c:f>
            </c:numRef>
          </c:yVal>
          <c:smooth val="1"/>
          <c:extLst>
            <c:ext xmlns:c16="http://schemas.microsoft.com/office/drawing/2014/chart" uri="{C3380CC4-5D6E-409C-BE32-E72D297353CC}">
              <c16:uniqueId val="{00000002-033C-4AB2-9686-AC7AF1C9F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639295"/>
        <c:axId val="248580895"/>
      </c:scatterChart>
      <c:valAx>
        <c:axId val="382639295"/>
        <c:scaling>
          <c:orientation val="minMax"/>
        </c:scaling>
        <c:delete val="0"/>
        <c:axPos val="b"/>
        <c:numFmt formatCode="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48580895"/>
        <c:crosses val="autoZero"/>
        <c:crossBetween val="midCat"/>
      </c:valAx>
      <c:valAx>
        <c:axId val="248580895"/>
        <c:scaling>
          <c:orientation val="minMax"/>
        </c:scaling>
        <c:delete val="0"/>
        <c:axPos val="l"/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82639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Evolucion</a:t>
            </a:r>
            <a:r>
              <a:rPr lang="es-CO" baseline="0"/>
              <a:t> de saldos por mes vs Saldo Dic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DATOS!$A$30</c:f>
              <c:strCache>
                <c:ptCount val="1"/>
                <c:pt idx="0">
                  <c:v>CO - Consumo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DATOS!$F$29:$O$29</c:f>
            </c:numRef>
          </c:xVal>
          <c:yVal>
            <c:numRef>
              <c:f>DATOS!$F$30:$O$30</c:f>
            </c:numRef>
          </c:yVal>
          <c:smooth val="0"/>
          <c:extLst>
            <c:ext xmlns:c16="http://schemas.microsoft.com/office/drawing/2014/chart" uri="{C3380CC4-5D6E-409C-BE32-E72D297353CC}">
              <c16:uniqueId val="{00000000-B2F5-4BC5-9B19-67839E0312BF}"/>
            </c:ext>
          </c:extLst>
        </c:ser>
        <c:ser>
          <c:idx val="1"/>
          <c:order val="1"/>
          <c:tx>
            <c:strRef>
              <c:f>DATOS!$A$32</c:f>
              <c:strCache>
                <c:ptCount val="1"/>
                <c:pt idx="0">
                  <c:v>VI - Vivienda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DATOS!$F$29:$O$29</c:f>
            </c:numRef>
          </c:xVal>
          <c:yVal>
            <c:numRef>
              <c:f>DATOS!$F$32:$O$32</c:f>
            </c:numRef>
          </c:yVal>
          <c:smooth val="0"/>
          <c:extLst>
            <c:ext xmlns:c16="http://schemas.microsoft.com/office/drawing/2014/chart" uri="{C3380CC4-5D6E-409C-BE32-E72D297353CC}">
              <c16:uniqueId val="{00000001-B2F5-4BC5-9B19-67839E0312BF}"/>
            </c:ext>
          </c:extLst>
        </c:ser>
        <c:ser>
          <c:idx val="2"/>
          <c:order val="2"/>
          <c:tx>
            <c:strRef>
              <c:f>DATOS!$A$33</c:f>
              <c:strCache>
                <c:ptCount val="1"/>
                <c:pt idx="0">
                  <c:v>Total general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DATOS!$F$29:$O$29</c:f>
            </c:numRef>
          </c:xVal>
          <c:yVal>
            <c:numRef>
              <c:f>DATOS!$F$33:$O$33</c:f>
            </c:numRef>
          </c:yVal>
          <c:smooth val="0"/>
          <c:extLst>
            <c:ext xmlns:c16="http://schemas.microsoft.com/office/drawing/2014/chart" uri="{C3380CC4-5D6E-409C-BE32-E72D297353CC}">
              <c16:uniqueId val="{00000002-B2F5-4BC5-9B19-67839E031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805759"/>
        <c:axId val="612077919"/>
      </c:scatterChart>
      <c:valAx>
        <c:axId val="38680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2077919"/>
        <c:crosses val="autoZero"/>
        <c:crossBetween val="midCat"/>
      </c:valAx>
      <c:valAx>
        <c:axId val="61207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86805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Evolución</a:t>
            </a:r>
            <a:r>
              <a:rPr lang="es-CO" baseline="0"/>
              <a:t> de Saldos Cartera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DATOS!$A$18</c:f>
              <c:strCache>
                <c:ptCount val="1"/>
                <c:pt idx="0">
                  <c:v>CO - Consumo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DATOS!$F$17:$O$17</c:f>
            </c:multiLvlStrRef>
          </c:cat>
          <c:val>
            <c:numRef>
              <c:f>DATOS!$E$18:$O$18</c:f>
            </c:numRef>
          </c:val>
          <c:extLst>
            <c:ext xmlns:c16="http://schemas.microsoft.com/office/drawing/2014/chart" uri="{C3380CC4-5D6E-409C-BE32-E72D297353CC}">
              <c16:uniqueId val="{00000000-307A-4D1F-8FBC-5F71C2AA8DDB}"/>
            </c:ext>
          </c:extLst>
        </c:ser>
        <c:ser>
          <c:idx val="1"/>
          <c:order val="1"/>
          <c:tx>
            <c:strRef>
              <c:f>DATOS!$A$20</c:f>
              <c:strCache>
                <c:ptCount val="1"/>
                <c:pt idx="0">
                  <c:v>VI - Vivienda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DATOS!$F$17:$O$17</c:f>
            </c:multiLvlStrRef>
          </c:cat>
          <c:val>
            <c:numRef>
              <c:f>DATOS!$E$20:$O$20</c:f>
            </c:numRef>
          </c:val>
          <c:extLst>
            <c:ext xmlns:c16="http://schemas.microsoft.com/office/drawing/2014/chart" uri="{C3380CC4-5D6E-409C-BE32-E72D297353CC}">
              <c16:uniqueId val="{00000001-307A-4D1F-8FBC-5F71C2AA8DDB}"/>
            </c:ext>
          </c:extLst>
        </c:ser>
        <c:ser>
          <c:idx val="2"/>
          <c:order val="2"/>
          <c:tx>
            <c:strRef>
              <c:f>DATOS!$A$21</c:f>
              <c:strCache>
                <c:ptCount val="1"/>
                <c:pt idx="0">
                  <c:v>Total general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DATOS!$F$17:$O$17</c:f>
            </c:multiLvlStrRef>
          </c:cat>
          <c:val>
            <c:numRef>
              <c:f>DATOS!$E$21:$O$21</c:f>
            </c:numRef>
          </c:val>
          <c:extLst>
            <c:ext xmlns:c16="http://schemas.microsoft.com/office/drawing/2014/chart" uri="{C3380CC4-5D6E-409C-BE32-E72D297353CC}">
              <c16:uniqueId val="{00000002-307A-4D1F-8FBC-5F71C2AA8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0101055"/>
        <c:axId val="1444474991"/>
      </c:barChart>
      <c:catAx>
        <c:axId val="145010105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44474991"/>
        <c:crosses val="autoZero"/>
        <c:auto val="1"/>
        <c:lblAlgn val="ctr"/>
        <c:lblOffset val="100"/>
        <c:noMultiLvlLbl val="1"/>
      </c:catAx>
      <c:valAx>
        <c:axId val="144447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50101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Posición PRESENTE en tasas</a:t>
            </a:r>
            <a:r>
              <a:rPr lang="es-CO" baseline="0"/>
              <a:t> de Creditos</a:t>
            </a:r>
            <a:endParaRPr lang="es-CO"/>
          </a:p>
        </c:rich>
      </c:tx>
      <c:layout>
        <c:manualLayout>
          <c:xMode val="edge"/>
          <c:yMode val="edge"/>
          <c:x val="0.2207915573053368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9358705161854772E-2"/>
          <c:y val="0.17171296296296298"/>
          <c:w val="0.90286351706036749"/>
          <c:h val="0.54001822688830559"/>
        </c:manualLayout>
      </c:layout>
      <c:lineChart>
        <c:grouping val="standard"/>
        <c:varyColors val="0"/>
        <c:ser>
          <c:idx val="0"/>
          <c:order val="0"/>
          <c:tx>
            <c:strRef>
              <c:f>'Evolución Rking'!$B$3</c:f>
              <c:strCache>
                <c:ptCount val="1"/>
                <c:pt idx="0">
                  <c:v>VIS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'Evolución Rking'!$A$18:$A$30</c:f>
              <c:numCache>
                <c:formatCode>mmm\-yy</c:formatCode>
                <c:ptCount val="13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</c:numCache>
            </c:numRef>
          </c:cat>
          <c:val>
            <c:numRef>
              <c:f>'Evolución Rking'!$B$18:$B$30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03-4620-BB25-F4C625A4D57D}"/>
            </c:ext>
          </c:extLst>
        </c:ser>
        <c:ser>
          <c:idx val="1"/>
          <c:order val="1"/>
          <c:tx>
            <c:strRef>
              <c:f>'Evolución Rking'!$C$3</c:f>
              <c:strCache>
                <c:ptCount val="1"/>
                <c:pt idx="0">
                  <c:v>NO VIS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'Evolución Rking'!$A$18:$A$30</c:f>
              <c:numCache>
                <c:formatCode>mmm\-yy</c:formatCode>
                <c:ptCount val="13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</c:numCache>
            </c:numRef>
          </c:cat>
          <c:val>
            <c:numRef>
              <c:f>'Evolución Rking'!$C$18:$C$30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5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03-4620-BB25-F4C625A4D57D}"/>
            </c:ext>
          </c:extLst>
        </c:ser>
        <c:ser>
          <c:idx val="2"/>
          <c:order val="2"/>
          <c:tx>
            <c:strRef>
              <c:f>'Evolución Rking'!$D$3</c:f>
              <c:strCache>
                <c:ptCount val="1"/>
                <c:pt idx="0">
                  <c:v>LIBRE INVERSION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'Evolución Rking'!$A$18:$A$30</c:f>
              <c:numCache>
                <c:formatCode>mmm\-yy</c:formatCode>
                <c:ptCount val="13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</c:numCache>
            </c:numRef>
          </c:cat>
          <c:val>
            <c:numRef>
              <c:f>'Evolución Rking'!$D$18:$D$30</c:f>
              <c:numCache>
                <c:formatCode>General</c:formatCode>
                <c:ptCount val="13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8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03-4620-BB25-F4C625A4D57D}"/>
            </c:ext>
          </c:extLst>
        </c:ser>
        <c:ser>
          <c:idx val="3"/>
          <c:order val="3"/>
          <c:tx>
            <c:strRef>
              <c:f>'Evolución Rking'!$E$3</c:f>
              <c:strCache>
                <c:ptCount val="1"/>
                <c:pt idx="0">
                  <c:v>VEHICULO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'Evolución Rking'!$A$18:$A$30</c:f>
              <c:numCache>
                <c:formatCode>mmm\-yy</c:formatCode>
                <c:ptCount val="13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</c:numCache>
            </c:numRef>
          </c:cat>
          <c:val>
            <c:numRef>
              <c:f>'Evolución Rking'!$E$18:$E$30</c:f>
              <c:numCache>
                <c:formatCode>General</c:formatCode>
                <c:ptCount val="13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  <c:pt idx="9">
                  <c:v>6</c:v>
                </c:pt>
                <c:pt idx="1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03-4620-BB25-F4C625A4D57D}"/>
            </c:ext>
          </c:extLst>
        </c:ser>
        <c:ser>
          <c:idx val="4"/>
          <c:order val="4"/>
          <c:tx>
            <c:strRef>
              <c:f>'Evolución Rking'!$F$3</c:f>
              <c:strCache>
                <c:ptCount val="1"/>
                <c:pt idx="0">
                  <c:v>TARJETA</c:v>
                </c:pt>
              </c:strCache>
            </c:strRef>
          </c:tx>
          <c:spPr>
            <a:ln w="952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'Evolución Rking'!$A$18:$A$30</c:f>
              <c:numCache>
                <c:formatCode>mmm\-yy</c:formatCode>
                <c:ptCount val="13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</c:numCache>
            </c:numRef>
          </c:cat>
          <c:val>
            <c:numRef>
              <c:f>'Evolución Rking'!$F$17:$F$29</c:f>
              <c:numCache>
                <c:formatCode>General</c:formatCode>
                <c:ptCount val="13"/>
                <c:pt idx="0">
                  <c:v>3</c:v>
                </c:pt>
                <c:pt idx="1">
                  <c:v>3</c:v>
                </c:pt>
                <c:pt idx="2">
                  <c:v>7</c:v>
                </c:pt>
                <c:pt idx="3">
                  <c:v>12</c:v>
                </c:pt>
                <c:pt idx="4">
                  <c:v>12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11</c:v>
                </c:pt>
                <c:pt idx="11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03-4620-BB25-F4C625A4D57D}"/>
            </c:ext>
          </c:extLst>
        </c:ser>
        <c:ser>
          <c:idx val="5"/>
          <c:order val="5"/>
          <c:tx>
            <c:strRef>
              <c:f>'Evolución Rking'!$G$3</c:f>
              <c:strCache>
                <c:ptCount val="1"/>
                <c:pt idx="0">
                  <c:v>COMPRA CARTERA</c:v>
                </c:pt>
              </c:strCache>
            </c:strRef>
          </c:tx>
          <c:spPr>
            <a:ln w="952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'Evolución Rking'!$A$18:$A$30</c:f>
              <c:numCache>
                <c:formatCode>mmm\-yy</c:formatCode>
                <c:ptCount val="13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</c:numCache>
            </c:numRef>
          </c:cat>
          <c:val>
            <c:numRef>
              <c:f>'Evolución Rking'!$G$18:$G$30</c:f>
              <c:numCache>
                <c:formatCode>General</c:formatCode>
                <c:ptCount val="13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7</c:v>
                </c:pt>
                <c:pt idx="5">
                  <c:v>5</c:v>
                </c:pt>
                <c:pt idx="6">
                  <c:v>5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03-4620-BB25-F4C625A4D57D}"/>
            </c:ext>
          </c:extLst>
        </c:ser>
        <c:ser>
          <c:idx val="6"/>
          <c:order val="6"/>
          <c:tx>
            <c:strRef>
              <c:f>'Evolución Rking'!$H$3</c:f>
              <c:strCache>
                <c:ptCount val="1"/>
                <c:pt idx="0">
                  <c:v>CREDITOS ROTATIVOS</c:v>
                </c:pt>
              </c:strCache>
            </c:strRef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'Evolución Rking'!$A$18:$A$30</c:f>
              <c:numCache>
                <c:formatCode>mmm\-yy</c:formatCode>
                <c:ptCount val="13"/>
                <c:pt idx="0">
                  <c:v>45200</c:v>
                </c:pt>
                <c:pt idx="1">
                  <c:v>45231</c:v>
                </c:pt>
                <c:pt idx="2">
                  <c:v>45261</c:v>
                </c:pt>
                <c:pt idx="3">
                  <c:v>45292</c:v>
                </c:pt>
                <c:pt idx="4">
                  <c:v>45323</c:v>
                </c:pt>
                <c:pt idx="5">
                  <c:v>45352</c:v>
                </c:pt>
                <c:pt idx="6">
                  <c:v>45383</c:v>
                </c:pt>
                <c:pt idx="7">
                  <c:v>45413</c:v>
                </c:pt>
                <c:pt idx="8">
                  <c:v>45444</c:v>
                </c:pt>
                <c:pt idx="9">
                  <c:v>45474</c:v>
                </c:pt>
                <c:pt idx="10">
                  <c:v>45505</c:v>
                </c:pt>
                <c:pt idx="11">
                  <c:v>45536</c:v>
                </c:pt>
                <c:pt idx="12">
                  <c:v>45566</c:v>
                </c:pt>
              </c:numCache>
            </c:numRef>
          </c:cat>
          <c:val>
            <c:numRef>
              <c:f>'Evolución Rking'!$H$18:$H$30</c:f>
              <c:numCache>
                <c:formatCode>General</c:formatCode>
                <c:ptCount val="13"/>
                <c:pt idx="0">
                  <c:v>7</c:v>
                </c:pt>
                <c:pt idx="1">
                  <c:v>9</c:v>
                </c:pt>
                <c:pt idx="2">
                  <c:v>10</c:v>
                </c:pt>
                <c:pt idx="3">
                  <c:v>9</c:v>
                </c:pt>
                <c:pt idx="4">
                  <c:v>6</c:v>
                </c:pt>
                <c:pt idx="5">
                  <c:v>6</c:v>
                </c:pt>
                <c:pt idx="6">
                  <c:v>4</c:v>
                </c:pt>
                <c:pt idx="7">
                  <c:v>3</c:v>
                </c:pt>
                <c:pt idx="8">
                  <c:v>6</c:v>
                </c:pt>
                <c:pt idx="9">
                  <c:v>9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003-4620-BB25-F4C625A4D57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95792048"/>
        <c:axId val="2095780400"/>
      </c:lineChart>
      <c:dateAx>
        <c:axId val="20957920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5780400"/>
        <c:crosses val="autoZero"/>
        <c:auto val="1"/>
        <c:lblOffset val="100"/>
        <c:baseTimeUnit val="months"/>
      </c:dateAx>
      <c:valAx>
        <c:axId val="2095780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579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34444</xdr:colOff>
      <xdr:row>68</xdr:row>
      <xdr:rowOff>142473</xdr:rowOff>
    </xdr:from>
    <xdr:to>
      <xdr:col>79</xdr:col>
      <xdr:colOff>80334</xdr:colOff>
      <xdr:row>85</xdr:row>
      <xdr:rowOff>155760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CF46ACE-95A4-4400-AC87-10F0F076A7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67</xdr:col>
      <xdr:colOff>48257</xdr:colOff>
      <xdr:row>88</xdr:row>
      <xdr:rowOff>159078</xdr:rowOff>
    </xdr:from>
    <xdr:to>
      <xdr:col>79</xdr:col>
      <xdr:colOff>170722</xdr:colOff>
      <xdr:row>107</xdr:row>
      <xdr:rowOff>45685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72E26B-5459-40A0-B939-C12BF5378B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67</xdr:col>
      <xdr:colOff>81094</xdr:colOff>
      <xdr:row>45</xdr:row>
      <xdr:rowOff>169725</xdr:rowOff>
    </xdr:from>
    <xdr:to>
      <xdr:col>79</xdr:col>
      <xdr:colOff>443073</xdr:colOff>
      <xdr:row>63</xdr:row>
      <xdr:rowOff>15550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215140-2E60-ABBE-9AA4-DBC51AD4B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66</xdr:col>
      <xdr:colOff>1282783</xdr:colOff>
      <xdr:row>22</xdr:row>
      <xdr:rowOff>44532</xdr:rowOff>
    </xdr:from>
    <xdr:to>
      <xdr:col>79</xdr:col>
      <xdr:colOff>243227</xdr:colOff>
      <xdr:row>39</xdr:row>
      <xdr:rowOff>102194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2CF1E5-1B6D-409C-84E4-8CFFDF8314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71438</xdr:colOff>
      <xdr:row>16</xdr:row>
      <xdr:rowOff>133350</xdr:rowOff>
    </xdr:from>
    <xdr:to>
      <xdr:col>10</xdr:col>
      <xdr:colOff>604838</xdr:colOff>
      <xdr:row>33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C0ACF49-64F8-4B8C-8A40-B9E0F4DD7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752475</xdr:colOff>
      <xdr:row>0</xdr:row>
      <xdr:rowOff>0</xdr:rowOff>
    </xdr:from>
    <xdr:to>
      <xdr:col>22</xdr:col>
      <xdr:colOff>118223</xdr:colOff>
      <xdr:row>21</xdr:row>
      <xdr:rowOff>33618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29F4192-D139-4551-A87D-8406247820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170848</xdr:colOff>
      <xdr:row>0</xdr:row>
      <xdr:rowOff>0</xdr:rowOff>
    </xdr:from>
    <xdr:to>
      <xdr:col>34</xdr:col>
      <xdr:colOff>381000</xdr:colOff>
      <xdr:row>21</xdr:row>
      <xdr:rowOff>142874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1A00C7DF-160D-479E-BCB6-14BE6E7A8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0</xdr:row>
      <xdr:rowOff>0</xdr:rowOff>
    </xdr:from>
    <xdr:to>
      <xdr:col>10</xdr:col>
      <xdr:colOff>485775</xdr:colOff>
      <xdr:row>16</xdr:row>
      <xdr:rowOff>142874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0356A6D-5527-4C03-B5F0-CF40293D6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666750</xdr:colOff>
      <xdr:row>1</xdr:row>
      <xdr:rowOff>127000</xdr:rowOff>
    </xdr:from>
    <xdr:to>
      <xdr:col>18</xdr:col>
      <xdr:colOff>83343</xdr:colOff>
      <xdr:row>18</xdr:row>
      <xdr:rowOff>3175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6343525-D282-4420-9C28-41DEE1131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06EBD-BA97-4830-9751-3B8F210D43DD}">
  <dimension ref="A1:CC135"/>
  <sheetViews>
    <sheetView showGridLines="0" tabSelected="1" topLeftCell="A24" zoomScale="80" zoomScaleNormal="80" workbookViewId="0">
      <pane xSplit="1" topLeftCell="BO1" activePane="topRight" state="frozen"/>
      <selection activeCell="M34" sqref="M34"/>
      <selection pane="topRight" activeCell="A17" activeCellId="1" sqref="BA17:BM21 A17:A21"/>
    </sheetView>
  </sheetViews>
  <sheetFormatPr baseColWidth="10" defaultRowHeight="15" x14ac:dyDescent="0.25"/>
  <cols>
    <col min="1" max="1" width="29.85546875" bestFit="1" customWidth="1"/>
    <col min="2" max="2" width="16.28515625" customWidth="1"/>
    <col min="3" max="5" width="16.28515625" hidden="1" customWidth="1"/>
    <col min="6" max="15" width="18.85546875" hidden="1" customWidth="1"/>
    <col min="16" max="17" width="16.28515625" hidden="1" customWidth="1"/>
    <col min="18" max="40" width="17.140625" hidden="1" customWidth="1"/>
    <col min="41" max="55" width="17.140625" customWidth="1"/>
    <col min="56" max="56" width="16.7109375" customWidth="1"/>
    <col min="57" max="65" width="17.140625" customWidth="1"/>
    <col min="66" max="66" width="18.7109375" bestFit="1" customWidth="1"/>
    <col min="67" max="67" width="19.85546875" customWidth="1"/>
    <col min="68" max="68" width="15.28515625" customWidth="1"/>
    <col min="69" max="69" width="18.85546875" customWidth="1"/>
    <col min="70" max="70" width="12.5703125" bestFit="1" customWidth="1"/>
    <col min="71" max="71" width="19" bestFit="1" customWidth="1"/>
    <col min="72" max="96" width="12.5703125" bestFit="1" customWidth="1"/>
  </cols>
  <sheetData>
    <row r="1" spans="1:81" hidden="1" x14ac:dyDescent="0.25"/>
    <row r="2" spans="1:81" hidden="1" x14ac:dyDescent="0.25">
      <c r="A2" t="s">
        <v>11</v>
      </c>
      <c r="F2" s="2">
        <v>43831</v>
      </c>
      <c r="G2" s="2">
        <v>43862</v>
      </c>
      <c r="H2" s="2">
        <v>43891</v>
      </c>
      <c r="I2" s="2">
        <v>43922</v>
      </c>
      <c r="J2" s="2">
        <v>43952</v>
      </c>
      <c r="K2" s="2">
        <v>43983</v>
      </c>
      <c r="L2" s="2">
        <v>44013</v>
      </c>
      <c r="M2" s="2">
        <v>44044</v>
      </c>
    </row>
    <row r="3" spans="1:81" hidden="1" x14ac:dyDescent="0.25">
      <c r="A3" t="s">
        <v>0</v>
      </c>
      <c r="F3" s="4">
        <v>1420006467</v>
      </c>
      <c r="G3" s="4">
        <v>1319428376</v>
      </c>
      <c r="H3" s="4">
        <v>1249560192</v>
      </c>
      <c r="I3" s="4">
        <v>1212668982</v>
      </c>
      <c r="J3" s="4">
        <v>1203907507</v>
      </c>
      <c r="K3" s="4">
        <v>1171877244</v>
      </c>
      <c r="L3" s="4">
        <v>1142314506</v>
      </c>
      <c r="M3" s="4">
        <v>1117035378</v>
      </c>
    </row>
    <row r="4" spans="1:81" hidden="1" x14ac:dyDescent="0.25">
      <c r="A4" t="s">
        <v>1</v>
      </c>
      <c r="F4" s="4">
        <v>457013232</v>
      </c>
      <c r="G4" s="4">
        <v>457013232</v>
      </c>
      <c r="H4" s="4">
        <v>457013232</v>
      </c>
      <c r="I4" s="4">
        <v>457013232</v>
      </c>
      <c r="J4" s="4">
        <v>457013232</v>
      </c>
      <c r="K4" s="4">
        <v>457013232</v>
      </c>
      <c r="L4" s="4">
        <v>457013232</v>
      </c>
      <c r="M4" s="4">
        <v>457013232</v>
      </c>
      <c r="BZ4" s="11" t="s">
        <v>45</v>
      </c>
    </row>
    <row r="5" spans="1:81" hidden="1" x14ac:dyDescent="0.25">
      <c r="A5" t="s">
        <v>2</v>
      </c>
      <c r="F5" s="4">
        <v>4689084769</v>
      </c>
      <c r="G5" s="4">
        <v>4713913248</v>
      </c>
      <c r="H5" s="4">
        <v>4694384076</v>
      </c>
      <c r="I5" s="4">
        <v>4589292689</v>
      </c>
      <c r="J5" s="4">
        <v>4530845336</v>
      </c>
      <c r="K5" s="4">
        <v>4487273675</v>
      </c>
      <c r="L5" s="4">
        <v>4171298985</v>
      </c>
      <c r="M5" s="4">
        <v>4277106072</v>
      </c>
      <c r="BZ5" s="30" t="s">
        <v>44</v>
      </c>
      <c r="CA5" s="31"/>
      <c r="CB5" s="31"/>
      <c r="CC5" s="32"/>
    </row>
    <row r="6" spans="1:81" hidden="1" x14ac:dyDescent="0.25">
      <c r="A6" t="s">
        <v>3</v>
      </c>
      <c r="F6" s="4">
        <v>94240138036</v>
      </c>
      <c r="G6" s="4">
        <v>95740286416</v>
      </c>
      <c r="H6" s="4">
        <v>100785003284</v>
      </c>
      <c r="I6" s="4">
        <v>101179461658</v>
      </c>
      <c r="J6" s="4">
        <v>101587783717</v>
      </c>
      <c r="K6" s="4">
        <v>102530426983</v>
      </c>
      <c r="L6" s="4">
        <v>104317835230</v>
      </c>
      <c r="M6" s="4">
        <v>107012405994</v>
      </c>
      <c r="BZ6" s="33" t="s">
        <v>42</v>
      </c>
      <c r="CA6" s="34"/>
      <c r="CB6" s="36">
        <v>0.20830000000000001</v>
      </c>
      <c r="CC6" s="35" t="s">
        <v>43</v>
      </c>
    </row>
    <row r="7" spans="1:81" hidden="1" x14ac:dyDescent="0.25">
      <c r="A7" t="s">
        <v>4</v>
      </c>
      <c r="F7" s="4">
        <v>31959889023</v>
      </c>
      <c r="G7" s="4">
        <v>34447728107</v>
      </c>
      <c r="H7" s="4">
        <v>39293830745</v>
      </c>
      <c r="I7" s="4">
        <v>40568930954</v>
      </c>
      <c r="J7" s="4">
        <v>41227712004</v>
      </c>
      <c r="K7" s="4">
        <v>39559591684</v>
      </c>
      <c r="L7" s="4">
        <v>36582270990</v>
      </c>
      <c r="M7" s="4">
        <v>35446140857</v>
      </c>
    </row>
    <row r="8" spans="1:81" hidden="1" x14ac:dyDescent="0.25">
      <c r="A8" t="s">
        <v>5</v>
      </c>
      <c r="F8" s="4">
        <v>666016981</v>
      </c>
      <c r="G8" s="4">
        <v>654048463</v>
      </c>
      <c r="H8" s="4">
        <v>612874858</v>
      </c>
      <c r="I8" s="4">
        <v>574104739</v>
      </c>
      <c r="J8" s="4">
        <v>552747735</v>
      </c>
      <c r="K8" s="4">
        <v>486912792</v>
      </c>
      <c r="L8" s="4">
        <v>404716735</v>
      </c>
      <c r="M8" s="4">
        <v>354803428</v>
      </c>
    </row>
    <row r="9" spans="1:81" hidden="1" x14ac:dyDescent="0.25">
      <c r="A9" t="s">
        <v>6</v>
      </c>
      <c r="F9" s="4">
        <v>35279479890</v>
      </c>
      <c r="G9" s="4">
        <v>37826749113</v>
      </c>
      <c r="H9" s="4">
        <v>40554272753</v>
      </c>
      <c r="I9" s="4">
        <v>39875068520</v>
      </c>
      <c r="J9" s="4">
        <v>39802850052</v>
      </c>
      <c r="K9" s="4">
        <v>37781136625</v>
      </c>
      <c r="L9" s="4">
        <v>34736353494</v>
      </c>
      <c r="M9" s="4">
        <v>33713549270</v>
      </c>
    </row>
    <row r="10" spans="1:81" hidden="1" x14ac:dyDescent="0.25">
      <c r="A10" t="s">
        <v>7</v>
      </c>
      <c r="F10" s="4">
        <v>5480265422</v>
      </c>
      <c r="G10" s="4">
        <v>6600525705</v>
      </c>
      <c r="H10" s="4">
        <v>5394044122</v>
      </c>
      <c r="I10" s="4">
        <v>4309922850</v>
      </c>
      <c r="J10" s="4">
        <v>3345881815</v>
      </c>
      <c r="K10" s="4">
        <v>5951689069</v>
      </c>
      <c r="L10" s="4">
        <v>4949230424</v>
      </c>
      <c r="M10" s="4">
        <v>4288616839</v>
      </c>
    </row>
    <row r="11" spans="1:81" hidden="1" x14ac:dyDescent="0.25">
      <c r="A11" t="s">
        <v>8</v>
      </c>
      <c r="F11" s="4">
        <v>874874</v>
      </c>
      <c r="G11" s="4">
        <v>983477</v>
      </c>
      <c r="H11" s="4">
        <v>1039147</v>
      </c>
      <c r="I11" s="4">
        <v>844948</v>
      </c>
      <c r="J11" s="4">
        <v>250</v>
      </c>
      <c r="K11" s="4">
        <v>7895990</v>
      </c>
      <c r="L11" s="4">
        <v>68200672</v>
      </c>
      <c r="M11" s="4">
        <v>2388052907</v>
      </c>
    </row>
    <row r="12" spans="1:81" hidden="1" x14ac:dyDescent="0.25">
      <c r="A12" t="s">
        <v>11</v>
      </c>
      <c r="F12" s="2">
        <v>43831</v>
      </c>
      <c r="G12" s="2">
        <v>43862</v>
      </c>
      <c r="H12" s="2">
        <v>43891</v>
      </c>
      <c r="I12" s="2">
        <v>43922</v>
      </c>
      <c r="J12" s="2">
        <v>43952</v>
      </c>
      <c r="K12" s="2">
        <v>43983</v>
      </c>
      <c r="L12" s="2">
        <v>44013</v>
      </c>
      <c r="M12" s="2">
        <v>44044</v>
      </c>
    </row>
    <row r="13" spans="1:81" hidden="1" x14ac:dyDescent="0.25">
      <c r="A13" t="s">
        <v>12</v>
      </c>
      <c r="F13" s="1">
        <f t="shared" ref="F13:L13" si="0">SUM(F3:F11)</f>
        <v>174192768694</v>
      </c>
      <c r="G13" s="1">
        <f t="shared" si="0"/>
        <v>181760676137</v>
      </c>
      <c r="H13" s="1">
        <f t="shared" si="0"/>
        <v>193042022409</v>
      </c>
      <c r="I13" s="1">
        <f t="shared" si="0"/>
        <v>192767308572</v>
      </c>
      <c r="J13" s="1">
        <f t="shared" si="0"/>
        <v>192708741648</v>
      </c>
      <c r="K13" s="1">
        <f t="shared" si="0"/>
        <v>192433817294</v>
      </c>
      <c r="L13" s="1">
        <f t="shared" si="0"/>
        <v>186829234268</v>
      </c>
      <c r="M13" s="1">
        <f>SUM(M3:M11)</f>
        <v>189054723977</v>
      </c>
    </row>
    <row r="14" spans="1:81" hidden="1" x14ac:dyDescent="0.25">
      <c r="A14" t="s">
        <v>9</v>
      </c>
      <c r="F14" s="4">
        <v>83037005047</v>
      </c>
      <c r="G14" s="4">
        <v>84833089847</v>
      </c>
      <c r="H14" s="4">
        <v>85789757859</v>
      </c>
      <c r="I14" s="4">
        <v>84762507350</v>
      </c>
      <c r="J14" s="4">
        <v>85270112774</v>
      </c>
      <c r="K14" s="4">
        <v>83996384819</v>
      </c>
      <c r="L14" s="4">
        <v>83186641039</v>
      </c>
      <c r="M14" s="4">
        <v>83944120098</v>
      </c>
    </row>
    <row r="15" spans="1:81" hidden="1" x14ac:dyDescent="0.25">
      <c r="A15" t="s">
        <v>10</v>
      </c>
      <c r="F15" s="4">
        <v>257229773741</v>
      </c>
      <c r="G15" s="4">
        <v>266593765984</v>
      </c>
      <c r="H15" s="4">
        <v>278831780268</v>
      </c>
      <c r="I15" s="4">
        <v>277529815922</v>
      </c>
      <c r="J15" s="4">
        <v>277978854422</v>
      </c>
      <c r="K15" s="4">
        <v>276430202113</v>
      </c>
      <c r="L15" s="4">
        <v>270015875307</v>
      </c>
      <c r="M15" s="4">
        <v>272998844075</v>
      </c>
    </row>
    <row r="16" spans="1:81" x14ac:dyDescent="0.25">
      <c r="B16">
        <v>1000</v>
      </c>
      <c r="AN16">
        <v>1000</v>
      </c>
    </row>
    <row r="17" spans="1:72" x14ac:dyDescent="0.25">
      <c r="A17" s="37" t="s">
        <v>32</v>
      </c>
      <c r="B17" s="38">
        <v>44075</v>
      </c>
      <c r="C17" s="38">
        <v>44105</v>
      </c>
      <c r="D17" s="38">
        <v>44136</v>
      </c>
      <c r="E17" s="38">
        <v>44166</v>
      </c>
      <c r="F17" s="38">
        <v>44197</v>
      </c>
      <c r="G17" s="38">
        <v>44228</v>
      </c>
      <c r="H17" s="38">
        <v>44256</v>
      </c>
      <c r="I17" s="38">
        <v>44287</v>
      </c>
      <c r="J17" s="38">
        <v>44317</v>
      </c>
      <c r="K17" s="38">
        <v>44348</v>
      </c>
      <c r="L17" s="38">
        <v>44378</v>
      </c>
      <c r="M17" s="38">
        <v>44409</v>
      </c>
      <c r="N17" s="38">
        <v>44440</v>
      </c>
      <c r="O17" s="38">
        <v>44470</v>
      </c>
      <c r="P17" s="38">
        <v>44501</v>
      </c>
      <c r="Q17" s="38">
        <v>44531</v>
      </c>
      <c r="R17" s="38">
        <v>44562</v>
      </c>
      <c r="S17" s="38">
        <v>44593</v>
      </c>
      <c r="T17" s="38">
        <v>44621</v>
      </c>
      <c r="U17" s="38">
        <v>44652</v>
      </c>
      <c r="V17" s="38">
        <v>44682</v>
      </c>
      <c r="W17" s="38">
        <v>44713</v>
      </c>
      <c r="X17" s="38">
        <v>44743</v>
      </c>
      <c r="Y17" s="38">
        <v>44774</v>
      </c>
      <c r="Z17" s="38">
        <v>44805</v>
      </c>
      <c r="AA17" s="38">
        <v>44835</v>
      </c>
      <c r="AB17" s="38">
        <v>44866</v>
      </c>
      <c r="AC17" s="38">
        <v>44896</v>
      </c>
      <c r="AD17" s="38">
        <v>44927</v>
      </c>
      <c r="AE17" s="38">
        <v>44958</v>
      </c>
      <c r="AF17" s="38">
        <v>44986</v>
      </c>
      <c r="AG17" s="38">
        <v>45017</v>
      </c>
      <c r="AH17" s="38">
        <v>45047</v>
      </c>
      <c r="AI17" s="38">
        <v>45078</v>
      </c>
      <c r="AJ17" s="38">
        <v>45108</v>
      </c>
      <c r="AK17" s="38">
        <v>45139</v>
      </c>
      <c r="AL17" s="38">
        <v>45170</v>
      </c>
      <c r="AM17" s="38">
        <v>45200</v>
      </c>
      <c r="AN17" s="38">
        <v>45231</v>
      </c>
      <c r="AO17" s="38">
        <v>45261</v>
      </c>
      <c r="AP17" s="38">
        <v>45292</v>
      </c>
      <c r="AQ17" s="38">
        <v>45323</v>
      </c>
      <c r="AR17" s="38">
        <v>45352</v>
      </c>
      <c r="AS17" s="38">
        <v>45383</v>
      </c>
      <c r="AT17" s="38">
        <v>45413</v>
      </c>
      <c r="AU17" s="38">
        <v>45444</v>
      </c>
      <c r="AV17" s="38">
        <v>45474</v>
      </c>
      <c r="AW17" s="38">
        <v>45505</v>
      </c>
      <c r="AX17" s="38">
        <v>45536</v>
      </c>
      <c r="AY17" s="38">
        <v>45566</v>
      </c>
      <c r="AZ17" s="38">
        <v>45597</v>
      </c>
      <c r="BA17" s="38">
        <v>45627</v>
      </c>
      <c r="BB17" s="38">
        <v>45658</v>
      </c>
      <c r="BC17" s="38">
        <v>45689</v>
      </c>
      <c r="BD17" s="38">
        <v>45717</v>
      </c>
      <c r="BE17" s="38">
        <v>45748</v>
      </c>
      <c r="BF17" s="38">
        <v>45778</v>
      </c>
      <c r="BG17" s="38">
        <v>45809</v>
      </c>
      <c r="BH17" s="38">
        <v>45839</v>
      </c>
      <c r="BI17" s="38">
        <v>45870</v>
      </c>
      <c r="BJ17" s="38">
        <v>45901</v>
      </c>
      <c r="BK17" s="38">
        <v>45931</v>
      </c>
      <c r="BL17" s="38">
        <v>45962</v>
      </c>
      <c r="BM17" s="38">
        <v>45992</v>
      </c>
      <c r="BN17" s="39" t="s">
        <v>65</v>
      </c>
      <c r="BO17" s="2" t="s">
        <v>67</v>
      </c>
    </row>
    <row r="18" spans="1:72" x14ac:dyDescent="0.25">
      <c r="A18" s="40" t="s">
        <v>12</v>
      </c>
      <c r="B18" s="66">
        <v>204370.31967699999</v>
      </c>
      <c r="C18" s="66">
        <v>213814.191984</v>
      </c>
      <c r="D18" s="66">
        <v>213189.05532400002</v>
      </c>
      <c r="E18" s="66">
        <v>209975.963674</v>
      </c>
      <c r="F18" s="66">
        <f>((191196701397-F19)/1000)/1000</f>
        <v>191196.63422971097</v>
      </c>
      <c r="G18" s="66">
        <f>((196394039739-G19)/1000)/1000</f>
        <v>196393.96964298587</v>
      </c>
      <c r="H18" s="66">
        <f>((197986587214-H19)/1000)/1000</f>
        <v>197986.51605363804</v>
      </c>
      <c r="I18" s="66">
        <f>((196223264960-I19)/1000)/1000</f>
        <v>196223.1956581423</v>
      </c>
      <c r="J18" s="66">
        <f>((193880794116-J19)/1000)/1000</f>
        <v>193880.72613063251</v>
      </c>
      <c r="K18" s="66">
        <v>135654.173977</v>
      </c>
      <c r="L18" s="66">
        <v>138897.45677799999</v>
      </c>
      <c r="M18" s="66">
        <v>143354.57384200001</v>
      </c>
      <c r="N18" s="66">
        <v>150112.053468</v>
      </c>
      <c r="O18" s="66">
        <v>150974.99368900002</v>
      </c>
      <c r="P18" s="66">
        <v>150339.24981900002</v>
      </c>
      <c r="Q18" s="66">
        <v>143229.13756</v>
      </c>
      <c r="R18" s="66">
        <v>149239.51667800001</v>
      </c>
      <c r="S18" s="66">
        <v>157211.82637599998</v>
      </c>
      <c r="T18" s="66">
        <v>157324.171118</v>
      </c>
      <c r="U18" s="66">
        <v>158012.02726499998</v>
      </c>
      <c r="V18" s="66">
        <v>157428.920094</v>
      </c>
      <c r="W18" s="66">
        <v>163212.31317399998</v>
      </c>
      <c r="X18" s="66">
        <v>165563.60997799999</v>
      </c>
      <c r="Y18" s="66">
        <v>171739.976195</v>
      </c>
      <c r="Z18" s="66">
        <v>179974.24373800002</v>
      </c>
      <c r="AA18" s="66">
        <v>186524.88523699998</v>
      </c>
      <c r="AB18" s="66">
        <v>185757.70520500001</v>
      </c>
      <c r="AC18" s="66">
        <v>186920.97024</v>
      </c>
      <c r="AD18" s="66">
        <v>188069.37829600001</v>
      </c>
      <c r="AE18" s="66">
        <v>191046.26900299999</v>
      </c>
      <c r="AF18" s="66">
        <v>188604.29586399999</v>
      </c>
      <c r="AG18" s="66">
        <v>185012.07568000001</v>
      </c>
      <c r="AH18" s="66">
        <v>184369.790652</v>
      </c>
      <c r="AI18" s="66">
        <v>187954.08481299999</v>
      </c>
      <c r="AJ18" s="66">
        <v>184152.88784000001</v>
      </c>
      <c r="AK18" s="66">
        <v>185556.45559599999</v>
      </c>
      <c r="AL18" s="66">
        <v>192430.39518599998</v>
      </c>
      <c r="AM18" s="66">
        <v>193005.546344</v>
      </c>
      <c r="AN18" s="66">
        <v>188317.44170600001</v>
      </c>
      <c r="AO18" s="66">
        <v>185556.702988</v>
      </c>
      <c r="AP18" s="66">
        <v>184065.07919399999</v>
      </c>
      <c r="AQ18" s="66">
        <v>183045.808089</v>
      </c>
      <c r="AR18" s="66">
        <v>179761.467729</v>
      </c>
      <c r="AS18" s="66">
        <v>174923.53661800001</v>
      </c>
      <c r="AT18" s="66">
        <v>172912.08842300001</v>
      </c>
      <c r="AU18" s="66">
        <v>178815.40552100001</v>
      </c>
      <c r="AV18" s="66">
        <v>179594.744668</v>
      </c>
      <c r="AW18" s="66">
        <v>184451.865074</v>
      </c>
      <c r="AX18" s="66">
        <v>193677.68859599999</v>
      </c>
      <c r="AY18" s="66">
        <v>191179.59370699999</v>
      </c>
      <c r="AZ18" s="66">
        <v>189503.99259800001</v>
      </c>
      <c r="BA18" s="66">
        <v>189569.16443100001</v>
      </c>
      <c r="BB18" s="66">
        <v>189702.21033500001</v>
      </c>
      <c r="BC18" s="66">
        <v>191241.64048999999</v>
      </c>
      <c r="BD18" s="66">
        <v>192311.300552</v>
      </c>
      <c r="BE18" s="66">
        <v>191636.438689</v>
      </c>
      <c r="BF18" s="66">
        <v>194648.27966</v>
      </c>
      <c r="BG18" s="66">
        <v>196456.15143999999</v>
      </c>
      <c r="BH18" s="66">
        <v>197152.9878</v>
      </c>
      <c r="BI18" s="66">
        <f>196138773723/1000000</f>
        <v>196138.77372299999</v>
      </c>
      <c r="BJ18" s="66">
        <v>203953.11782799999</v>
      </c>
      <c r="BK18" s="66">
        <v>200214.12185200001</v>
      </c>
      <c r="BL18" s="66">
        <v>197648.65289100001</v>
      </c>
      <c r="BM18" s="66">
        <v>194798.42125399999</v>
      </c>
      <c r="BN18" s="42">
        <f>AVERAGE(BB18:BL18)</f>
        <v>195554.8795690909</v>
      </c>
      <c r="BO18" s="4">
        <v>1000000</v>
      </c>
    </row>
    <row r="19" spans="1:72" x14ac:dyDescent="0.25">
      <c r="A19" s="40" t="s">
        <v>33</v>
      </c>
      <c r="B19" s="66">
        <v>0</v>
      </c>
      <c r="C19" s="66">
        <v>0</v>
      </c>
      <c r="D19" s="66">
        <v>0</v>
      </c>
      <c r="E19" s="66">
        <v>0</v>
      </c>
      <c r="F19" s="66">
        <v>67167.28903</v>
      </c>
      <c r="G19" s="66">
        <v>70096.014131999997</v>
      </c>
      <c r="H19" s="66">
        <v>71160.361959999995</v>
      </c>
      <c r="I19" s="66">
        <v>69301.857705000002</v>
      </c>
      <c r="J19" s="66">
        <v>67985.367496000006</v>
      </c>
      <c r="K19" s="66">
        <v>64708.436222000004</v>
      </c>
      <c r="L19" s="66">
        <v>63654.541729000004</v>
      </c>
      <c r="M19" s="66">
        <v>63126.879799999995</v>
      </c>
      <c r="N19" s="66">
        <v>66087.816365000006</v>
      </c>
      <c r="O19" s="66">
        <v>67552.421140999999</v>
      </c>
      <c r="P19" s="66">
        <v>66723.523933000004</v>
      </c>
      <c r="Q19" s="66">
        <v>64261.659613999997</v>
      </c>
      <c r="R19" s="66">
        <v>57764.656582999996</v>
      </c>
      <c r="S19" s="66">
        <v>57872.953009999997</v>
      </c>
      <c r="T19" s="66">
        <v>59776.058193999997</v>
      </c>
      <c r="U19" s="66">
        <v>59110.861189000003</v>
      </c>
      <c r="V19" s="66">
        <v>58939.103745</v>
      </c>
      <c r="W19" s="66">
        <v>59611.919270999999</v>
      </c>
      <c r="X19" s="66">
        <v>63342.121567000002</v>
      </c>
      <c r="Y19" s="66">
        <v>64644.821109999997</v>
      </c>
      <c r="Z19" s="66">
        <v>66564.333715999994</v>
      </c>
      <c r="AA19" s="66">
        <v>64301.605047999998</v>
      </c>
      <c r="AB19" s="66">
        <v>62944.402104999994</v>
      </c>
      <c r="AC19" s="66">
        <v>61854.322616999998</v>
      </c>
      <c r="AD19" s="66">
        <v>62198.523549999998</v>
      </c>
      <c r="AE19" s="66">
        <v>64065.228424999994</v>
      </c>
      <c r="AF19" s="66">
        <v>64954.468257</v>
      </c>
      <c r="AG19" s="66">
        <v>64602.026961999996</v>
      </c>
      <c r="AH19" s="66">
        <v>64117.909736000001</v>
      </c>
      <c r="AI19" s="66">
        <v>65749.163295000006</v>
      </c>
      <c r="AJ19" s="66">
        <v>66051.470843999996</v>
      </c>
      <c r="AK19" s="66">
        <v>66599.346538999991</v>
      </c>
      <c r="AL19" s="66">
        <v>66975.567576000001</v>
      </c>
      <c r="AM19" s="66">
        <v>68231.134153999999</v>
      </c>
      <c r="AN19" s="66">
        <v>68238.116303000003</v>
      </c>
      <c r="AO19" s="66">
        <v>70223.283807</v>
      </c>
      <c r="AP19" s="66">
        <v>72269.076751999994</v>
      </c>
      <c r="AQ19" s="66">
        <v>73202.104235000006</v>
      </c>
      <c r="AR19" s="66">
        <v>74533.450083999996</v>
      </c>
      <c r="AS19" s="66">
        <v>73295.841207000005</v>
      </c>
      <c r="AT19" s="66">
        <v>78635.358177000002</v>
      </c>
      <c r="AU19" s="66">
        <v>81967.148642999993</v>
      </c>
      <c r="AV19" s="66">
        <v>84899.867278000005</v>
      </c>
      <c r="AW19" s="66">
        <v>86935.804474000004</v>
      </c>
      <c r="AX19" s="66">
        <v>89487.688108000002</v>
      </c>
      <c r="AY19" s="66">
        <v>89539.492268999995</v>
      </c>
      <c r="AZ19" s="66">
        <v>89637.074909000003</v>
      </c>
      <c r="BA19" s="66">
        <v>88516.290403000006</v>
      </c>
      <c r="BB19" s="66">
        <v>95634.061363999994</v>
      </c>
      <c r="BC19" s="66">
        <v>98525.122174999997</v>
      </c>
      <c r="BD19" s="66">
        <v>98330.610625000001</v>
      </c>
      <c r="BE19" s="66">
        <v>98552.628295999995</v>
      </c>
      <c r="BF19" s="66">
        <v>100246.240978</v>
      </c>
      <c r="BG19" s="66">
        <v>98015.009223999994</v>
      </c>
      <c r="BH19" s="66">
        <v>96714.958406000005</v>
      </c>
      <c r="BI19" s="66">
        <f>96053413932/1000000</f>
        <v>96053.413931999996</v>
      </c>
      <c r="BJ19" s="66">
        <v>95524.448399999994</v>
      </c>
      <c r="BK19" s="66">
        <v>94670.731799000001</v>
      </c>
      <c r="BL19" s="66">
        <v>93873.042705999993</v>
      </c>
      <c r="BM19" s="66">
        <v>91825.585867999995</v>
      </c>
      <c r="BN19" s="42">
        <f t="shared" ref="BN19:BN20" si="1">AVERAGE(BB19:BL19)</f>
        <v>96921.842536818178</v>
      </c>
      <c r="BO19" s="4"/>
    </row>
    <row r="20" spans="1:72" x14ac:dyDescent="0.25">
      <c r="A20" s="40" t="s">
        <v>9</v>
      </c>
      <c r="B20" s="66">
        <v>68628.524398000009</v>
      </c>
      <c r="C20" s="66">
        <v>68738.693948</v>
      </c>
      <c r="D20" s="66">
        <v>68616.645726000002</v>
      </c>
      <c r="E20" s="66">
        <v>67049.593175999995</v>
      </c>
      <c r="F20" s="66">
        <v>84065.934916999991</v>
      </c>
      <c r="G20" s="66">
        <v>85475.294139999998</v>
      </c>
      <c r="H20" s="66">
        <v>87359.468053000004</v>
      </c>
      <c r="I20" s="66">
        <v>86396.731786000004</v>
      </c>
      <c r="J20" s="66">
        <v>86912.805072000003</v>
      </c>
      <c r="K20" s="66">
        <v>85736.347379999992</v>
      </c>
      <c r="L20" s="66">
        <v>86277.422059000004</v>
      </c>
      <c r="M20" s="66">
        <v>87809.389340000009</v>
      </c>
      <c r="N20" s="66">
        <v>88826.454161000001</v>
      </c>
      <c r="O20" s="66">
        <v>90209.987676000004</v>
      </c>
      <c r="P20" s="66">
        <v>90921.528312000009</v>
      </c>
      <c r="Q20" s="66">
        <v>90483.653155000007</v>
      </c>
      <c r="R20" s="66">
        <v>90179.955452000009</v>
      </c>
      <c r="S20" s="66">
        <v>90873.069455999997</v>
      </c>
      <c r="T20" s="66">
        <v>92748.515268000003</v>
      </c>
      <c r="U20" s="66">
        <v>93929.657391000001</v>
      </c>
      <c r="V20" s="66">
        <v>97217.904332999999</v>
      </c>
      <c r="W20" s="66">
        <v>97776.610574000006</v>
      </c>
      <c r="X20" s="66">
        <v>98790.390134000001</v>
      </c>
      <c r="Y20" s="66">
        <v>100747.36585500001</v>
      </c>
      <c r="Z20" s="66">
        <v>100665.124998</v>
      </c>
      <c r="AA20" s="66">
        <v>100894.50920299999</v>
      </c>
      <c r="AB20" s="66">
        <v>102072.80544</v>
      </c>
      <c r="AC20" s="66">
        <v>99581.115091</v>
      </c>
      <c r="AD20" s="66">
        <v>100325.670094</v>
      </c>
      <c r="AE20" s="66">
        <v>101249.016103</v>
      </c>
      <c r="AF20" s="66">
        <v>100752.48322400001</v>
      </c>
      <c r="AG20" s="66">
        <v>100422.96643</v>
      </c>
      <c r="AH20" s="66">
        <v>101319.07153399999</v>
      </c>
      <c r="AI20" s="66">
        <v>100995.93009800001</v>
      </c>
      <c r="AJ20" s="66">
        <v>101410.08897499999</v>
      </c>
      <c r="AK20" s="66">
        <v>101047.837715</v>
      </c>
      <c r="AL20" s="66">
        <v>100750.32001800001</v>
      </c>
      <c r="AM20" s="66">
        <v>101730.92126999999</v>
      </c>
      <c r="AN20" s="66">
        <v>103007.750478</v>
      </c>
      <c r="AO20" s="66">
        <v>100786.780149</v>
      </c>
      <c r="AP20" s="66">
        <v>99853.241267000005</v>
      </c>
      <c r="AQ20" s="66">
        <v>100668.84548399999</v>
      </c>
      <c r="AR20" s="66">
        <v>98705.159232999998</v>
      </c>
      <c r="AS20" s="66">
        <v>98486.818159999995</v>
      </c>
      <c r="AT20" s="66">
        <v>96640.131592000005</v>
      </c>
      <c r="AU20" s="66">
        <v>94757.804493000003</v>
      </c>
      <c r="AV20" s="66">
        <v>95144.448065999997</v>
      </c>
      <c r="AW20" s="66">
        <v>95122.851494000002</v>
      </c>
      <c r="AX20" s="66">
        <v>95127.081961000004</v>
      </c>
      <c r="AY20" s="66">
        <v>94556.629050000003</v>
      </c>
      <c r="AZ20" s="66">
        <v>94657.376803000006</v>
      </c>
      <c r="BA20" s="66">
        <v>93673.929090000005</v>
      </c>
      <c r="BB20" s="66">
        <v>94328.086118000007</v>
      </c>
      <c r="BC20" s="66">
        <v>95680.756156999996</v>
      </c>
      <c r="BD20" s="66">
        <v>97434.096512999997</v>
      </c>
      <c r="BE20" s="66">
        <v>98792.381187999999</v>
      </c>
      <c r="BF20" s="66">
        <v>99420.408951000005</v>
      </c>
      <c r="BG20" s="66">
        <v>101268.624088</v>
      </c>
      <c r="BH20" s="66">
        <v>104093.645871</v>
      </c>
      <c r="BI20" s="66">
        <f>104160227846/1000000</f>
        <v>104160.22784599999</v>
      </c>
      <c r="BJ20" s="66">
        <v>104850.557214</v>
      </c>
      <c r="BK20" s="66">
        <v>104381.659186</v>
      </c>
      <c r="BL20" s="66">
        <v>105529.623288</v>
      </c>
      <c r="BM20" s="66">
        <v>106128.56307</v>
      </c>
      <c r="BN20" s="42">
        <f t="shared" si="1"/>
        <v>100903.64240181819</v>
      </c>
      <c r="BO20" s="4"/>
      <c r="BP20" s="94" t="s">
        <v>63</v>
      </c>
      <c r="BQ20" s="94"/>
      <c r="BR20" s="94"/>
      <c r="BS20" s="94"/>
      <c r="BT20" t="s">
        <v>46</v>
      </c>
    </row>
    <row r="21" spans="1:72" x14ac:dyDescent="0.25">
      <c r="A21" s="43" t="s">
        <v>10</v>
      </c>
      <c r="B21" s="44">
        <f>SUM(B18:B20)</f>
        <v>272998.84407500003</v>
      </c>
      <c r="C21" s="44">
        <f>SUM(C18:C20)</f>
        <v>282552.885932</v>
      </c>
      <c r="D21" s="44">
        <v>281805701050</v>
      </c>
      <c r="E21" s="44">
        <v>277025556850</v>
      </c>
      <c r="F21" s="45">
        <f t="shared" ref="F21:AI21" si="2">SUM(F18:F20)</f>
        <v>342429.85817671096</v>
      </c>
      <c r="G21" s="45">
        <f t="shared" si="2"/>
        <v>351965.2779149859</v>
      </c>
      <c r="H21" s="45">
        <f t="shared" si="2"/>
        <v>356506.34606663801</v>
      </c>
      <c r="I21" s="45">
        <f t="shared" si="2"/>
        <v>351921.78514914232</v>
      </c>
      <c r="J21" s="45">
        <f t="shared" si="2"/>
        <v>348778.89869863255</v>
      </c>
      <c r="K21" s="45">
        <f t="shared" si="2"/>
        <v>286098.95757899998</v>
      </c>
      <c r="L21" s="45">
        <f t="shared" si="2"/>
        <v>288829.42056599999</v>
      </c>
      <c r="M21" s="45">
        <f t="shared" si="2"/>
        <v>294290.84298200003</v>
      </c>
      <c r="N21" s="45">
        <f t="shared" si="2"/>
        <v>305026.32399399998</v>
      </c>
      <c r="O21" s="45">
        <f t="shared" si="2"/>
        <v>308737.40250600001</v>
      </c>
      <c r="P21" s="44">
        <f t="shared" si="2"/>
        <v>307984.30206400005</v>
      </c>
      <c r="Q21" s="44">
        <f t="shared" si="2"/>
        <v>297974.45032900001</v>
      </c>
      <c r="R21" s="44">
        <f t="shared" si="2"/>
        <v>297184.12871300004</v>
      </c>
      <c r="S21" s="44">
        <f t="shared" si="2"/>
        <v>305957.84884200001</v>
      </c>
      <c r="T21" s="44">
        <f t="shared" si="2"/>
        <v>309848.74458</v>
      </c>
      <c r="U21" s="44">
        <f t="shared" si="2"/>
        <v>311052.54584500002</v>
      </c>
      <c r="V21" s="44">
        <f t="shared" si="2"/>
        <v>313585.92817199999</v>
      </c>
      <c r="W21" s="44">
        <f t="shared" si="2"/>
        <v>320600.84301899996</v>
      </c>
      <c r="X21" s="44">
        <f t="shared" si="2"/>
        <v>327696.12167899997</v>
      </c>
      <c r="Y21" s="44">
        <f t="shared" si="2"/>
        <v>337132.16316</v>
      </c>
      <c r="Z21" s="44">
        <f t="shared" si="2"/>
        <v>347203.702452</v>
      </c>
      <c r="AA21" s="44">
        <f t="shared" si="2"/>
        <v>351720.99948799994</v>
      </c>
      <c r="AB21" s="44">
        <f t="shared" si="2"/>
        <v>350774.91275000002</v>
      </c>
      <c r="AC21" s="44">
        <f t="shared" si="2"/>
        <v>348356.40794800001</v>
      </c>
      <c r="AD21" s="44">
        <f t="shared" si="2"/>
        <v>350593.57193999999</v>
      </c>
      <c r="AE21" s="44">
        <f t="shared" si="2"/>
        <v>356360.513531</v>
      </c>
      <c r="AF21" s="44">
        <f t="shared" si="2"/>
        <v>354311.24734499998</v>
      </c>
      <c r="AG21" s="44">
        <f t="shared" si="2"/>
        <v>350037.06907199998</v>
      </c>
      <c r="AH21" s="44">
        <f t="shared" si="2"/>
        <v>349806.77192199999</v>
      </c>
      <c r="AI21" s="44">
        <f t="shared" si="2"/>
        <v>354699.17820600001</v>
      </c>
      <c r="AJ21" s="44">
        <f t="shared" ref="AJ21:AW21" si="3">SUM(AJ18:AJ20)</f>
        <v>351614.447659</v>
      </c>
      <c r="AK21" s="44">
        <f t="shared" si="3"/>
        <v>353203.63984999998</v>
      </c>
      <c r="AL21" s="44">
        <f t="shared" si="3"/>
        <v>360156.28278000001</v>
      </c>
      <c r="AM21" s="44">
        <f t="shared" si="3"/>
        <v>362967.60176799999</v>
      </c>
      <c r="AN21" s="44">
        <f t="shared" si="3"/>
        <v>359563.30848700006</v>
      </c>
      <c r="AO21" s="44">
        <f t="shared" si="3"/>
        <v>356566.76694400003</v>
      </c>
      <c r="AP21" s="44">
        <f t="shared" si="3"/>
        <v>356187.39721299999</v>
      </c>
      <c r="AQ21" s="44">
        <f t="shared" si="3"/>
        <v>356916.75780799997</v>
      </c>
      <c r="AR21" s="44">
        <f t="shared" si="3"/>
        <v>353000.07704599999</v>
      </c>
      <c r="AS21" s="44">
        <f t="shared" si="3"/>
        <v>346706.195985</v>
      </c>
      <c r="AT21" s="44">
        <f t="shared" si="3"/>
        <v>348187.57819200004</v>
      </c>
      <c r="AU21" s="44">
        <f t="shared" si="3"/>
        <v>355540.358657</v>
      </c>
      <c r="AV21" s="44">
        <f t="shared" si="3"/>
        <v>359639.06001200003</v>
      </c>
      <c r="AW21" s="44">
        <f t="shared" si="3"/>
        <v>366510.52104199998</v>
      </c>
      <c r="AX21" s="44">
        <f t="shared" ref="AX21:BH21" si="4">SUM(AX18:AX20)</f>
        <v>378292.45866499998</v>
      </c>
      <c r="AY21" s="44">
        <f t="shared" si="4"/>
        <v>375275.71502599999</v>
      </c>
      <c r="AZ21" s="44">
        <f t="shared" si="4"/>
        <v>373798.44430999999</v>
      </c>
      <c r="BA21" s="44">
        <f t="shared" si="4"/>
        <v>371759.38392400002</v>
      </c>
      <c r="BB21" s="44">
        <f t="shared" si="4"/>
        <v>379664.35781700001</v>
      </c>
      <c r="BC21" s="44">
        <f t="shared" si="4"/>
        <v>385447.51882200001</v>
      </c>
      <c r="BD21" s="44">
        <f t="shared" si="4"/>
        <v>388076.00769</v>
      </c>
      <c r="BE21" s="44">
        <f t="shared" si="4"/>
        <v>388981.44817300001</v>
      </c>
      <c r="BF21" s="44">
        <f t="shared" si="4"/>
        <v>394314.92958900001</v>
      </c>
      <c r="BG21" s="44">
        <f t="shared" si="4"/>
        <v>395739.78475199995</v>
      </c>
      <c r="BH21" s="44">
        <f t="shared" si="4"/>
        <v>397961.59207700001</v>
      </c>
      <c r="BI21" s="44">
        <f>SUM(BI18:BI20)</f>
        <v>396352.41550100001</v>
      </c>
      <c r="BJ21" s="44">
        <f>SUM(BJ18:BJ20)</f>
        <v>404328.12344200001</v>
      </c>
      <c r="BK21" s="44">
        <f>SUM(BK18:BK20)</f>
        <v>399266.51283700002</v>
      </c>
      <c r="BL21" s="44">
        <f>SUM(BL18:BL20)</f>
        <v>397051.31888500002</v>
      </c>
      <c r="BM21" s="44">
        <f>SUM(BM18:BM20)</f>
        <v>392752.57019200001</v>
      </c>
      <c r="BN21" s="44">
        <f>AVERAGE(BB21:BJ21)</f>
        <v>392318.46420699998</v>
      </c>
    </row>
    <row r="22" spans="1:72" x14ac:dyDescent="0.25">
      <c r="F22" s="3"/>
      <c r="G22" s="3"/>
      <c r="H22" s="3"/>
      <c r="I22" s="3"/>
      <c r="J22" s="3"/>
      <c r="K22" s="3"/>
      <c r="L22" s="3"/>
      <c r="M22" s="3"/>
      <c r="BF22" s="4"/>
      <c r="BG22" s="90">
        <v>395762773856</v>
      </c>
      <c r="BH22" s="91"/>
      <c r="BI22" s="91"/>
      <c r="BJ22" s="91"/>
      <c r="BK22" s="91"/>
      <c r="BL22" s="91"/>
      <c r="BM22" s="91"/>
    </row>
    <row r="23" spans="1:72" x14ac:dyDescent="0.25">
      <c r="A23" s="46" t="s">
        <v>31</v>
      </c>
      <c r="B23" s="38">
        <v>44075</v>
      </c>
      <c r="C23" s="38">
        <v>44105</v>
      </c>
      <c r="D23" s="38">
        <v>44136</v>
      </c>
      <c r="E23" s="38">
        <v>44166</v>
      </c>
      <c r="F23" s="38">
        <v>44197</v>
      </c>
      <c r="G23" s="38">
        <v>44228</v>
      </c>
      <c r="H23" s="38">
        <v>44256</v>
      </c>
      <c r="I23" s="38">
        <v>44287</v>
      </c>
      <c r="J23" s="38">
        <v>44317</v>
      </c>
      <c r="K23" s="38">
        <v>44348</v>
      </c>
      <c r="L23" s="38">
        <v>44378</v>
      </c>
      <c r="M23" s="38">
        <v>44409</v>
      </c>
      <c r="N23" s="38">
        <v>44440</v>
      </c>
      <c r="O23" s="38">
        <v>44470</v>
      </c>
      <c r="P23" s="38">
        <v>44501</v>
      </c>
      <c r="Q23" s="38">
        <v>44531</v>
      </c>
      <c r="R23" s="38">
        <v>44562</v>
      </c>
      <c r="S23" s="38">
        <v>44593</v>
      </c>
      <c r="T23" s="38">
        <v>44621</v>
      </c>
      <c r="U23" s="38">
        <v>44652</v>
      </c>
      <c r="V23" s="38">
        <v>44682</v>
      </c>
      <c r="W23" s="38">
        <v>44713</v>
      </c>
      <c r="X23" s="38">
        <v>44743</v>
      </c>
      <c r="Y23" s="38">
        <v>44774</v>
      </c>
      <c r="Z23" s="38">
        <v>44805</v>
      </c>
      <c r="AA23" s="38">
        <v>44835</v>
      </c>
      <c r="AB23" s="38">
        <v>44866</v>
      </c>
      <c r="AC23" s="38">
        <v>44896</v>
      </c>
      <c r="AD23" s="38">
        <v>44927</v>
      </c>
      <c r="AE23" s="38">
        <v>44958</v>
      </c>
      <c r="AF23" s="38">
        <v>44986</v>
      </c>
      <c r="AG23" s="38">
        <v>45017</v>
      </c>
      <c r="AH23" s="38">
        <v>45047</v>
      </c>
      <c r="AI23" s="38">
        <v>45078</v>
      </c>
      <c r="AJ23" s="38">
        <v>45108</v>
      </c>
      <c r="AK23" s="38">
        <v>45139</v>
      </c>
      <c r="AL23" s="38">
        <v>45170</v>
      </c>
      <c r="AM23" s="38">
        <v>45200</v>
      </c>
      <c r="AN23" s="38">
        <v>45231</v>
      </c>
      <c r="AO23" s="38">
        <v>45261</v>
      </c>
      <c r="AP23" s="38">
        <v>45292</v>
      </c>
      <c r="AQ23" s="38">
        <v>45323</v>
      </c>
      <c r="AR23" s="38">
        <v>45352</v>
      </c>
      <c r="AS23" s="38">
        <v>45383</v>
      </c>
      <c r="AT23" s="38">
        <v>45413</v>
      </c>
      <c r="AU23" s="38">
        <v>45444</v>
      </c>
      <c r="AV23" s="38">
        <v>45474</v>
      </c>
      <c r="AW23" s="38">
        <v>45505</v>
      </c>
      <c r="AX23" s="38">
        <v>45536</v>
      </c>
      <c r="AY23" s="38">
        <v>45566</v>
      </c>
      <c r="AZ23" s="38">
        <v>45597</v>
      </c>
      <c r="BA23" s="38">
        <v>45627</v>
      </c>
      <c r="BB23" s="38">
        <v>45658</v>
      </c>
      <c r="BC23" s="38">
        <v>45689</v>
      </c>
      <c r="BD23" s="38">
        <v>45717</v>
      </c>
      <c r="BE23" s="38">
        <v>45748</v>
      </c>
      <c r="BF23" s="38">
        <v>45778</v>
      </c>
      <c r="BG23" s="38">
        <v>45809</v>
      </c>
      <c r="BH23" s="38">
        <v>45839</v>
      </c>
      <c r="BI23" s="38">
        <v>45870</v>
      </c>
      <c r="BJ23" s="38">
        <v>45901</v>
      </c>
      <c r="BK23" s="38">
        <v>45931</v>
      </c>
      <c r="BL23" s="38">
        <v>45962</v>
      </c>
      <c r="BM23" s="38">
        <v>45992</v>
      </c>
      <c r="BN23" s="2"/>
      <c r="BO23" s="2"/>
    </row>
    <row r="24" spans="1:72" x14ac:dyDescent="0.25">
      <c r="A24" s="40" t="s">
        <v>12</v>
      </c>
      <c r="B24" s="47" t="e">
        <f>(B18-A18)/B18</f>
        <v>#VALUE!</v>
      </c>
      <c r="C24" s="47">
        <f>(C18-B18)/C18</f>
        <v>4.4168594326548301E-2</v>
      </c>
      <c r="D24" s="47">
        <f>(D18-C18)/D18</f>
        <v>-2.9323112251232611E-3</v>
      </c>
      <c r="E24" s="47">
        <f>(E18-D18)/E18</f>
        <v>-1.530218789703249E-2</v>
      </c>
      <c r="F24" s="47">
        <f t="shared" ref="F24:AC24" si="5">IFERROR((F18-E18)/F18,"")</f>
        <v>-9.8219979237327087E-2</v>
      </c>
      <c r="G24" s="47">
        <f t="shared" si="5"/>
        <v>2.6463823826784839E-2</v>
      </c>
      <c r="H24" s="47">
        <f t="shared" si="5"/>
        <v>8.0437114728596961E-3</v>
      </c>
      <c r="I24" s="47">
        <f t="shared" si="5"/>
        <v>-8.9862994514052167E-3</v>
      </c>
      <c r="J24" s="47">
        <f t="shared" si="5"/>
        <v>-1.2082013381420325E-2</v>
      </c>
      <c r="K24" s="47">
        <f t="shared" si="5"/>
        <v>-0.42922787000645296</v>
      </c>
      <c r="L24" s="47">
        <f t="shared" si="5"/>
        <v>2.3350195721608766E-2</v>
      </c>
      <c r="M24" s="47">
        <f t="shared" si="5"/>
        <v>3.1091558117374657E-2</v>
      </c>
      <c r="N24" s="47">
        <f t="shared" si="5"/>
        <v>4.5016236004262675E-2</v>
      </c>
      <c r="O24" s="47">
        <f>IFERROR((O18-N18)/O18,"")</f>
        <v>5.7157824611513775E-3</v>
      </c>
      <c r="P24" s="47">
        <f t="shared" si="5"/>
        <v>-4.2287284974842267E-3</v>
      </c>
      <c r="Q24" s="47">
        <f t="shared" si="5"/>
        <v>-4.9641521132678217E-2</v>
      </c>
      <c r="R24" s="47">
        <f t="shared" si="5"/>
        <v>4.0273375656717236E-2</v>
      </c>
      <c r="S24" s="47">
        <f t="shared" si="5"/>
        <v>5.0710623251286294E-2</v>
      </c>
      <c r="T24" s="47">
        <f t="shared" si="5"/>
        <v>7.1409714859233051E-4</v>
      </c>
      <c r="U24" s="47">
        <f t="shared" si="5"/>
        <v>4.3531885446060964E-3</v>
      </c>
      <c r="V24" s="47">
        <f t="shared" si="5"/>
        <v>-3.7039393438753894E-3</v>
      </c>
      <c r="W24" s="47">
        <f t="shared" si="5"/>
        <v>3.5434784101333876E-2</v>
      </c>
      <c r="X24" s="47">
        <f t="shared" si="5"/>
        <v>1.4201772988112855E-2</v>
      </c>
      <c r="Y24" s="47">
        <f t="shared" si="5"/>
        <v>3.5963474281533181E-2</v>
      </c>
      <c r="Z24" s="47">
        <f t="shared" si="5"/>
        <v>4.5752477532213842E-2</v>
      </c>
      <c r="AA24" s="47">
        <f t="shared" si="5"/>
        <v>3.5119397021350071E-2</v>
      </c>
      <c r="AB24" s="47">
        <f t="shared" si="5"/>
        <v>-4.1300038195095272E-3</v>
      </c>
      <c r="AC24" s="47">
        <f t="shared" si="5"/>
        <v>6.2232987208786566E-3</v>
      </c>
      <c r="AD24" s="47">
        <f t="shared" ref="AD24:AI24" si="6">IFERROR((AD18-AC18)/AD18,"")</f>
        <v>6.1063000601434964E-3</v>
      </c>
      <c r="AE24" s="47">
        <f t="shared" si="6"/>
        <v>1.5582040531517724E-2</v>
      </c>
      <c r="AF24" s="47">
        <f t="shared" si="6"/>
        <v>-1.2947600837050301E-2</v>
      </c>
      <c r="AG24" s="47">
        <f t="shared" si="6"/>
        <v>-1.9416139031990218E-2</v>
      </c>
      <c r="AH24" s="47">
        <f t="shared" si="6"/>
        <v>-3.4836782410429322E-3</v>
      </c>
      <c r="AI24" s="47">
        <f t="shared" si="6"/>
        <v>1.9070051946815086E-2</v>
      </c>
      <c r="AJ24" s="47">
        <f>IFERROR((AJ18-AI18)/AJ18,"")</f>
        <v>-2.064152790426305E-2</v>
      </c>
      <c r="AK24" s="47">
        <f>IFERROR((AK18-AJ18)/AK18,"")</f>
        <v>7.5641009173826419E-3</v>
      </c>
      <c r="AL24" s="47">
        <f>IFERROR((AL18-AK18)/AL18,"")</f>
        <v>3.5721693464048444E-2</v>
      </c>
      <c r="AM24" s="47">
        <f>IFERROR((AM18-AL18)/AM18,"")</f>
        <v>2.9799721764208371E-3</v>
      </c>
      <c r="AN24" s="47">
        <f t="shared" ref="AN24:BM24" si="7">IFERROR((AN18-AM18)/AN18,"")</f>
        <v>-2.4894691620328133E-2</v>
      </c>
      <c r="AO24" s="47">
        <f t="shared" si="7"/>
        <v>-1.487814060901128E-2</v>
      </c>
      <c r="AP24" s="47">
        <f t="shared" si="7"/>
        <v>-8.1037848163902915E-3</v>
      </c>
      <c r="AQ24" s="47">
        <f t="shared" si="7"/>
        <v>-5.568393593063904E-3</v>
      </c>
      <c r="AR24" s="47">
        <f t="shared" si="7"/>
        <v>-1.8270547083823994E-2</v>
      </c>
      <c r="AS24" s="47">
        <f t="shared" si="7"/>
        <v>-2.7657405084171787E-2</v>
      </c>
      <c r="AT24" s="47">
        <f t="shared" si="7"/>
        <v>-1.1632779485488248E-2</v>
      </c>
      <c r="AU24" s="47">
        <f t="shared" si="7"/>
        <v>3.3013470404297557E-2</v>
      </c>
      <c r="AV24" s="47">
        <f t="shared" si="7"/>
        <v>4.3394318048709211E-3</v>
      </c>
      <c r="AW24" s="47">
        <f t="shared" si="7"/>
        <v>2.633272590684502E-2</v>
      </c>
      <c r="AX24" s="47">
        <f t="shared" si="7"/>
        <v>4.7634931978378287E-2</v>
      </c>
      <c r="AY24" s="47">
        <f t="shared" si="7"/>
        <v>-1.306674441848933E-2</v>
      </c>
      <c r="AZ24" s="47">
        <f t="shared" si="7"/>
        <v>-8.8420359171771084E-3</v>
      </c>
      <c r="BA24" s="47">
        <f t="shared" si="7"/>
        <v>3.4378920852247457E-4</v>
      </c>
      <c r="BB24" s="47">
        <f t="shared" si="7"/>
        <v>7.0134082130645454E-4</v>
      </c>
      <c r="BC24" s="47">
        <f t="shared" si="7"/>
        <v>8.0496598494744498E-3</v>
      </c>
      <c r="BD24" s="47">
        <f t="shared" si="7"/>
        <v>5.5621279609139726E-3</v>
      </c>
      <c r="BE24" s="47">
        <f t="shared" si="7"/>
        <v>-3.521573807240322E-3</v>
      </c>
      <c r="BF24" s="47">
        <f t="shared" si="7"/>
        <v>1.5473247316960119E-2</v>
      </c>
      <c r="BG24" s="47">
        <f t="shared" si="7"/>
        <v>9.2024187929393084E-3</v>
      </c>
      <c r="BH24" s="47">
        <f t="shared" si="7"/>
        <v>3.5344955598994765E-3</v>
      </c>
      <c r="BI24" s="47">
        <f t="shared" si="7"/>
        <v>-5.1709004688300485E-3</v>
      </c>
      <c r="BJ24" s="47">
        <f t="shared" si="7"/>
        <v>3.8314413568269527E-2</v>
      </c>
      <c r="BK24" s="47">
        <f t="shared" si="7"/>
        <v>-1.8674986266772303E-2</v>
      </c>
      <c r="BL24" s="47">
        <f t="shared" si="7"/>
        <v>-1.2979946604618754E-2</v>
      </c>
      <c r="BM24" s="47">
        <f t="shared" si="7"/>
        <v>-1.4631697827178835E-2</v>
      </c>
      <c r="BN24" s="5"/>
      <c r="BO24" s="5"/>
    </row>
    <row r="25" spans="1:72" x14ac:dyDescent="0.25">
      <c r="A25" s="40" t="s">
        <v>33</v>
      </c>
      <c r="B25" s="47" t="e">
        <f>(B19-A19)/B19</f>
        <v>#VALUE!</v>
      </c>
      <c r="C25" s="47" t="e">
        <f t="shared" ref="C25:AC25" si="8">(C19-B19)/C19</f>
        <v>#DIV/0!</v>
      </c>
      <c r="D25" s="47" t="e">
        <f t="shared" si="8"/>
        <v>#DIV/0!</v>
      </c>
      <c r="E25" s="47" t="e">
        <f t="shared" si="8"/>
        <v>#DIV/0!</v>
      </c>
      <c r="F25" s="47">
        <f t="shared" si="8"/>
        <v>1</v>
      </c>
      <c r="G25" s="47">
        <f t="shared" si="8"/>
        <v>4.1781621084543023E-2</v>
      </c>
      <c r="H25" s="47">
        <f t="shared" si="8"/>
        <v>1.4957032239356504E-2</v>
      </c>
      <c r="I25" s="47">
        <f t="shared" si="8"/>
        <v>-2.6817524328296684E-2</v>
      </c>
      <c r="J25" s="47">
        <f t="shared" si="8"/>
        <v>-1.9364317021268628E-2</v>
      </c>
      <c r="K25" s="47">
        <f t="shared" si="8"/>
        <v>-5.064148456250113E-2</v>
      </c>
      <c r="L25" s="47">
        <f t="shared" si="8"/>
        <v>-1.6556469725079525E-2</v>
      </c>
      <c r="M25" s="47">
        <f t="shared" si="8"/>
        <v>-8.3587519400889036E-3</v>
      </c>
      <c r="N25" s="47">
        <f t="shared" si="8"/>
        <v>4.4803062468381352E-2</v>
      </c>
      <c r="O25" s="47">
        <f t="shared" si="8"/>
        <v>2.1681010854414387E-2</v>
      </c>
      <c r="P25" s="47">
        <f t="shared" si="8"/>
        <v>-1.2422863169402243E-2</v>
      </c>
      <c r="Q25" s="47">
        <f t="shared" si="8"/>
        <v>-3.8310002165951963E-2</v>
      </c>
      <c r="R25" s="47">
        <f t="shared" si="8"/>
        <v>-0.11247367188385662</v>
      </c>
      <c r="S25" s="47">
        <f t="shared" si="8"/>
        <v>1.8712787471081413E-3</v>
      </c>
      <c r="T25" s="47">
        <f t="shared" si="8"/>
        <v>3.1837247913262763E-2</v>
      </c>
      <c r="U25" s="47">
        <f t="shared" si="8"/>
        <v>-1.1253380370708957E-2</v>
      </c>
      <c r="V25" s="47">
        <f t="shared" si="8"/>
        <v>-2.9141509301381825E-3</v>
      </c>
      <c r="W25" s="47">
        <f t="shared" si="8"/>
        <v>1.1286593926649661E-2</v>
      </c>
      <c r="X25" s="47">
        <f t="shared" si="8"/>
        <v>5.8889759353172109E-2</v>
      </c>
      <c r="Y25" s="47">
        <f t="shared" si="8"/>
        <v>2.0151645880237091E-2</v>
      </c>
      <c r="Z25" s="47">
        <f t="shared" si="8"/>
        <v>2.883695364832602E-2</v>
      </c>
      <c r="AA25" s="47">
        <f t="shared" si="8"/>
        <v>-3.5189303071220535E-2</v>
      </c>
      <c r="AB25" s="47">
        <f t="shared" si="8"/>
        <v>-2.1561932397673761E-2</v>
      </c>
      <c r="AC25" s="47">
        <f t="shared" si="8"/>
        <v>-1.7623335635728054E-2</v>
      </c>
      <c r="AD25" s="47">
        <f t="shared" ref="AD25:AM25" si="9">(AD19-AC19)/AD19</f>
        <v>5.533908417027048E-3</v>
      </c>
      <c r="AE25" s="47">
        <f t="shared" si="9"/>
        <v>2.9137566834485162E-2</v>
      </c>
      <c r="AF25" s="47">
        <f t="shared" si="9"/>
        <v>1.369020262750246E-2</v>
      </c>
      <c r="AG25" s="47">
        <f t="shared" si="9"/>
        <v>-5.4555764203391959E-3</v>
      </c>
      <c r="AH25" s="47">
        <f t="shared" si="9"/>
        <v>-7.5504212160581348E-3</v>
      </c>
      <c r="AI25" s="47">
        <f t="shared" si="9"/>
        <v>2.4810255785020087E-2</v>
      </c>
      <c r="AJ25" s="47">
        <f t="shared" si="9"/>
        <v>4.5768481025044612E-3</v>
      </c>
      <c r="AK25" s="47">
        <f t="shared" si="9"/>
        <v>8.2264425023924823E-3</v>
      </c>
      <c r="AL25" s="47">
        <f t="shared" si="9"/>
        <v>5.6172877754726959E-3</v>
      </c>
      <c r="AM25" s="47">
        <f t="shared" si="9"/>
        <v>1.8401666534900937E-2</v>
      </c>
      <c r="AN25" s="47">
        <f>(AN19-AM19)/AN19</f>
        <v>1.0232036548312747E-4</v>
      </c>
      <c r="AO25" s="47">
        <f t="shared" ref="AO25:BM25" si="10">(AO19-AN19)/AO19</f>
        <v>2.8269363042833263E-2</v>
      </c>
      <c r="AP25" s="47">
        <f t="shared" si="10"/>
        <v>2.830799889723758E-2</v>
      </c>
      <c r="AQ25" s="47">
        <f t="shared" si="10"/>
        <v>1.274591069137471E-2</v>
      </c>
      <c r="AR25" s="47">
        <f t="shared" si="10"/>
        <v>1.7862393965388013E-2</v>
      </c>
      <c r="AS25" s="47">
        <f t="shared" si="10"/>
        <v>-1.6885117308426439E-2</v>
      </c>
      <c r="AT25" s="47">
        <f t="shared" si="10"/>
        <v>6.7902240083669491E-2</v>
      </c>
      <c r="AU25" s="47">
        <f t="shared" si="10"/>
        <v>4.0647875657005991E-2</v>
      </c>
      <c r="AV25" s="47">
        <f t="shared" si="10"/>
        <v>3.4543265249131476E-2</v>
      </c>
      <c r="AW25" s="47">
        <f t="shared" si="10"/>
        <v>2.3418857262762077E-2</v>
      </c>
      <c r="AX25" s="47">
        <f t="shared" si="10"/>
        <v>2.8516589130341666E-2</v>
      </c>
      <c r="AY25" s="47">
        <f t="shared" si="10"/>
        <v>5.7856214824582135E-4</v>
      </c>
      <c r="AZ25" s="47">
        <f t="shared" si="10"/>
        <v>1.0886415035193215E-3</v>
      </c>
      <c r="BA25" s="47">
        <f t="shared" si="10"/>
        <v>-1.266190100033847E-2</v>
      </c>
      <c r="BB25" s="47">
        <f t="shared" si="10"/>
        <v>7.442715345852044E-2</v>
      </c>
      <c r="BC25" s="47">
        <f t="shared" si="10"/>
        <v>2.9343387221229835E-2</v>
      </c>
      <c r="BD25" s="47">
        <f t="shared" si="10"/>
        <v>-1.9781383311225178E-3</v>
      </c>
      <c r="BE25" s="47">
        <f t="shared" si="10"/>
        <v>2.2527828515457797E-3</v>
      </c>
      <c r="BF25" s="47">
        <f t="shared" si="10"/>
        <v>1.6894525574995732E-2</v>
      </c>
      <c r="BG25" s="47">
        <f t="shared" si="10"/>
        <v>-2.2764184502608479E-2</v>
      </c>
      <c r="BH25" s="47">
        <f t="shared" si="10"/>
        <v>-1.3442086306261971E-2</v>
      </c>
      <c r="BI25" s="47">
        <f t="shared" si="10"/>
        <v>-6.8872562350396288E-3</v>
      </c>
      <c r="BJ25" s="47">
        <f t="shared" si="10"/>
        <v>-5.5374884739978463E-3</v>
      </c>
      <c r="BK25" s="47">
        <f t="shared" si="10"/>
        <v>-9.0177458732711574E-3</v>
      </c>
      <c r="BL25" s="47">
        <f t="shared" si="10"/>
        <v>-8.4975310270732594E-3</v>
      </c>
      <c r="BM25" s="47">
        <f t="shared" si="10"/>
        <v>-2.2297236861012069E-2</v>
      </c>
      <c r="BN25" s="4"/>
    </row>
    <row r="26" spans="1:72" x14ac:dyDescent="0.25">
      <c r="A26" s="40" t="s">
        <v>9</v>
      </c>
      <c r="B26" s="47" t="e">
        <f>(B20-A20)/B20</f>
        <v>#VALUE!</v>
      </c>
      <c r="C26" s="47">
        <f t="shared" ref="C26:E27" si="11">(C20-B20)/C20</f>
        <v>1.6027297533952765E-3</v>
      </c>
      <c r="D26" s="47">
        <f t="shared" si="11"/>
        <v>-1.778697001415088E-3</v>
      </c>
      <c r="E26" s="47">
        <f t="shared" si="11"/>
        <v>-2.3371544490756506E-2</v>
      </c>
      <c r="F26" s="47">
        <f t="shared" ref="F26:AC26" si="12">IFERROR((F20-E20)/F20,"")</f>
        <v>0.20241661212476347</v>
      </c>
      <c r="G26" s="47">
        <f t="shared" si="12"/>
        <v>1.6488498076316849E-2</v>
      </c>
      <c r="H26" s="47">
        <f t="shared" si="12"/>
        <v>2.1568056159143492E-2</v>
      </c>
      <c r="I26" s="47">
        <f t="shared" si="12"/>
        <v>-1.1143202376967748E-2</v>
      </c>
      <c r="J26" s="47">
        <f t="shared" si="12"/>
        <v>5.9378279825679919E-3</v>
      </c>
      <c r="K26" s="47">
        <f t="shared" si="12"/>
        <v>-1.3721807937370179E-2</v>
      </c>
      <c r="L26" s="47">
        <f t="shared" si="12"/>
        <v>6.2713357224559087E-3</v>
      </c>
      <c r="M26" s="47">
        <f t="shared" si="12"/>
        <v>1.7446508767623832E-2</v>
      </c>
      <c r="N26" s="47">
        <f t="shared" si="12"/>
        <v>1.1450021624825181E-2</v>
      </c>
      <c r="O26" s="47">
        <f t="shared" si="12"/>
        <v>1.5336810819320023E-2</v>
      </c>
      <c r="P26" s="47">
        <f t="shared" si="12"/>
        <v>7.8258763266531514E-3</v>
      </c>
      <c r="Q26" s="47">
        <f t="shared" si="12"/>
        <v>-4.8392736337680214E-3</v>
      </c>
      <c r="R26" s="47">
        <f t="shared" si="12"/>
        <v>-3.3676852187141172E-3</v>
      </c>
      <c r="S26" s="47">
        <f t="shared" si="12"/>
        <v>7.6272762453081702E-3</v>
      </c>
      <c r="T26" s="47">
        <f t="shared" si="12"/>
        <v>2.0220763713368787E-2</v>
      </c>
      <c r="U26" s="47">
        <f t="shared" si="12"/>
        <v>1.2574751743033298E-2</v>
      </c>
      <c r="V26" s="47">
        <f t="shared" si="12"/>
        <v>3.3823470733711586E-2</v>
      </c>
      <c r="W26" s="47">
        <f t="shared" si="12"/>
        <v>5.7141093122384627E-3</v>
      </c>
      <c r="X26" s="47">
        <f t="shared" si="12"/>
        <v>1.026192485549351E-2</v>
      </c>
      <c r="Y26" s="47">
        <f t="shared" si="12"/>
        <v>1.9424584497986522E-2</v>
      </c>
      <c r="Z26" s="47">
        <f t="shared" si="12"/>
        <v>-8.169746672608369E-4</v>
      </c>
      <c r="AA26" s="47">
        <f t="shared" si="12"/>
        <v>2.2735053355428217E-3</v>
      </c>
      <c r="AB26" s="47">
        <f t="shared" si="12"/>
        <v>1.1543684254790307E-2</v>
      </c>
      <c r="AC26" s="47">
        <f t="shared" si="12"/>
        <v>-2.5021715680960399E-2</v>
      </c>
      <c r="AD26" s="47">
        <f t="shared" ref="AD26:AM27" si="13">IFERROR((AD20-AC20)/AD20,"")</f>
        <v>7.4213808121330414E-3</v>
      </c>
      <c r="AE26" s="47">
        <f t="shared" si="13"/>
        <v>9.1195553748461763E-3</v>
      </c>
      <c r="AF26" s="47">
        <f t="shared" si="13"/>
        <v>-4.9282445763253737E-3</v>
      </c>
      <c r="AG26" s="47">
        <f t="shared" si="13"/>
        <v>-3.2812891882625312E-3</v>
      </c>
      <c r="AH26" s="47">
        <f t="shared" si="13"/>
        <v>8.8443872454879186E-3</v>
      </c>
      <c r="AI26" s="47">
        <f t="shared" si="13"/>
        <v>-3.1995490876357137E-3</v>
      </c>
      <c r="AJ26" s="47">
        <f t="shared" si="13"/>
        <v>4.084000726023225E-3</v>
      </c>
      <c r="AK26" s="47">
        <f t="shared" si="13"/>
        <v>-3.5849481611046467E-3</v>
      </c>
      <c r="AL26" s="47">
        <f t="shared" si="13"/>
        <v>-2.9530198707739489E-3</v>
      </c>
      <c r="AM26" s="47">
        <f t="shared" si="13"/>
        <v>9.6391661429803023E-3</v>
      </c>
      <c r="AN26" s="47">
        <f>IFERROR((AN20-AM20)/AN20,"")</f>
        <v>1.2395467351485463E-2</v>
      </c>
      <c r="AO26" s="47">
        <f t="shared" ref="AO26:BM27" si="14">IFERROR((AO20-AN20)/AO20,"")</f>
        <v>-2.2036325852622645E-2</v>
      </c>
      <c r="AP26" s="47">
        <f t="shared" si="14"/>
        <v>-9.349109454582262E-3</v>
      </c>
      <c r="AQ26" s="47">
        <f t="shared" si="14"/>
        <v>8.1018532901483923E-3</v>
      </c>
      <c r="AR26" s="47">
        <f t="shared" si="14"/>
        <v>-1.989446414208787E-2</v>
      </c>
      <c r="AS26" s="47">
        <f t="shared" si="14"/>
        <v>-2.2169573256523535E-3</v>
      </c>
      <c r="AT26" s="47">
        <f t="shared" si="14"/>
        <v>-1.910889955941307E-2</v>
      </c>
      <c r="AU26" s="47">
        <f t="shared" si="14"/>
        <v>-1.9864612831326775E-2</v>
      </c>
      <c r="AV26" s="47">
        <f t="shared" si="14"/>
        <v>4.0637533861333265E-3</v>
      </c>
      <c r="AW26" s="47">
        <f t="shared" si="14"/>
        <v>-2.2703873633726332E-4</v>
      </c>
      <c r="AX26" s="47">
        <f t="shared" si="14"/>
        <v>4.4471741514531311E-5</v>
      </c>
      <c r="AY26" s="47">
        <f t="shared" si="14"/>
        <v>-6.0329235161117488E-3</v>
      </c>
      <c r="AZ26" s="47">
        <f t="shared" si="14"/>
        <v>1.0643412737887138E-3</v>
      </c>
      <c r="BA26" s="47">
        <f t="shared" si="14"/>
        <v>-1.0498627767125309E-2</v>
      </c>
      <c r="BB26" s="47">
        <f t="shared" si="14"/>
        <v>6.9349125474853978E-3</v>
      </c>
      <c r="BC26" s="47">
        <f t="shared" si="14"/>
        <v>1.4137325971592757E-2</v>
      </c>
      <c r="BD26" s="47">
        <f t="shared" si="14"/>
        <v>1.7995141523851087E-2</v>
      </c>
      <c r="BE26" s="47">
        <f t="shared" si="14"/>
        <v>1.3748880821236742E-2</v>
      </c>
      <c r="BF26" s="47">
        <f t="shared" si="14"/>
        <v>6.3168897576103625E-3</v>
      </c>
      <c r="BG26" s="47">
        <f t="shared" si="14"/>
        <v>1.8250619613375388E-2</v>
      </c>
      <c r="BH26" s="47">
        <f t="shared" si="14"/>
        <v>2.7139233709817072E-2</v>
      </c>
      <c r="BI26" s="47">
        <f t="shared" si="14"/>
        <v>6.3922647230029654E-4</v>
      </c>
      <c r="BJ26" s="47">
        <f t="shared" si="14"/>
        <v>6.5839360928816402E-3</v>
      </c>
      <c r="BK26" s="47">
        <f t="shared" si="14"/>
        <v>-4.4921495946376568E-3</v>
      </c>
      <c r="BL26" s="47">
        <f t="shared" si="14"/>
        <v>1.0878121860314985E-2</v>
      </c>
      <c r="BM26" s="47">
        <f t="shared" si="14"/>
        <v>5.6435304942831846E-3</v>
      </c>
      <c r="BN26" s="5"/>
      <c r="BO26" s="5"/>
    </row>
    <row r="27" spans="1:72" x14ac:dyDescent="0.25">
      <c r="A27" s="43" t="s">
        <v>10</v>
      </c>
      <c r="B27" s="48" t="e">
        <f>(B21-A21)/B21</f>
        <v>#VALUE!</v>
      </c>
      <c r="C27" s="48">
        <f t="shared" si="11"/>
        <v>3.3813287114325484E-2</v>
      </c>
      <c r="D27" s="48">
        <f t="shared" si="11"/>
        <v>0.99999899734858144</v>
      </c>
      <c r="E27" s="48">
        <f t="shared" si="11"/>
        <v>-1.7255246246425875E-2</v>
      </c>
      <c r="F27" s="48">
        <f t="shared" ref="F27:AC27" si="15">IFERROR((F21-E21)/F21,"")</f>
        <v>-808998.42056758655</v>
      </c>
      <c r="G27" s="48">
        <f t="shared" si="15"/>
        <v>2.7091933030331864E-2</v>
      </c>
      <c r="H27" s="48">
        <f t="shared" si="15"/>
        <v>1.2737692334944579E-2</v>
      </c>
      <c r="I27" s="48">
        <f t="shared" si="15"/>
        <v>-1.3027215452299387E-2</v>
      </c>
      <c r="J27" s="48">
        <f t="shared" si="15"/>
        <v>-9.0111140961696475E-3</v>
      </c>
      <c r="K27" s="48">
        <f t="shared" si="15"/>
        <v>-0.21908482872512694</v>
      </c>
      <c r="L27" s="48">
        <f t="shared" si="15"/>
        <v>9.4535486781412298E-3</v>
      </c>
      <c r="M27" s="48">
        <f t="shared" si="15"/>
        <v>1.8557908090718563E-2</v>
      </c>
      <c r="N27" s="48">
        <f t="shared" si="15"/>
        <v>3.5195260761202753E-2</v>
      </c>
      <c r="O27" s="48">
        <f t="shared" si="15"/>
        <v>1.2020177930751086E-2</v>
      </c>
      <c r="P27" s="48">
        <f t="shared" si="15"/>
        <v>-2.4452559333477644E-3</v>
      </c>
      <c r="Q27" s="48">
        <f t="shared" si="15"/>
        <v>-3.3592986660258756E-2</v>
      </c>
      <c r="R27" s="48">
        <f t="shared" si="15"/>
        <v>-2.6593668357141986E-3</v>
      </c>
      <c r="S27" s="48">
        <f t="shared" si="15"/>
        <v>2.867623812301939E-2</v>
      </c>
      <c r="T27" s="48">
        <f t="shared" si="15"/>
        <v>1.2557403591465576E-2</v>
      </c>
      <c r="U27" s="48">
        <f t="shared" si="15"/>
        <v>3.8700897358990923E-3</v>
      </c>
      <c r="V27" s="48">
        <f t="shared" si="15"/>
        <v>8.0787500311889811E-3</v>
      </c>
      <c r="W27" s="48">
        <f t="shared" si="15"/>
        <v>2.1880525269187295E-2</v>
      </c>
      <c r="X27" s="48">
        <f t="shared" si="15"/>
        <v>2.1652006815479817E-2</v>
      </c>
      <c r="Y27" s="48">
        <f t="shared" si="15"/>
        <v>2.798914643015463E-2</v>
      </c>
      <c r="Z27" s="48">
        <f t="shared" si="15"/>
        <v>2.9007580336480904E-2</v>
      </c>
      <c r="AA27" s="48">
        <f t="shared" si="15"/>
        <v>1.2843410096570213E-2</v>
      </c>
      <c r="AB27" s="48">
        <f t="shared" si="15"/>
        <v>-2.6971334140825764E-3</v>
      </c>
      <c r="AC27" s="48">
        <f t="shared" si="15"/>
        <v>-6.9426160874899896E-3</v>
      </c>
      <c r="AD27" s="48">
        <f t="shared" si="13"/>
        <v>6.381075327823899E-3</v>
      </c>
      <c r="AE27" s="48">
        <f t="shared" si="13"/>
        <v>1.6182886071911387E-2</v>
      </c>
      <c r="AF27" s="48">
        <f t="shared" si="13"/>
        <v>-5.7838022398555436E-3</v>
      </c>
      <c r="AG27" s="48">
        <f t="shared" si="13"/>
        <v>-1.2210644673524082E-2</v>
      </c>
      <c r="AH27" s="48">
        <f t="shared" si="13"/>
        <v>-6.5835532209579471E-4</v>
      </c>
      <c r="AI27" s="48">
        <f t="shared" si="13"/>
        <v>1.3793114234842248E-2</v>
      </c>
      <c r="AJ27" s="48">
        <f t="shared" si="13"/>
        <v>-8.7730483418349842E-3</v>
      </c>
      <c r="AK27" s="48">
        <f t="shared" si="13"/>
        <v>4.4993652717590484E-3</v>
      </c>
      <c r="AL27" s="48">
        <f t="shared" si="13"/>
        <v>1.9304516573564884E-2</v>
      </c>
      <c r="AM27" s="48">
        <f t="shared" si="13"/>
        <v>7.7453716924214926E-3</v>
      </c>
      <c r="AN27" s="48">
        <f>IFERROR((AN21-AM21)/AN21,"")</f>
        <v>-9.4678550359456777E-3</v>
      </c>
      <c r="AO27" s="48">
        <f t="shared" si="14"/>
        <v>-8.4038722079521361E-3</v>
      </c>
      <c r="AP27" s="48">
        <f t="shared" si="14"/>
        <v>-1.0650846547868719E-3</v>
      </c>
      <c r="AQ27" s="48">
        <f t="shared" si="14"/>
        <v>2.0435033633033539E-3</v>
      </c>
      <c r="AR27" s="48">
        <f t="shared" si="14"/>
        <v>-1.1095410501821465E-2</v>
      </c>
      <c r="AS27" s="48">
        <f t="shared" si="14"/>
        <v>-1.8153356166938226E-2</v>
      </c>
      <c r="AT27" s="48">
        <f t="shared" si="14"/>
        <v>4.2545521431071034E-3</v>
      </c>
      <c r="AU27" s="48">
        <f t="shared" si="14"/>
        <v>2.0680578972170634E-2</v>
      </c>
      <c r="AV27" s="48">
        <f t="shared" si="14"/>
        <v>1.1396708007365123E-2</v>
      </c>
      <c r="AW27" s="48">
        <f t="shared" si="14"/>
        <v>1.8748332272874965E-2</v>
      </c>
      <c r="AX27" s="48">
        <f t="shared" ref="AX27:BC27" si="16">IFERROR((AX21-AW21)/AX21,"")</f>
        <v>3.1145050220082758E-2</v>
      </c>
      <c r="AY27" s="48">
        <f t="shared" si="16"/>
        <v>-8.0387393007591394E-3</v>
      </c>
      <c r="AZ27" s="48">
        <f t="shared" si="16"/>
        <v>-3.9520515360274297E-3</v>
      </c>
      <c r="BA27" s="48">
        <f t="shared" si="16"/>
        <v>-5.4848928478341248E-3</v>
      </c>
      <c r="BB27" s="48">
        <f t="shared" si="16"/>
        <v>2.0820953376956764E-2</v>
      </c>
      <c r="BC27" s="48">
        <f t="shared" si="16"/>
        <v>1.5003757249947873E-2</v>
      </c>
      <c r="BD27" s="48">
        <f t="shared" ref="BD27:BM27" si="17">IFERROR((BD21-BC21)/BD21,"")</f>
        <v>6.7731290157459455E-3</v>
      </c>
      <c r="BE27" s="48">
        <f t="shared" si="17"/>
        <v>2.3277215076779631E-3</v>
      </c>
      <c r="BF27" s="48">
        <f t="shared" si="17"/>
        <v>1.3525943391388091E-2</v>
      </c>
      <c r="BG27" s="48">
        <f t="shared" si="17"/>
        <v>3.6004850103531099E-3</v>
      </c>
      <c r="BH27" s="48">
        <f t="shared" si="17"/>
        <v>5.5829692343028195E-3</v>
      </c>
      <c r="BI27" s="48">
        <f t="shared" si="17"/>
        <v>-4.059964095250829E-3</v>
      </c>
      <c r="BJ27" s="48">
        <f t="shared" si="17"/>
        <v>1.9725830281365771E-2</v>
      </c>
      <c r="BK27" s="48">
        <f t="shared" si="17"/>
        <v>-1.2677273055119426E-2</v>
      </c>
      <c r="BL27" s="48">
        <f t="shared" si="17"/>
        <v>-5.5791124387162636E-3</v>
      </c>
      <c r="BM27" s="48">
        <f t="shared" si="17"/>
        <v>-1.0945182843484707E-2</v>
      </c>
      <c r="BN27" s="5"/>
      <c r="BO27" s="5"/>
      <c r="BQ27" s="4"/>
    </row>
    <row r="29" spans="1:72" x14ac:dyDescent="0.25">
      <c r="A29" s="46" t="s">
        <v>61</v>
      </c>
      <c r="B29" s="38">
        <v>44075</v>
      </c>
      <c r="C29" s="38">
        <v>44105</v>
      </c>
      <c r="D29" s="38">
        <v>44136</v>
      </c>
      <c r="E29" s="38">
        <v>44166</v>
      </c>
      <c r="F29" s="38">
        <v>44197</v>
      </c>
      <c r="G29" s="38">
        <v>44228</v>
      </c>
      <c r="H29" s="38">
        <v>44256</v>
      </c>
      <c r="I29" s="38">
        <v>44287</v>
      </c>
      <c r="J29" s="38">
        <v>44317</v>
      </c>
      <c r="K29" s="38">
        <v>44348</v>
      </c>
      <c r="L29" s="38">
        <v>44378</v>
      </c>
      <c r="M29" s="38">
        <v>44409</v>
      </c>
      <c r="N29" s="38">
        <v>44440</v>
      </c>
      <c r="O29" s="38">
        <v>44470</v>
      </c>
      <c r="P29" s="38">
        <v>44501</v>
      </c>
      <c r="Q29" s="38">
        <v>44531</v>
      </c>
      <c r="R29" s="38">
        <v>44562</v>
      </c>
      <c r="S29" s="38">
        <v>44593</v>
      </c>
      <c r="T29" s="38">
        <v>44621</v>
      </c>
      <c r="U29" s="38">
        <v>44652</v>
      </c>
      <c r="V29" s="38">
        <v>44682</v>
      </c>
      <c r="W29" s="38">
        <v>44713</v>
      </c>
      <c r="X29" s="38">
        <v>44743</v>
      </c>
      <c r="Y29" s="38">
        <v>44774</v>
      </c>
      <c r="Z29" s="38">
        <v>44805</v>
      </c>
      <c r="AA29" s="38">
        <v>44835</v>
      </c>
      <c r="AB29" s="38">
        <v>44866</v>
      </c>
      <c r="AC29" s="38">
        <v>44896</v>
      </c>
      <c r="AD29" s="38">
        <v>44927</v>
      </c>
      <c r="AE29" s="38">
        <v>44958</v>
      </c>
      <c r="AF29" s="38">
        <v>44986</v>
      </c>
      <c r="AG29" s="38">
        <v>45017</v>
      </c>
      <c r="AH29" s="38">
        <v>45047</v>
      </c>
      <c r="AI29" s="38">
        <v>45078</v>
      </c>
      <c r="AJ29" s="38">
        <v>45108</v>
      </c>
      <c r="AK29" s="38">
        <v>45139</v>
      </c>
      <c r="AL29" s="38">
        <v>45170</v>
      </c>
      <c r="AM29" s="38">
        <v>45200</v>
      </c>
      <c r="AN29" s="38">
        <v>45231</v>
      </c>
      <c r="AO29" s="38">
        <v>45261</v>
      </c>
      <c r="AP29" s="38">
        <v>45292</v>
      </c>
      <c r="AQ29" s="38">
        <v>45323</v>
      </c>
      <c r="AR29" s="38">
        <v>45352</v>
      </c>
      <c r="AS29" s="38">
        <v>45383</v>
      </c>
      <c r="AT29" s="38">
        <v>45413</v>
      </c>
      <c r="AU29" s="38">
        <v>45444</v>
      </c>
      <c r="AV29" s="38">
        <v>45474</v>
      </c>
      <c r="AW29" s="38">
        <v>45505</v>
      </c>
      <c r="AX29" s="38">
        <v>45536</v>
      </c>
      <c r="AY29" s="38">
        <v>45566</v>
      </c>
      <c r="AZ29" s="38">
        <v>45597</v>
      </c>
      <c r="BA29" s="38">
        <v>45627</v>
      </c>
      <c r="BB29" s="38">
        <v>45658</v>
      </c>
      <c r="BC29" s="38">
        <v>45689</v>
      </c>
      <c r="BD29" s="38">
        <v>45717</v>
      </c>
      <c r="BE29" s="38">
        <v>45748</v>
      </c>
      <c r="BF29" s="38">
        <v>45778</v>
      </c>
      <c r="BG29" s="38">
        <v>45809</v>
      </c>
      <c r="BH29" s="38">
        <v>45839</v>
      </c>
      <c r="BI29" s="38">
        <v>45870</v>
      </c>
      <c r="BJ29" s="38">
        <v>45901</v>
      </c>
      <c r="BK29" s="38">
        <v>45931</v>
      </c>
      <c r="BL29" s="38">
        <v>45962</v>
      </c>
      <c r="BM29" s="38">
        <v>45992</v>
      </c>
      <c r="BN29" s="2"/>
      <c r="BO29" s="2"/>
    </row>
    <row r="30" spans="1:72" x14ac:dyDescent="0.25">
      <c r="A30" s="40" t="s">
        <v>12</v>
      </c>
      <c r="B30" s="47"/>
      <c r="C30" s="47">
        <f>(C18-$B$18)/C18</f>
        <v>4.4168594326548301E-2</v>
      </c>
      <c r="D30" s="47">
        <f>(D18-$B$18)/D18</f>
        <v>4.1365799166366693E-2</v>
      </c>
      <c r="E30" s="47">
        <f>(E18-$B$18)/E18</f>
        <v>2.6696598500688857E-2</v>
      </c>
      <c r="F30" s="47">
        <f t="shared" ref="F30:Q30" si="18">IFERROR((F18-$E$18)/F18,"")</f>
        <v>-9.8219979237327087E-2</v>
      </c>
      <c r="G30" s="47">
        <f t="shared" si="18"/>
        <v>-6.9156879183735157E-2</v>
      </c>
      <c r="H30" s="47">
        <f t="shared" si="18"/>
        <v>-6.0556889728358085E-2</v>
      </c>
      <c r="I30" s="47">
        <f t="shared" si="18"/>
        <v>-7.008737152470805E-2</v>
      </c>
      <c r="J30" s="47">
        <f t="shared" si="18"/>
        <v>-8.3016181466758474E-2</v>
      </c>
      <c r="K30" s="47">
        <f t="shared" si="18"/>
        <v>-0.54787691022025731</v>
      </c>
      <c r="L30" s="47">
        <f t="shared" si="18"/>
        <v>-0.51173368141365527</v>
      </c>
      <c r="M30" s="47">
        <f t="shared" si="18"/>
        <v>-0.46473152579998989</v>
      </c>
      <c r="N30" s="47">
        <f t="shared" si="18"/>
        <v>-0.39879482575169378</v>
      </c>
      <c r="O30" s="47">
        <f t="shared" si="18"/>
        <v>-0.39079961881991299</v>
      </c>
      <c r="P30" s="47">
        <f t="shared" si="18"/>
        <v>-0.39668093280230693</v>
      </c>
      <c r="Q30" s="47">
        <f t="shared" si="18"/>
        <v>-0.46601429884362139</v>
      </c>
      <c r="R30" s="47">
        <f>IFERROR((R18-$Q$18)/R18,"")</f>
        <v>4.0273375656717236E-2</v>
      </c>
      <c r="S30" s="47">
        <f t="shared" ref="S30:X30" si="19">IFERROR((S18-$Q$18)/S18,"")</f>
        <v>8.8941710928018211E-2</v>
      </c>
      <c r="T30" s="47">
        <f t="shared" si="19"/>
        <v>8.9592295054445922E-2</v>
      </c>
      <c r="U30" s="47">
        <f t="shared" si="19"/>
        <v>9.3555471446536032E-2</v>
      </c>
      <c r="V30" s="47">
        <f t="shared" si="19"/>
        <v>9.019805589418628E-2</v>
      </c>
      <c r="W30" s="47">
        <f t="shared" si="19"/>
        <v>0.12243669135854962</v>
      </c>
      <c r="X30" s="47">
        <f t="shared" si="19"/>
        <v>0.13489964625057271</v>
      </c>
      <c r="Y30" s="47">
        <f>IFERROR((Y18-$Q$18)/Y18,"")</f>
        <v>0.16601166057358549</v>
      </c>
      <c r="Z30" s="47">
        <f>IFERROR((Z18-$Q$18)/Z18,"")</f>
        <v>0.20416869333532087</v>
      </c>
      <c r="AA30" s="47">
        <f>IFERROR((AA18-$Q$18)/AA18,"")</f>
        <v>0.23211780895609752</v>
      </c>
      <c r="AB30" s="47">
        <f>IFERROR((AB18-$Q$18)/AB18,"")</f>
        <v>0.22894645257415286</v>
      </c>
      <c r="AC30" s="47">
        <f>IFERROR((AC18-$Q$18)/AC18,"")</f>
        <v>0.23374494912957708</v>
      </c>
      <c r="AD30" s="47">
        <f t="shared" ref="AD30:AI30" si="20">IFERROR((AD18-$AC$18)/AD18,"")</f>
        <v>6.1063000601434964E-3</v>
      </c>
      <c r="AE30" s="47">
        <f t="shared" si="20"/>
        <v>2.1593191976626454E-2</v>
      </c>
      <c r="AF30" s="47">
        <f t="shared" si="20"/>
        <v>8.9251711700873114E-3</v>
      </c>
      <c r="AG30" s="47">
        <f t="shared" si="20"/>
        <v>-1.031767549758018E-2</v>
      </c>
      <c r="AH30" s="47">
        <f t="shared" si="20"/>
        <v>-1.3837297200252174E-2</v>
      </c>
      <c r="AI30" s="47">
        <f t="shared" si="20"/>
        <v>5.4966327229752374E-3</v>
      </c>
      <c r="AJ30" s="47">
        <f t="shared" ref="AJ30:AO30" si="21">IFERROR((AJ18-$AC$18)/AJ18,"")</f>
        <v>-1.5031436283557032E-2</v>
      </c>
      <c r="AK30" s="47">
        <f t="shared" si="21"/>
        <v>-7.3536360651923578E-3</v>
      </c>
      <c r="AL30" s="47">
        <f t="shared" si="21"/>
        <v>2.8630741732223058E-2</v>
      </c>
      <c r="AM30" s="47">
        <f t="shared" si="21"/>
        <v>3.1525395094891578E-2</v>
      </c>
      <c r="AN30" s="47">
        <f t="shared" si="21"/>
        <v>7.4155184636597793E-3</v>
      </c>
      <c r="AO30" s="47">
        <f t="shared" si="21"/>
        <v>-7.3522930189604523E-3</v>
      </c>
      <c r="AP30" s="47">
        <f t="shared" ref="AP30:AU30" si="22">IFERROR((AP18-$AO$18)/AP18,"")</f>
        <v>-8.1037848163902915E-3</v>
      </c>
      <c r="AQ30" s="47">
        <f t="shared" si="22"/>
        <v>-1.3717303472905352E-2</v>
      </c>
      <c r="AR30" s="47">
        <f t="shared" si="22"/>
        <v>-3.2238473195694166E-2</v>
      </c>
      <c r="AS30" s="47">
        <f t="shared" si="22"/>
        <v>-6.0787510792334479E-2</v>
      </c>
      <c r="AT30" s="47">
        <f t="shared" si="22"/>
        <v>-7.3127417986341689E-2</v>
      </c>
      <c r="AU30" s="47">
        <f t="shared" si="22"/>
        <v>-3.7699757732609349E-2</v>
      </c>
      <c r="AV30" s="47">
        <f t="shared" ref="AV30:BA30" si="23">IFERROR((AV18-$AO$18)/AV18,"")</f>
        <v>-3.3196730399997612E-2</v>
      </c>
      <c r="AW30" s="47">
        <f t="shared" si="23"/>
        <v>-5.9898440905260288E-3</v>
      </c>
      <c r="AX30" s="47">
        <f t="shared" si="23"/>
        <v>4.1930413703665556E-2</v>
      </c>
      <c r="AY30" s="47">
        <f t="shared" si="23"/>
        <v>2.9411563284403548E-2</v>
      </c>
      <c r="AZ30" s="47">
        <f t="shared" si="23"/>
        <v>2.082958546616746E-2</v>
      </c>
      <c r="BA30" s="47">
        <f t="shared" si="23"/>
        <v>2.1166213687988669E-2</v>
      </c>
      <c r="BB30" s="47">
        <f t="shared" ref="BB30:BG30" si="24">IFERROR((BB18-$BA$18)/BB18,"")</f>
        <v>7.0134082130645454E-4</v>
      </c>
      <c r="BC30" s="47">
        <f t="shared" si="24"/>
        <v>8.7453551157308362E-3</v>
      </c>
      <c r="BD30" s="47">
        <f t="shared" si="24"/>
        <v>1.425884029242748E-2</v>
      </c>
      <c r="BE30" s="47">
        <f t="shared" si="24"/>
        <v>1.0787480043682593E-2</v>
      </c>
      <c r="BF30" s="47">
        <f t="shared" si="24"/>
        <v>2.6093810014000039E-2</v>
      </c>
      <c r="BG30" s="47">
        <f t="shared" si="24"/>
        <v>3.5056102639287129E-2</v>
      </c>
      <c r="BH30" s="47">
        <f t="shared" ref="BH30:BI30" si="25">IFERROR((BH18-$BA$18)/BH18,"")</f>
        <v>3.8466692560060661E-2</v>
      </c>
      <c r="BI30" s="47">
        <f t="shared" si="25"/>
        <v>3.3494699529823771E-2</v>
      </c>
      <c r="BJ30" s="47">
        <f t="shared" ref="BJ30:BK30" si="26">IFERROR((BJ18-$BA$18)/BJ18,"")</f>
        <v>7.0525783327962707E-2</v>
      </c>
      <c r="BK30" s="47">
        <f t="shared" si="26"/>
        <v>5.3167865096293468E-2</v>
      </c>
      <c r="BL30" s="47">
        <f t="shared" ref="BL30:BM30" si="27">IFERROR((BL18-$BA$18)/BL18,"")</f>
        <v>4.0878034541706181E-2</v>
      </c>
      <c r="BM30" s="47">
        <f t="shared" si="27"/>
        <v>2.6844451763710569E-2</v>
      </c>
      <c r="BN30" s="5"/>
      <c r="BO30" s="5"/>
    </row>
    <row r="31" spans="1:72" x14ac:dyDescent="0.25">
      <c r="A31" s="40" t="s">
        <v>33</v>
      </c>
      <c r="B31" s="47"/>
      <c r="C31" s="47"/>
      <c r="D31" s="47"/>
      <c r="E31" s="47"/>
      <c r="F31" s="47"/>
      <c r="G31" s="47">
        <f>IFERROR((G19-$F$19)/G19,"")</f>
        <v>4.1781621084543023E-2</v>
      </c>
      <c r="H31" s="47">
        <f>IFERROR((H19-$F$19)/H19,"")</f>
        <v>5.6113724270325439E-2</v>
      </c>
      <c r="I31" s="47">
        <f>IFERROR((I19-$F$19)/I19,"")</f>
        <v>3.080103110779954E-2</v>
      </c>
      <c r="J31" s="47">
        <f>IFERROR((J19-$F$19)/J19,"")</f>
        <v>1.2033155017484297E-2</v>
      </c>
      <c r="K31" s="47">
        <f>IFERROR((K19-$F$19)/K19,"")</f>
        <v>-3.7998952710960723E-2</v>
      </c>
      <c r="L31" s="47">
        <f t="shared" ref="L31:Q31" si="28">IFERROR((L19-$F$19)/L19,"")</f>
        <v>-5.5184550946183998E-2</v>
      </c>
      <c r="M31" s="47">
        <f t="shared" si="28"/>
        <v>-6.4004576858557247E-2</v>
      </c>
      <c r="N31" s="47">
        <f t="shared" si="28"/>
        <v>-1.6333913334919639E-2</v>
      </c>
      <c r="O31" s="47">
        <f t="shared" si="28"/>
        <v>5.701233271804205E-3</v>
      </c>
      <c r="P31" s="47">
        <f t="shared" si="28"/>
        <v>-6.6508042567655712E-3</v>
      </c>
      <c r="Q31" s="47">
        <f t="shared" si="28"/>
        <v>-4.5215598748199547E-2</v>
      </c>
      <c r="R31" s="47">
        <f>IFERROR((R19-$Q$19)/R19,"")</f>
        <v>-0.11247367188385662</v>
      </c>
      <c r="S31" s="47">
        <f t="shared" ref="S31:X31" si="29">IFERROR((S19-$Q$19)/S19,"")</f>
        <v>-0.11039192354494301</v>
      </c>
      <c r="T31" s="47">
        <f t="shared" si="29"/>
        <v>-7.5040100594157944E-2</v>
      </c>
      <c r="U31" s="47">
        <f t="shared" si="29"/>
        <v>-8.7137935759909219E-2</v>
      </c>
      <c r="V31" s="47">
        <f t="shared" si="29"/>
        <v>-9.0306019786592473E-2</v>
      </c>
      <c r="W31" s="47">
        <f t="shared" si="29"/>
        <v>-7.8000178485479549E-2</v>
      </c>
      <c r="X31" s="47">
        <f t="shared" si="29"/>
        <v>-1.4517007391793074E-2</v>
      </c>
      <c r="Y31" s="47">
        <f>IFERROR((Y19-$Q$19)/Y19,"")</f>
        <v>5.927180080644215E-3</v>
      </c>
      <c r="Z31" s="47">
        <f>IFERROR((Z19-$Q$19)/Z19,"")</f>
        <v>3.4593211911719414E-2</v>
      </c>
      <c r="AA31" s="47">
        <f>IFERROR((AA19-$Q$19)/AA19,"")</f>
        <v>6.2121985866733125E-4</v>
      </c>
      <c r="AB31" s="47">
        <f>IFERROR((AB19-$Q$19)/AB19,"")</f>
        <v>-2.0927317838409752E-2</v>
      </c>
      <c r="AC31" s="47">
        <f>IFERROR((AC19-$Q$19)/AC19,"")</f>
        <v>-3.8919462620359661E-2</v>
      </c>
      <c r="AD31" s="47">
        <f t="shared" ref="AD31:AI31" si="30">IFERROR((AD19-$AC$19)/AD19,"")</f>
        <v>5.533908417027048E-3</v>
      </c>
      <c r="AE31" s="47">
        <f t="shared" si="30"/>
        <v>3.4510230625155167E-2</v>
      </c>
      <c r="AF31" s="47">
        <f t="shared" si="30"/>
        <v>4.7727981202677412E-2</v>
      </c>
      <c r="AG31" s="47">
        <f t="shared" si="30"/>
        <v>4.2532788431177929E-2</v>
      </c>
      <c r="AH31" s="47">
        <f t="shared" si="30"/>
        <v>3.5303507683268676E-2</v>
      </c>
      <c r="AI31" s="47">
        <f t="shared" si="30"/>
        <v>5.9237874412558449E-2</v>
      </c>
      <c r="AJ31" s="47">
        <f t="shared" ref="AJ31:AO31" si="31">IFERROR((AJ19-$AC$19)/AJ19,"")</f>
        <v>6.3543599761961389E-2</v>
      </c>
      <c r="AK31" s="47">
        <f t="shared" si="31"/>
        <v>7.124730449451705E-2</v>
      </c>
      <c r="AL31" s="47">
        <f t="shared" si="31"/>
        <v>7.6464375657417316E-2</v>
      </c>
      <c r="AM31" s="47">
        <f t="shared" si="31"/>
        <v>9.3458970249671064E-2</v>
      </c>
      <c r="AN31" s="47">
        <f t="shared" si="31"/>
        <v>9.3551727859160577E-2</v>
      </c>
      <c r="AO31" s="47">
        <f t="shared" si="31"/>
        <v>0.11917644314385889</v>
      </c>
      <c r="AP31" s="47">
        <f t="shared" ref="AP31:AU31" si="32">IFERROR((AP19-$AO$19)/AP19,"")</f>
        <v>2.830799889723758E-2</v>
      </c>
      <c r="AQ31" s="47">
        <f t="shared" si="32"/>
        <v>4.0693098362816565E-2</v>
      </c>
      <c r="AR31" s="47">
        <f t="shared" si="32"/>
        <v>5.7828616173575667E-2</v>
      </c>
      <c r="AS31" s="47">
        <f t="shared" si="32"/>
        <v>4.191994183302402E-2</v>
      </c>
      <c r="AT31" s="47">
        <f t="shared" si="32"/>
        <v>0.10697572396205406</v>
      </c>
      <c r="AU31" s="47">
        <f t="shared" si="32"/>
        <v>0.14327526369313229</v>
      </c>
      <c r="AV31" s="47">
        <f t="shared" ref="AV31:BA31" si="33">IFERROR((AV19-$AO$19)/AV19,"")</f>
        <v>0.17286933350487263</v>
      </c>
      <c r="AW31" s="47">
        <f t="shared" si="33"/>
        <v>0.19223978852117526</v>
      </c>
      <c r="AX31" s="47">
        <f t="shared" si="33"/>
        <v>0.21527435458775482</v>
      </c>
      <c r="AY31" s="47">
        <f t="shared" si="33"/>
        <v>0.2157283671429481</v>
      </c>
      <c r="AZ31" s="47">
        <f t="shared" si="33"/>
        <v>0.21658215779250917</v>
      </c>
      <c r="BA31" s="47">
        <f t="shared" si="33"/>
        <v>0.20666259863257913</v>
      </c>
      <c r="BB31" s="47">
        <f t="shared" ref="BB31:BG31" si="34">IFERROR((BB19-$BA$19)/BB19,"")</f>
        <v>7.442715345852044E-2</v>
      </c>
      <c r="BC31" s="47">
        <f t="shared" si="34"/>
        <v>0.10158659589604301</v>
      </c>
      <c r="BD31" s="47">
        <f t="shared" si="34"/>
        <v>9.980940990419071E-2</v>
      </c>
      <c r="BE31" s="47">
        <f t="shared" si="34"/>
        <v>0.10183734382868143</v>
      </c>
      <c r="BF31" s="47">
        <f t="shared" si="34"/>
        <v>0.11701137579387386</v>
      </c>
      <c r="BG31" s="47">
        <f t="shared" si="34"/>
        <v>9.691085983874119E-2</v>
      </c>
      <c r="BH31" s="47">
        <f t="shared" ref="BH31:BI31" si="35">IFERROR((BH19-$BA$19)/BH19,"")</f>
        <v>8.4771457674445633E-2</v>
      </c>
      <c r="BI31" s="47">
        <f t="shared" si="35"/>
        <v>7.8468044189827724E-2</v>
      </c>
      <c r="BJ31" s="47">
        <f t="shared" ref="BJ31:BK31" si="36">IFERROR((BJ19-$BA$19)/BJ19,"")</f>
        <v>7.3365071606108195E-2</v>
      </c>
      <c r="BK31" s="47">
        <f t="shared" si="36"/>
        <v>6.5008913304555271E-2</v>
      </c>
      <c r="BL31" s="47">
        <f t="shared" ref="BL31:BM31" si="37">IFERROR((BL19-$BA$19)/BL19,"")</f>
        <v>5.7063797535323785E-2</v>
      </c>
      <c r="BM31" s="47">
        <f t="shared" si="37"/>
        <v>3.6038925684145663E-2</v>
      </c>
      <c r="BN31" s="4"/>
      <c r="BO31" s="4"/>
    </row>
    <row r="32" spans="1:72" x14ac:dyDescent="0.25">
      <c r="A32" s="40" t="s">
        <v>9</v>
      </c>
      <c r="B32" s="47"/>
      <c r="C32" s="47">
        <f>(C20-$B$20)/C20</f>
        <v>1.6027297533952765E-3</v>
      </c>
      <c r="D32" s="47">
        <f>(D20-$B$20)/D20</f>
        <v>-1.7311647741336854E-4</v>
      </c>
      <c r="E32" s="47">
        <f>(E20-$B$20)/E20</f>
        <v>-2.3548706967623824E-2</v>
      </c>
      <c r="F32" s="47">
        <f t="shared" ref="F32:Q32" si="38">IFERROR((F20-$E$20)/F20,"")</f>
        <v>0.20241661212476347</v>
      </c>
      <c r="G32" s="47">
        <f t="shared" si="38"/>
        <v>0.21556756428144658</v>
      </c>
      <c r="H32" s="47">
        <f t="shared" si="38"/>
        <v>0.23248624710807805</v>
      </c>
      <c r="I32" s="47">
        <f t="shared" si="38"/>
        <v>0.22393368603249736</v>
      </c>
      <c r="J32" s="47">
        <f t="shared" si="38"/>
        <v>0.22854183430790198</v>
      </c>
      <c r="K32" s="47">
        <f t="shared" si="38"/>
        <v>0.21795603352655912</v>
      </c>
      <c r="L32" s="47">
        <f t="shared" si="38"/>
        <v>0.22286049379003511</v>
      </c>
      <c r="M32" s="47">
        <f t="shared" si="38"/>
        <v>0.23641886499879414</v>
      </c>
      <c r="N32" s="47">
        <f t="shared" si="38"/>
        <v>0.24516188550686649</v>
      </c>
      <c r="O32" s="47">
        <f t="shared" si="38"/>
        <v>0.25673869486805989</v>
      </c>
      <c r="P32" s="47">
        <f t="shared" si="38"/>
        <v>0.26255536592040929</v>
      </c>
      <c r="Q32" s="47">
        <f t="shared" si="38"/>
        <v>0.25898666954634419</v>
      </c>
      <c r="R32" s="47">
        <f>IFERROR((R20-$Q$20)/R20,"")</f>
        <v>-3.3676852187141172E-3</v>
      </c>
      <c r="S32" s="47">
        <f t="shared" ref="S32:X32" si="39">IFERROR((S20-$Q$20)/S20,"")</f>
        <v>4.2852772920644261E-3</v>
      </c>
      <c r="T32" s="47">
        <f t="shared" si="39"/>
        <v>2.4419389425864114E-2</v>
      </c>
      <c r="U32" s="47">
        <f t="shared" si="39"/>
        <v>3.6687073409150721E-2</v>
      </c>
      <c r="V32" s="47">
        <f t="shared" si="39"/>
        <v>6.9269659989102367E-2</v>
      </c>
      <c r="W32" s="47">
        <f t="shared" si="39"/>
        <v>7.4587954892141498E-2</v>
      </c>
      <c r="X32" s="47">
        <f t="shared" si="39"/>
        <v>8.4084463759406924E-2</v>
      </c>
      <c r="Y32" s="47">
        <f>IFERROR((Y20-$Q$20)/Y20,"")</f>
        <v>0.10187574248613096</v>
      </c>
      <c r="Z32" s="47">
        <f>IFERROR((Z20-$Q$20)/Z20,"")</f>
        <v>0.10114199771968968</v>
      </c>
      <c r="AA32" s="47">
        <f>IFERROR((AA20-$Q$20)/AA20,"")</f>
        <v>0.10318555618376932</v>
      </c>
      <c r="AB32" s="47">
        <f>IFERROR((AB20-$Q$20)/AB20,"")</f>
        <v>0.11353809895831928</v>
      </c>
      <c r="AC32" s="47">
        <f>IFERROR((AC20-$Q$20)/AC20,"")</f>
        <v>9.1357301308450684E-2</v>
      </c>
      <c r="AD32" s="47">
        <f t="shared" ref="AD32:AI32" si="40">IFERROR((AD20-$AC$20)/AD20,"")</f>
        <v>7.4213808121330414E-3</v>
      </c>
      <c r="AE32" s="47">
        <f t="shared" si="40"/>
        <v>1.6473256493705152E-2</v>
      </c>
      <c r="AF32" s="47">
        <f t="shared" si="40"/>
        <v>1.1626196154349296E-2</v>
      </c>
      <c r="AG32" s="47">
        <f t="shared" si="40"/>
        <v>8.3830558778286504E-3</v>
      </c>
      <c r="AH32" s="47">
        <f t="shared" si="40"/>
        <v>1.7153300130832487E-2</v>
      </c>
      <c r="AI32" s="47">
        <f t="shared" si="40"/>
        <v>1.4008633868980321E-2</v>
      </c>
      <c r="AJ32" s="47">
        <f t="shared" ref="AJ32:AO32" si="41">IFERROR((AJ20-$AC$20)/AJ20,"")</f>
        <v>1.8035423324112038E-2</v>
      </c>
      <c r="AK32" s="47">
        <f t="shared" si="41"/>
        <v>1.4515131220687909E-2</v>
      </c>
      <c r="AL32" s="47">
        <f t="shared" si="41"/>
        <v>1.1604974820835544E-2</v>
      </c>
      <c r="AM32" s="47">
        <f t="shared" si="41"/>
        <v>2.1132278683432707E-2</v>
      </c>
      <c r="AN32" s="47">
        <f t="shared" si="41"/>
        <v>3.3265801564435191E-2</v>
      </c>
      <c r="AO32" s="47">
        <f t="shared" si="41"/>
        <v>1.1962531754835123E-2</v>
      </c>
      <c r="AP32" s="47">
        <f t="shared" ref="AP32:AU32" si="42">IFERROR((AP20-$AO$20)/AP20,"")</f>
        <v>-9.349109454582262E-3</v>
      </c>
      <c r="AQ32" s="47">
        <f t="shared" si="42"/>
        <v>-1.1715110512393045E-3</v>
      </c>
      <c r="AR32" s="47">
        <f t="shared" si="42"/>
        <v>-2.1089281777928116E-2</v>
      </c>
      <c r="AS32" s="47">
        <f t="shared" si="42"/>
        <v>-2.3352993141310792E-2</v>
      </c>
      <c r="AT32" s="47">
        <f t="shared" si="42"/>
        <v>-4.2908142701072835E-2</v>
      </c>
      <c r="AU32" s="47">
        <f t="shared" si="42"/>
        <v>-6.3625109174467745E-2</v>
      </c>
      <c r="AV32" s="47">
        <f t="shared" ref="AV32:BA32" si="43">IFERROR((AV20-$AO$20)/AV20,"")</f>
        <v>-5.9302799035483571E-2</v>
      </c>
      <c r="AW32" s="47">
        <f t="shared" si="43"/>
        <v>-5.9543301804375108E-2</v>
      </c>
      <c r="AX32" s="47">
        <f t="shared" si="43"/>
        <v>-5.9496182068533812E-2</v>
      </c>
      <c r="AY32" s="47">
        <f t="shared" si="43"/>
        <v>-6.5888041500565681E-2</v>
      </c>
      <c r="AZ32" s="47">
        <f t="shared" si="43"/>
        <v>-6.4753572864758815E-2</v>
      </c>
      <c r="BA32" s="47">
        <f t="shared" si="43"/>
        <v>-7.593202428998265E-2</v>
      </c>
      <c r="BB32" s="47">
        <f t="shared" ref="BB32:BG32" si="44">IFERROR((BB20-$BA$20)/BB20,"")</f>
        <v>6.9349125474853978E-3</v>
      </c>
      <c r="BC32" s="47">
        <f t="shared" si="44"/>
        <v>2.0974197399809866E-2</v>
      </c>
      <c r="BD32" s="47">
        <f t="shared" si="44"/>
        <v>3.8591905273102182E-2</v>
      </c>
      <c r="BE32" s="47">
        <f t="shared" si="44"/>
        <v>5.1810190588074588E-2</v>
      </c>
      <c r="BF32" s="47">
        <f t="shared" si="44"/>
        <v>5.7799801083419297E-2</v>
      </c>
      <c r="BG32" s="47">
        <f t="shared" si="44"/>
        <v>7.4995538513492443E-2</v>
      </c>
      <c r="BH32" s="47">
        <f t="shared" ref="BH32:BI32" si="45">IFERROR((BH20-$BA$20)/BH20,"")</f>
        <v>0.10009945077639824</v>
      </c>
      <c r="BI32" s="47">
        <f t="shared" si="45"/>
        <v>0.10067469102989955</v>
      </c>
      <c r="BJ32" s="47">
        <f t="shared" ref="BJ32:BK32" si="46">IFERROR((BJ20-$BA$20)/BJ20,"")</f>
        <v>0.10659579139086973</v>
      </c>
      <c r="BK32" s="47">
        <f t="shared" si="46"/>
        <v>0.10258248603731865</v>
      </c>
      <c r="BL32" s="47">
        <f t="shared" ref="BL32:BM32" si="47">IFERROR((BL20-$BA$20)/BL20,"")</f>
        <v>0.11234470311378562</v>
      </c>
      <c r="BM32" s="47">
        <f t="shared" si="47"/>
        <v>0.11735421285017497</v>
      </c>
      <c r="BN32" s="5"/>
      <c r="BO32" s="5"/>
    </row>
    <row r="33" spans="1:72" x14ac:dyDescent="0.25">
      <c r="A33" s="43" t="s">
        <v>10</v>
      </c>
      <c r="B33" s="48"/>
      <c r="C33" s="48">
        <f>(C21-$B$21)/C21</f>
        <v>3.3813287114325484E-2</v>
      </c>
      <c r="D33" s="48">
        <f>(D21-$B$21)/D21</f>
        <v>0.99999903125152179</v>
      </c>
      <c r="E33" s="48">
        <f>(E21-$B$21)/E21</f>
        <v>0.9999990145355282</v>
      </c>
      <c r="F33" s="48">
        <f t="shared" ref="F33:Q33" si="48">IFERROR((F21-$E$21)/F21,"")</f>
        <v>-808998.42056758655</v>
      </c>
      <c r="G33" s="48">
        <f t="shared" si="48"/>
        <v>-787081.06244399224</v>
      </c>
      <c r="H33" s="48">
        <f t="shared" si="48"/>
        <v>-777055.45329022699</v>
      </c>
      <c r="I33" s="48">
        <f t="shared" si="48"/>
        <v>-787178.33512583841</v>
      </c>
      <c r="J33" s="48">
        <f t="shared" si="48"/>
        <v>-794271.69792880432</v>
      </c>
      <c r="K33" s="48">
        <f t="shared" si="48"/>
        <v>-968284.79591558082</v>
      </c>
      <c r="L33" s="48">
        <f t="shared" si="48"/>
        <v>-959131.05900954013</v>
      </c>
      <c r="M33" s="48">
        <f t="shared" si="48"/>
        <v>-941331.57441157952</v>
      </c>
      <c r="N33" s="48">
        <f t="shared" si="48"/>
        <v>-908201.12899214972</v>
      </c>
      <c r="O33" s="48">
        <f t="shared" si="48"/>
        <v>-897284.377804577</v>
      </c>
      <c r="P33" s="48">
        <f t="shared" si="48"/>
        <v>-899478.47019855992</v>
      </c>
      <c r="Q33" s="48">
        <f t="shared" si="48"/>
        <v>-929694.67204211676</v>
      </c>
      <c r="R33" s="48">
        <f>IFERROR((R21-$Q$21)/R21,"")</f>
        <v>-2.6593668357141986E-3</v>
      </c>
      <c r="S33" s="48">
        <f t="shared" ref="S33:X33" si="49">IFERROR((S21-$Q$21)/S21,"")</f>
        <v>2.6093131923942595E-2</v>
      </c>
      <c r="T33" s="48">
        <f t="shared" si="49"/>
        <v>3.8322873526873871E-2</v>
      </c>
      <c r="U33" s="48">
        <f t="shared" si="49"/>
        <v>4.2044650303286447E-2</v>
      </c>
      <c r="V33" s="48">
        <f t="shared" si="49"/>
        <v>4.978373211452642E-2</v>
      </c>
      <c r="W33" s="48">
        <f t="shared" si="49"/>
        <v>7.0574963175187369E-2</v>
      </c>
      <c r="X33" s="48">
        <f t="shared" si="49"/>
        <v>9.0698880406995794E-2</v>
      </c>
      <c r="Y33" s="48">
        <f>IFERROR((Y21-$Q$21)/Y21,"")</f>
        <v>0.11614944259238794</v>
      </c>
      <c r="Z33" s="48">
        <f>IFERROR((Z21-$Q$21)/Z21,"")</f>
        <v>0.14178780864183266</v>
      </c>
      <c r="AA33" s="48">
        <f>IFERROR((AA21-$Q$21)/AA21,"")</f>
        <v>0.1528101797653218</v>
      </c>
      <c r="AB33" s="48">
        <f>IFERROR((AB21-$Q$21)/AB21,"")</f>
        <v>0.15052519579309623</v>
      </c>
      <c r="AC33" s="48">
        <f>IFERROR((AC21-$Q$21)/AC21,"")</f>
        <v>0.14462761835149199</v>
      </c>
      <c r="AD33" s="48">
        <f t="shared" ref="AD33:AI33" si="50">IFERROR((AD21-$AC$21)/AD21,"")</f>
        <v>6.381075327823899E-3</v>
      </c>
      <c r="AE33" s="48">
        <f t="shared" si="50"/>
        <v>2.2460697184688828E-2</v>
      </c>
      <c r="AF33" s="48">
        <f t="shared" si="50"/>
        <v>1.6806803175518803E-2</v>
      </c>
      <c r="AG33" s="48">
        <f t="shared" si="50"/>
        <v>4.8013804036688389E-3</v>
      </c>
      <c r="AH33" s="48">
        <f t="shared" si="50"/>
        <v>4.146186095915206E-3</v>
      </c>
      <c r="AI33" s="48">
        <f t="shared" si="50"/>
        <v>1.7882111512297582E-2</v>
      </c>
      <c r="AJ33" s="48">
        <f t="shared" ref="AJ33:AO33" si="51">IFERROR((AJ21-$AC$21)/AJ21,"")</f>
        <v>9.2659437992140669E-3</v>
      </c>
      <c r="AK33" s="48">
        <f t="shared" si="51"/>
        <v>1.372361820523286E-2</v>
      </c>
      <c r="AL33" s="48">
        <f t="shared" si="51"/>
        <v>3.2763206963705549E-2</v>
      </c>
      <c r="AM33" s="48">
        <f t="shared" si="51"/>
        <v>4.025481544035741E-2</v>
      </c>
      <c r="AN33" s="48">
        <f t="shared" si="51"/>
        <v>3.1168087161499783E-2</v>
      </c>
      <c r="AO33" s="48">
        <f t="shared" si="51"/>
        <v>2.3026147575019206E-2</v>
      </c>
      <c r="AP33" s="48">
        <f t="shared" ref="AP33:AU33" si="52">IFERROR((AP21-$AO$21)/AP21,"")</f>
        <v>-1.0650846547868719E-3</v>
      </c>
      <c r="AQ33" s="48">
        <f t="shared" si="52"/>
        <v>9.8059521259074157E-4</v>
      </c>
      <c r="AR33" s="48">
        <f t="shared" si="52"/>
        <v>-1.0103935182810908E-2</v>
      </c>
      <c r="AS33" s="48">
        <f t="shared" si="52"/>
        <v>-2.8440711683810359E-2</v>
      </c>
      <c r="AT33" s="48">
        <f t="shared" si="52"/>
        <v>-2.4065157049857407E-2</v>
      </c>
      <c r="AU33" s="48">
        <f t="shared" si="52"/>
        <v>-2.8868966968395087E-3</v>
      </c>
      <c r="AV33" s="48">
        <f t="shared" ref="AV33:BA33" si="53">IFERROR((AV21-$AO$21)/AV21,"")</f>
        <v>8.5427124292269205E-3</v>
      </c>
      <c r="AW33" s="48">
        <f t="shared" si="53"/>
        <v>2.7130883090967121E-2</v>
      </c>
      <c r="AX33" s="48">
        <f t="shared" si="53"/>
        <v>5.7430940594666517E-2</v>
      </c>
      <c r="AY33" s="48">
        <f t="shared" si="53"/>
        <v>4.9853873653145288E-2</v>
      </c>
      <c r="AZ33" s="48">
        <f t="shared" si="53"/>
        <v>4.6098847195065684E-2</v>
      </c>
      <c r="BA33" s="48">
        <f t="shared" si="53"/>
        <v>4.0866801584505175E-2</v>
      </c>
      <c r="BB33" s="48">
        <f t="shared" ref="BB33:BG33" si="54">IFERROR((BB21-$BA$21)/BB21,"")</f>
        <v>2.0820953376956764E-2</v>
      </c>
      <c r="BC33" s="48">
        <f t="shared" si="54"/>
        <v>3.5512318096724296E-2</v>
      </c>
      <c r="BD33" s="48">
        <f t="shared" si="54"/>
        <v>4.2044917600352914E-2</v>
      </c>
      <c r="BE33" s="48">
        <f t="shared" si="54"/>
        <v>4.4274770249043992E-2</v>
      </c>
      <c r="BF33" s="48">
        <f t="shared" si="54"/>
        <v>5.7201855604376801E-2</v>
      </c>
      <c r="BG33" s="48">
        <f t="shared" si="54"/>
        <v>6.0596386191061967E-2</v>
      </c>
      <c r="BH33" s="48">
        <f t="shared" ref="BH33:BI33" si="55">IFERROR((BH21-$BA$21)/BH21,"")</f>
        <v>6.5841047665550156E-2</v>
      </c>
      <c r="BI33" s="48">
        <f t="shared" si="55"/>
        <v>6.2048395859815163E-2</v>
      </c>
      <c r="BJ33" s="48">
        <f t="shared" ref="BJ33:BK33" si="56">IFERROR((BJ21-$BA$21)/BJ21,"")</f>
        <v>8.0550270015219222E-2</v>
      </c>
      <c r="BK33" s="48">
        <f t="shared" si="56"/>
        <v>6.8894154727746321E-2</v>
      </c>
      <c r="BL33" s="48">
        <f t="shared" ref="BL33:BM33" si="57">IFERROR((BL21-$BA$21)/BL21,"")</f>
        <v>6.3699410524626479E-2</v>
      </c>
      <c r="BM33" s="48">
        <f t="shared" si="57"/>
        <v>5.3451429376355997E-2</v>
      </c>
      <c r="BN33" s="5"/>
      <c r="BO33" s="5"/>
    </row>
    <row r="34" spans="1:72" x14ac:dyDescent="0.25">
      <c r="A34" s="11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</row>
    <row r="35" spans="1:72" x14ac:dyDescent="0.25">
      <c r="A35" s="21" t="s">
        <v>38</v>
      </c>
      <c r="G35" s="2"/>
      <c r="H35" s="2"/>
      <c r="I35" s="2"/>
      <c r="J35" s="2"/>
      <c r="K35" s="2"/>
      <c r="L35" s="2"/>
    </row>
    <row r="36" spans="1:72" x14ac:dyDescent="0.25">
      <c r="A36" s="37" t="s">
        <v>28</v>
      </c>
      <c r="B36" s="38">
        <v>44075</v>
      </c>
      <c r="C36" s="38">
        <v>44105</v>
      </c>
      <c r="D36" s="38">
        <v>44136</v>
      </c>
      <c r="E36" s="38">
        <v>44166</v>
      </c>
      <c r="F36" s="38">
        <v>44197</v>
      </c>
      <c r="G36" s="38">
        <v>44228</v>
      </c>
      <c r="H36" s="38">
        <v>44256</v>
      </c>
      <c r="I36" s="38">
        <v>44287</v>
      </c>
      <c r="J36" s="38">
        <v>44317</v>
      </c>
      <c r="K36" s="38">
        <v>44348</v>
      </c>
      <c r="L36" s="38">
        <v>44378</v>
      </c>
      <c r="M36" s="38">
        <v>44409</v>
      </c>
      <c r="N36" s="38">
        <v>44440</v>
      </c>
      <c r="O36" s="38">
        <v>44470</v>
      </c>
      <c r="P36" s="38">
        <v>44501</v>
      </c>
      <c r="Q36" s="38">
        <v>44531</v>
      </c>
      <c r="R36" s="38">
        <v>44562</v>
      </c>
      <c r="S36" s="38">
        <v>44593</v>
      </c>
      <c r="T36" s="38">
        <v>44621</v>
      </c>
      <c r="U36" s="38">
        <v>44652</v>
      </c>
      <c r="V36" s="38">
        <v>44682</v>
      </c>
      <c r="W36" s="38">
        <v>44713</v>
      </c>
      <c r="X36" s="38">
        <v>44743</v>
      </c>
      <c r="Y36" s="38">
        <v>44774</v>
      </c>
      <c r="Z36" s="38">
        <v>44805</v>
      </c>
      <c r="AA36" s="38">
        <v>44835</v>
      </c>
      <c r="AB36" s="38">
        <v>44866</v>
      </c>
      <c r="AC36" s="38">
        <v>44896</v>
      </c>
      <c r="AD36" s="38">
        <v>44927</v>
      </c>
      <c r="AE36" s="38">
        <v>44958</v>
      </c>
      <c r="AF36" s="38">
        <v>44986</v>
      </c>
      <c r="AG36" s="38">
        <v>45017</v>
      </c>
      <c r="AH36" s="38">
        <v>45047</v>
      </c>
      <c r="AI36" s="38">
        <v>45078</v>
      </c>
      <c r="AJ36" s="38">
        <v>45108</v>
      </c>
      <c r="AK36" s="38">
        <v>45139</v>
      </c>
      <c r="AL36" s="38">
        <v>45170</v>
      </c>
      <c r="AM36" s="38">
        <v>45200</v>
      </c>
      <c r="AN36" s="38">
        <v>45231</v>
      </c>
      <c r="AO36" s="38">
        <v>45261</v>
      </c>
      <c r="AP36" s="38">
        <v>45292</v>
      </c>
      <c r="AQ36" s="38">
        <v>45323</v>
      </c>
      <c r="AR36" s="38">
        <v>45352</v>
      </c>
      <c r="AS36" s="38">
        <v>45383</v>
      </c>
      <c r="AT36" s="38">
        <v>45413</v>
      </c>
      <c r="AU36" s="38">
        <v>45444</v>
      </c>
      <c r="AV36" s="38">
        <v>45474</v>
      </c>
      <c r="AW36" s="38">
        <v>45505</v>
      </c>
      <c r="AX36" s="38">
        <v>45536</v>
      </c>
      <c r="AY36" s="38">
        <v>45566</v>
      </c>
      <c r="AZ36" s="38">
        <v>45597</v>
      </c>
      <c r="BA36" s="38">
        <v>45627</v>
      </c>
      <c r="BB36" s="38">
        <v>45658</v>
      </c>
      <c r="BC36" s="38">
        <v>45689</v>
      </c>
      <c r="BD36" s="38">
        <v>45717</v>
      </c>
      <c r="BE36" s="38">
        <v>45748</v>
      </c>
      <c r="BF36" s="38">
        <v>45778</v>
      </c>
      <c r="BG36" s="38">
        <v>45809</v>
      </c>
      <c r="BH36" s="38">
        <v>45839</v>
      </c>
      <c r="BI36" s="38">
        <v>45870</v>
      </c>
      <c r="BJ36" s="38">
        <v>45901</v>
      </c>
      <c r="BK36" s="38">
        <v>45931</v>
      </c>
      <c r="BL36" s="38">
        <v>45962</v>
      </c>
      <c r="BM36" s="38">
        <v>45992</v>
      </c>
      <c r="BO36" s="2"/>
    </row>
    <row r="37" spans="1:72" x14ac:dyDescent="0.25">
      <c r="A37" s="40" t="s">
        <v>12</v>
      </c>
      <c r="B37" s="49">
        <f>NOMINAL(B44,12)</f>
        <v>0.17339530266773906</v>
      </c>
      <c r="C37" s="49">
        <v>17.191612210907621</v>
      </c>
      <c r="D37" s="49">
        <v>16.749516489822359</v>
      </c>
      <c r="E37" s="49">
        <v>16.784333279034573</v>
      </c>
      <c r="F37" s="49">
        <v>16.944614661389096</v>
      </c>
      <c r="G37" s="49">
        <v>16.80535640333315</v>
      </c>
      <c r="H37" s="49">
        <v>17.002814084109897</v>
      </c>
      <c r="I37" s="49">
        <v>17.146577634369876</v>
      </c>
      <c r="J37" s="49">
        <v>17.315817909194028</v>
      </c>
      <c r="K37" s="49">
        <v>16.696633128266299</v>
      </c>
      <c r="L37" s="49">
        <v>16.92365791598337</v>
      </c>
      <c r="M37" s="49">
        <v>16.767628348916542</v>
      </c>
      <c r="N37" s="49">
        <v>16.217036795936448</v>
      </c>
      <c r="O37" s="49">
        <v>16.329302527622897</v>
      </c>
      <c r="P37" s="49">
        <v>16.473630363307933</v>
      </c>
      <c r="Q37" s="49">
        <v>16.428111394297495</v>
      </c>
      <c r="R37" s="49">
        <v>16.855484468904809</v>
      </c>
      <c r="S37" s="49">
        <v>16.924400692765442</v>
      </c>
      <c r="T37" s="49">
        <v>17.139647831909407</v>
      </c>
      <c r="U37" s="49">
        <v>17.29926262286763</v>
      </c>
      <c r="V37" s="49">
        <v>17.418041862486159</v>
      </c>
      <c r="W37" s="49">
        <v>16.907577548445015</v>
      </c>
      <c r="X37" s="49">
        <v>16.948492290535796</v>
      </c>
      <c r="Y37" s="49">
        <v>16.790363269962761</v>
      </c>
      <c r="Z37" s="49">
        <v>16.372001358871962</v>
      </c>
      <c r="AA37" s="49">
        <v>16.897011084922777</v>
      </c>
      <c r="AB37" s="49">
        <v>16.897011084922777</v>
      </c>
      <c r="AC37" s="49">
        <v>16.897011084922777</v>
      </c>
      <c r="AD37" s="49">
        <v>17.891204331264969</v>
      </c>
      <c r="AE37" s="49">
        <v>18.02221088363417</v>
      </c>
      <c r="AF37" s="49">
        <v>18.339201476464975</v>
      </c>
      <c r="AG37" s="49">
        <v>18.557517973658712</v>
      </c>
      <c r="AH37" s="49">
        <v>18.791165540187599</v>
      </c>
      <c r="AI37" s="49">
        <v>18.795747823396869</v>
      </c>
      <c r="AJ37" s="49">
        <v>19.15899027456263</v>
      </c>
      <c r="AK37" s="49">
        <v>19.105562273523319</v>
      </c>
      <c r="AL37" s="49">
        <v>18.59160802820022</v>
      </c>
      <c r="AM37" s="49">
        <v>18.758701262145181</v>
      </c>
      <c r="AN37" s="49">
        <v>18.939692474280843</v>
      </c>
      <c r="AO37" s="49">
        <v>19.19603413302044</v>
      </c>
      <c r="AP37" s="49">
        <v>19.444026987307897</v>
      </c>
      <c r="AQ37" s="49">
        <v>19.472078799462182</v>
      </c>
      <c r="AR37" s="49">
        <v>19.745924708368328</v>
      </c>
      <c r="AS37" s="49">
        <v>20.140759963216876</v>
      </c>
      <c r="AT37" s="49">
        <v>20.386958401332109</v>
      </c>
      <c r="AU37" s="49">
        <v>19.921453747561884</v>
      </c>
      <c r="AV37" s="49">
        <v>20.186518610679268</v>
      </c>
      <c r="AW37" s="49">
        <v>19.962889019239284</v>
      </c>
      <c r="AX37" s="49">
        <v>19.298422907536875</v>
      </c>
      <c r="AY37" s="49">
        <v>19.476458056420888</v>
      </c>
      <c r="AZ37" s="49">
        <v>19.616835846030398</v>
      </c>
      <c r="BA37" s="49">
        <v>19.740470570365073</v>
      </c>
      <c r="BB37" s="49">
        <v>19.821069995888504</v>
      </c>
      <c r="BC37" s="49">
        <v>19.812907985188293</v>
      </c>
      <c r="BD37" s="49">
        <v>19.883244284841066</v>
      </c>
      <c r="BE37" s="49">
        <v>19.890947879700974</v>
      </c>
      <c r="BF37" s="49">
        <v>19.574507642007873</v>
      </c>
      <c r="BG37" s="92">
        <v>19.223781844649125</v>
      </c>
      <c r="BH37" s="92">
        <v>19.019618395805608</v>
      </c>
      <c r="BI37" s="92">
        <v>18.134899999999998</v>
      </c>
      <c r="BJ37" s="92">
        <v>17.398782990117716</v>
      </c>
      <c r="BK37" s="92">
        <v>17.382291633771313</v>
      </c>
      <c r="BL37" s="92">
        <v>17.508036264101545</v>
      </c>
      <c r="BM37" s="92">
        <v>17.621768652682331</v>
      </c>
      <c r="BN37" s="3"/>
      <c r="BO37" s="3"/>
    </row>
    <row r="38" spans="1:72" x14ac:dyDescent="0.25">
      <c r="A38" s="40" t="s">
        <v>33</v>
      </c>
      <c r="B38" s="49"/>
      <c r="C38" s="49"/>
      <c r="D38" s="49"/>
      <c r="E38" s="49"/>
      <c r="F38" s="49">
        <v>18.760481954895518</v>
      </c>
      <c r="G38" s="49">
        <v>18.813135153447217</v>
      </c>
      <c r="H38" s="49">
        <v>18.833125395870734</v>
      </c>
      <c r="I38" s="49">
        <v>18.842836834913211</v>
      </c>
      <c r="J38" s="49">
        <v>18.852271766187982</v>
      </c>
      <c r="K38" s="49">
        <v>18.88384772380569</v>
      </c>
      <c r="L38" s="49">
        <v>18.897657186498705</v>
      </c>
      <c r="M38" s="49">
        <v>18.89372153995383</v>
      </c>
      <c r="N38" s="49">
        <v>18.915136701896756</v>
      </c>
      <c r="O38" s="49">
        <v>18.916448318902415</v>
      </c>
      <c r="P38" s="49">
        <v>18.917808203088651</v>
      </c>
      <c r="Q38" s="49">
        <v>18.925675871927066</v>
      </c>
      <c r="R38" s="49">
        <v>18.925464828108048</v>
      </c>
      <c r="S38" s="49">
        <v>18.948187915551529</v>
      </c>
      <c r="T38" s="49">
        <v>18.965212104347533</v>
      </c>
      <c r="U38" s="49">
        <v>18.974218009454297</v>
      </c>
      <c r="V38" s="49">
        <v>18.983599663135024</v>
      </c>
      <c r="W38" s="49">
        <v>18.977114464031125</v>
      </c>
      <c r="X38" s="49">
        <v>18.976691006405147</v>
      </c>
      <c r="Y38" s="49">
        <v>19.000754380520533</v>
      </c>
      <c r="Z38" s="49">
        <v>19.043864170943813</v>
      </c>
      <c r="AA38" s="49">
        <v>19.097932886789017</v>
      </c>
      <c r="AB38" s="49">
        <v>19.097932886789017</v>
      </c>
      <c r="AC38" s="49">
        <v>19.097932886789017</v>
      </c>
      <c r="AD38" s="49">
        <v>19.325614489078941</v>
      </c>
      <c r="AE38" s="49">
        <v>19.429249492189172</v>
      </c>
      <c r="AF38" s="49">
        <v>19.60376052747533</v>
      </c>
      <c r="AG38" s="49">
        <v>19.739819376242615</v>
      </c>
      <c r="AH38" s="49">
        <v>19.862650311373301</v>
      </c>
      <c r="AI38" s="49">
        <v>20.090026601783045</v>
      </c>
      <c r="AJ38" s="49">
        <v>20.262687739624027</v>
      </c>
      <c r="AK38" s="49">
        <v>20.48628822384488</v>
      </c>
      <c r="AL38" s="49">
        <v>20.705280898379026</v>
      </c>
      <c r="AM38" s="49">
        <v>20.988925928536187</v>
      </c>
      <c r="AN38" s="49">
        <v>21.138882672915585</v>
      </c>
      <c r="AO38" s="49">
        <v>21.859854980629763</v>
      </c>
      <c r="AP38" s="49">
        <v>22.224527066072636</v>
      </c>
      <c r="AQ38" s="49">
        <v>22.539566002221164</v>
      </c>
      <c r="AR38" s="49">
        <v>22.822421398153004</v>
      </c>
      <c r="AS38" s="49">
        <v>22.994314264573404</v>
      </c>
      <c r="AT38" s="49">
        <v>23.032847324175901</v>
      </c>
      <c r="AU38" s="49">
        <v>23.172867085621611</v>
      </c>
      <c r="AV38" s="49">
        <v>23.26327280796805</v>
      </c>
      <c r="AW38" s="49">
        <v>23.296894395508705</v>
      </c>
      <c r="AX38" s="49">
        <v>23.364242137301179</v>
      </c>
      <c r="AY38" s="49">
        <v>23.413309430413335</v>
      </c>
      <c r="AZ38" s="49">
        <v>23.441288554626478</v>
      </c>
      <c r="BA38" s="49">
        <v>23.51514766688458</v>
      </c>
      <c r="BB38" s="49">
        <v>23.718916738924108</v>
      </c>
      <c r="BC38" s="49">
        <v>23.743613713256909</v>
      </c>
      <c r="BD38" s="49">
        <v>23.711245659850949</v>
      </c>
      <c r="BE38" s="49">
        <v>23.690097759931586</v>
      </c>
      <c r="BF38" s="49">
        <v>23.634998865915811</v>
      </c>
      <c r="BG38" s="49">
        <v>23.614009286119845</v>
      </c>
      <c r="BH38" s="49">
        <v>23.586530821939139</v>
      </c>
      <c r="BI38" s="49">
        <v>22.236699999999999</v>
      </c>
      <c r="BJ38" s="49">
        <v>22.221313748172342</v>
      </c>
      <c r="BK38" s="49">
        <v>21.889858334485311</v>
      </c>
      <c r="BL38" s="49">
        <v>22.053183585281811</v>
      </c>
      <c r="BM38" s="49">
        <v>22.074159724994825</v>
      </c>
      <c r="BN38" s="3"/>
      <c r="BO38" s="3"/>
    </row>
    <row r="39" spans="1:72" x14ac:dyDescent="0.25">
      <c r="A39" s="40" t="s">
        <v>9</v>
      </c>
      <c r="B39" s="49">
        <f>NOMINAL(B46,12)</f>
        <v>9.4687629064782008E-2</v>
      </c>
      <c r="C39" s="49">
        <v>9.4684120252455735</v>
      </c>
      <c r="D39" s="49">
        <v>10.00621316028997</v>
      </c>
      <c r="E39" s="49">
        <v>10.067210126621012</v>
      </c>
      <c r="F39" s="49">
        <v>9.8195438956287564</v>
      </c>
      <c r="G39" s="49">
        <v>9.8167716778551277</v>
      </c>
      <c r="H39" s="49">
        <v>9.7684690840791593</v>
      </c>
      <c r="I39" s="49">
        <v>9.7539984620381137</v>
      </c>
      <c r="J39" s="49">
        <v>9.7128044969797251</v>
      </c>
      <c r="K39" s="49">
        <v>9.7489121259382685</v>
      </c>
      <c r="L39" s="49">
        <v>9.7423458540923278</v>
      </c>
      <c r="M39" s="49">
        <v>9.6951186168084718</v>
      </c>
      <c r="N39" s="49">
        <v>9.6916932118841714</v>
      </c>
      <c r="O39" s="49">
        <v>9.6603359882279918</v>
      </c>
      <c r="P39" s="49">
        <v>9.6327197264804401</v>
      </c>
      <c r="Q39" s="49">
        <v>9.6646837063349427</v>
      </c>
      <c r="R39" s="49">
        <v>9.6448526162631865</v>
      </c>
      <c r="S39" s="49">
        <v>9.6378939544824362</v>
      </c>
      <c r="T39" s="49">
        <v>9.5936446245047335</v>
      </c>
      <c r="U39" s="49">
        <v>9.5920057609406193</v>
      </c>
      <c r="V39" s="49">
        <v>9.4856704063834751</v>
      </c>
      <c r="W39" s="49">
        <v>9.4306413018251103</v>
      </c>
      <c r="X39" s="49">
        <v>9.4401627040097829</v>
      </c>
      <c r="Y39" s="49">
        <v>9.4549474685247539</v>
      </c>
      <c r="Z39" s="49">
        <v>9.3834934028809904</v>
      </c>
      <c r="AA39" s="49">
        <v>9.5509635348395356</v>
      </c>
      <c r="AB39" s="49">
        <v>9.5509635348395356</v>
      </c>
      <c r="AC39" s="49">
        <v>9.5509635348395356</v>
      </c>
      <c r="AD39" s="49">
        <v>9.7968448638191301</v>
      </c>
      <c r="AE39" s="49">
        <v>9.8783456131237593</v>
      </c>
      <c r="AF39" s="49">
        <v>9.9076133567901987</v>
      </c>
      <c r="AG39" s="49">
        <v>9.9304673396496419</v>
      </c>
      <c r="AH39" s="49">
        <v>10.012503643584054</v>
      </c>
      <c r="AI39" s="49">
        <v>10.148052152981666</v>
      </c>
      <c r="AJ39" s="49">
        <v>10.223966131204142</v>
      </c>
      <c r="AK39" s="49">
        <v>10.270990851254062</v>
      </c>
      <c r="AL39" s="49">
        <v>10.293834297037494</v>
      </c>
      <c r="AM39" s="49">
        <v>10.343435517419181</v>
      </c>
      <c r="AN39" s="49">
        <v>10.436619548821106</v>
      </c>
      <c r="AO39" s="49">
        <v>10.502913338934972</v>
      </c>
      <c r="AP39" s="49">
        <v>10.506257167415978</v>
      </c>
      <c r="AQ39" s="49">
        <v>10.566184601140035</v>
      </c>
      <c r="AR39" s="49">
        <v>10.606659894951241</v>
      </c>
      <c r="AS39" s="49">
        <v>10.626465020158562</v>
      </c>
      <c r="AT39" s="49">
        <v>10.638064032442976</v>
      </c>
      <c r="AU39" s="49">
        <v>10.714204838627209</v>
      </c>
      <c r="AV39" s="49">
        <v>10.719447595280378</v>
      </c>
      <c r="AW39" s="49">
        <v>10.612778236972805</v>
      </c>
      <c r="AX39" s="49">
        <v>10.626867972991114</v>
      </c>
      <c r="AY39" s="49">
        <v>10.608288537535243</v>
      </c>
      <c r="AZ39" s="49">
        <v>10.634383034364019</v>
      </c>
      <c r="BA39" s="49">
        <v>10.676647351258898</v>
      </c>
      <c r="BB39" s="49">
        <v>10.677283043122468</v>
      </c>
      <c r="BC39" s="49">
        <v>10.668509142416207</v>
      </c>
      <c r="BD39" s="49">
        <v>10.60902753161675</v>
      </c>
      <c r="BE39" s="49">
        <v>10.551291601693576</v>
      </c>
      <c r="BF39" s="49">
        <v>10.529357647751407</v>
      </c>
      <c r="BG39" s="49">
        <v>10.496300310124717</v>
      </c>
      <c r="BH39" s="49">
        <v>10.452958131747058</v>
      </c>
      <c r="BI39" s="49">
        <v>10.2904</v>
      </c>
      <c r="BJ39" s="49">
        <v>10.315021931650632</v>
      </c>
      <c r="BK39" s="49">
        <v>10.317464098065724</v>
      </c>
      <c r="BL39" s="49">
        <v>10.32597578345136</v>
      </c>
      <c r="BM39" s="49">
        <v>10.362521252580729</v>
      </c>
      <c r="BN39" s="3"/>
      <c r="BO39" s="3"/>
    </row>
    <row r="40" spans="1:72" x14ac:dyDescent="0.25">
      <c r="A40" s="43" t="s">
        <v>10</v>
      </c>
      <c r="B40" s="50">
        <f>NOMINAL(B47,12)</f>
        <v>0.1504589294766312</v>
      </c>
      <c r="C40" s="50">
        <v>15.312733175182183</v>
      </c>
      <c r="D40" s="50">
        <v>15.107594932304293</v>
      </c>
      <c r="E40" s="50">
        <v>15.158561347362964</v>
      </c>
      <c r="F40" s="50">
        <v>15.2117</v>
      </c>
      <c r="G40" s="50">
        <v>15.185407042022501</v>
      </c>
      <c r="H40" s="50">
        <v>15.244447685805449</v>
      </c>
      <c r="I40" s="50">
        <v>15.302614814286061</v>
      </c>
      <c r="J40" s="50">
        <v>15.334494815804</v>
      </c>
      <c r="K40" s="50">
        <v>15.109276819670663</v>
      </c>
      <c r="L40" s="50">
        <v>15.213544480187199</v>
      </c>
      <c r="M40" s="50">
        <v>15.113417411088598</v>
      </c>
      <c r="N40" s="50">
        <v>14.9013746052792</v>
      </c>
      <c r="O40" s="50">
        <v>14.946770240248068</v>
      </c>
      <c r="P40" s="50">
        <v>14.983613214766114</v>
      </c>
      <c r="Q40" s="50">
        <v>14.912941196877497</v>
      </c>
      <c r="R40" s="50">
        <v>15.069780915463811</v>
      </c>
      <c r="S40" s="50">
        <v>15.143028872640905</v>
      </c>
      <c r="T40" s="50">
        <v>15.23305447679037</v>
      </c>
      <c r="U40" s="50">
        <v>15.290174610380006</v>
      </c>
      <c r="V40" s="50">
        <v>15.253097919754186</v>
      </c>
      <c r="W40" s="50">
        <v>15.012072812994019</v>
      </c>
      <c r="X40" s="50">
        <v>15.077001116509274</v>
      </c>
      <c r="Y40" s="50">
        <v>15.022114652170558</v>
      </c>
      <c r="Z40" s="50">
        <v>14.894389727160377</v>
      </c>
      <c r="AA40" s="50">
        <v>15.192099923589431</v>
      </c>
      <c r="AB40" s="50">
        <v>15.192099923589431</v>
      </c>
      <c r="AC40" s="50">
        <v>15.192099923589431</v>
      </c>
      <c r="AD40" s="50">
        <v>15.829404282929284</v>
      </c>
      <c r="AE40" s="50">
        <v>15.961331330010877</v>
      </c>
      <c r="AF40" s="50">
        <v>16.173408870129702</v>
      </c>
      <c r="AG40" s="50">
        <v>16.30068571524577</v>
      </c>
      <c r="AH40" s="50">
        <v>16.444885894648284</v>
      </c>
      <c r="AI40" s="50">
        <v>16.573345378948989</v>
      </c>
      <c r="AJ40" s="50">
        <v>16.789347166934167</v>
      </c>
      <c r="AK40" s="50">
        <v>16.838097820371235</v>
      </c>
      <c r="AL40" s="50">
        <v>16.587712118181098</v>
      </c>
      <c r="AM40" s="50">
        <v>16.819026365233288</v>
      </c>
      <c r="AN40" s="50">
        <v>16.921094356721735</v>
      </c>
      <c r="AO40" s="50">
        <v>17.263466460504571</v>
      </c>
      <c r="AP40" s="50">
        <v>17.502573926295085</v>
      </c>
      <c r="AQ40" s="50">
        <v>17.589288052625228</v>
      </c>
      <c r="AR40" s="50">
        <v>17.840002528834241</v>
      </c>
      <c r="AS40" s="50">
        <v>18.041348468819354</v>
      </c>
      <c r="AT40" s="50">
        <v>18.278686718139419</v>
      </c>
      <c r="AU40" s="50">
        <v>18.21714762057394</v>
      </c>
      <c r="AV40" s="50">
        <v>18.408282332496395</v>
      </c>
      <c r="AW40" s="50">
        <v>18.327015761950957</v>
      </c>
      <c r="AX40" s="50">
        <v>18.079633203194355</v>
      </c>
      <c r="AY40" s="50">
        <v>18.181302193882932</v>
      </c>
      <c r="AZ40" s="50">
        <v>18.259305673802199</v>
      </c>
      <c r="BA40" s="50">
        <v>18.355371654978935</v>
      </c>
      <c r="BB40" s="50">
        <v>18.53111744061016</v>
      </c>
      <c r="BC40" s="50">
        <v>18.547704008065658</v>
      </c>
      <c r="BD40" s="50">
        <v>18.524708309694759</v>
      </c>
      <c r="BE40" s="50">
        <v>18.481444470811464</v>
      </c>
      <c r="BF40" s="50">
        <v>18.326207126873413</v>
      </c>
      <c r="BG40" s="50">
        <v>18.077796828592195</v>
      </c>
      <c r="BH40" s="50">
        <v>17.888740031041987</v>
      </c>
      <c r="BI40" s="50">
        <v>17.067499999999999</v>
      </c>
      <c r="BJ40" s="50">
        <v>16.701164676569284</v>
      </c>
      <c r="BK40" s="50">
        <v>16.604105204754809</v>
      </c>
      <c r="BL40" s="50">
        <v>16.673752853839506</v>
      </c>
      <c r="BM40" s="50">
        <v>16.701163405880152</v>
      </c>
      <c r="BN40" s="3"/>
      <c r="BO40" s="3"/>
      <c r="BP40" s="14"/>
    </row>
    <row r="43" spans="1:72" x14ac:dyDescent="0.25">
      <c r="A43" s="46" t="s">
        <v>20</v>
      </c>
      <c r="B43" s="38">
        <v>44075</v>
      </c>
      <c r="C43" s="38">
        <v>44105</v>
      </c>
      <c r="D43" s="38">
        <v>44136</v>
      </c>
      <c r="E43" s="38">
        <v>44166</v>
      </c>
      <c r="F43" s="38">
        <v>44197</v>
      </c>
      <c r="G43" s="38">
        <v>44228</v>
      </c>
      <c r="H43" s="38">
        <v>44256</v>
      </c>
      <c r="I43" s="38">
        <v>44287</v>
      </c>
      <c r="J43" s="38">
        <v>44317</v>
      </c>
      <c r="K43" s="38">
        <v>44348</v>
      </c>
      <c r="L43" s="38">
        <v>44378</v>
      </c>
      <c r="M43" s="38">
        <v>44409</v>
      </c>
      <c r="N43" s="38">
        <v>44440</v>
      </c>
      <c r="O43" s="38">
        <v>44470</v>
      </c>
      <c r="P43" s="38">
        <v>44501</v>
      </c>
      <c r="Q43" s="38">
        <v>44531</v>
      </c>
      <c r="R43" s="38">
        <v>44562</v>
      </c>
      <c r="S43" s="38">
        <v>44593</v>
      </c>
      <c r="T43" s="38">
        <v>44621</v>
      </c>
      <c r="U43" s="38">
        <v>44652</v>
      </c>
      <c r="V43" s="38">
        <v>44682</v>
      </c>
      <c r="W43" s="38">
        <v>44713</v>
      </c>
      <c r="X43" s="38">
        <v>44743</v>
      </c>
      <c r="Y43" s="38">
        <v>44774</v>
      </c>
      <c r="Z43" s="38">
        <v>44805</v>
      </c>
      <c r="AA43" s="38">
        <v>44835</v>
      </c>
      <c r="AB43" s="38">
        <v>44866</v>
      </c>
      <c r="AC43" s="38">
        <v>44896</v>
      </c>
      <c r="AD43" s="38">
        <v>44927</v>
      </c>
      <c r="AE43" s="38">
        <v>44958</v>
      </c>
      <c r="AF43" s="38">
        <v>44986</v>
      </c>
      <c r="AG43" s="38">
        <v>45017</v>
      </c>
      <c r="AH43" s="38">
        <v>45047</v>
      </c>
      <c r="AI43" s="38">
        <v>45078</v>
      </c>
      <c r="AJ43" s="38">
        <v>45108</v>
      </c>
      <c r="AK43" s="38">
        <v>45139</v>
      </c>
      <c r="AL43" s="38">
        <v>45170</v>
      </c>
      <c r="AM43" s="38">
        <v>45200</v>
      </c>
      <c r="AN43" s="38">
        <v>45231</v>
      </c>
      <c r="AO43" s="38">
        <v>45261</v>
      </c>
      <c r="AP43" s="38">
        <v>45292</v>
      </c>
      <c r="AQ43" s="38">
        <v>45323</v>
      </c>
      <c r="AR43" s="38">
        <v>45352</v>
      </c>
      <c r="AS43" s="38">
        <v>45383</v>
      </c>
      <c r="AT43" s="38">
        <v>45413</v>
      </c>
      <c r="AU43" s="38">
        <v>45444</v>
      </c>
      <c r="AV43" s="38">
        <v>45474</v>
      </c>
      <c r="AW43" s="38">
        <v>45505</v>
      </c>
      <c r="AX43" s="38">
        <v>45536</v>
      </c>
      <c r="AY43" s="38">
        <v>45566</v>
      </c>
      <c r="AZ43" s="38">
        <v>45597</v>
      </c>
      <c r="BA43" s="38">
        <v>45627</v>
      </c>
      <c r="BB43" s="38">
        <v>45658</v>
      </c>
      <c r="BC43" s="38">
        <v>45689</v>
      </c>
      <c r="BD43" s="38">
        <v>45717</v>
      </c>
      <c r="BE43" s="38">
        <v>45748</v>
      </c>
      <c r="BF43" s="38">
        <v>45778</v>
      </c>
      <c r="BG43" s="38">
        <v>45809</v>
      </c>
      <c r="BH43" s="38">
        <v>45839</v>
      </c>
      <c r="BI43" s="38">
        <v>45870</v>
      </c>
      <c r="BJ43" s="38">
        <v>45901</v>
      </c>
      <c r="BK43" s="38">
        <v>45931</v>
      </c>
      <c r="BL43" s="38">
        <v>45962</v>
      </c>
      <c r="BM43" s="38">
        <v>45992</v>
      </c>
      <c r="BN43" s="2"/>
      <c r="BO43" s="2"/>
    </row>
    <row r="44" spans="1:72" x14ac:dyDescent="0.25">
      <c r="A44" s="40" t="s">
        <v>12</v>
      </c>
      <c r="B44" s="49">
        <f>18.7861336558474/100</f>
        <v>0.18786133655847401</v>
      </c>
      <c r="C44" s="49">
        <f t="shared" ref="C44:M44" si="58">EFFECT((C37/100),12)</f>
        <v>0.18613045943053663</v>
      </c>
      <c r="D44" s="49">
        <f t="shared" si="58"/>
        <v>0.18097100620666717</v>
      </c>
      <c r="E44" s="49">
        <f t="shared" si="58"/>
        <v>0.18137658605444851</v>
      </c>
      <c r="F44" s="49">
        <f t="shared" si="58"/>
        <v>0.18324534696539496</v>
      </c>
      <c r="G44" s="49">
        <f t="shared" si="58"/>
        <v>0.18162154568823285</v>
      </c>
      <c r="H44" s="49">
        <f t="shared" si="58"/>
        <v>0.18392457898720749</v>
      </c>
      <c r="I44" s="49">
        <f t="shared" si="58"/>
        <v>0.18560394235177924</v>
      </c>
      <c r="J44" s="49">
        <f t="shared" si="58"/>
        <v>0.18758370842303296</v>
      </c>
      <c r="K44" s="49">
        <f t="shared" si="58"/>
        <v>0.18035521350245975</v>
      </c>
      <c r="L44" s="49">
        <f t="shared" si="58"/>
        <v>0.18300085311386161</v>
      </c>
      <c r="M44" s="49">
        <f t="shared" si="58"/>
        <v>0.18118197483828369</v>
      </c>
      <c r="N44" s="49">
        <f t="shared" ref="N44:P45" si="59">EFFECT((N37/100),12)</f>
        <v>0.17478404635628286</v>
      </c>
      <c r="O44" s="49">
        <f t="shared" si="59"/>
        <v>0.17608600117584183</v>
      </c>
      <c r="P44" s="49">
        <f t="shared" si="59"/>
        <v>0.1777617260103177</v>
      </c>
      <c r="Q44" s="49">
        <f t="shared" ref="Q44:AI44" si="60">EFFECT((Q37/100),12)</f>
        <v>0.17723298983723823</v>
      </c>
      <c r="R44" s="58">
        <f t="shared" si="60"/>
        <v>0.1822058214700073</v>
      </c>
      <c r="S44" s="58">
        <f t="shared" si="60"/>
        <v>0.18300951799775245</v>
      </c>
      <c r="T44" s="58">
        <f t="shared" si="60"/>
        <v>0.18552294230795119</v>
      </c>
      <c r="U44" s="58">
        <f t="shared" si="60"/>
        <v>0.18738991170242669</v>
      </c>
      <c r="V44" s="58">
        <f t="shared" si="60"/>
        <v>0.18878098773461605</v>
      </c>
      <c r="W44" s="58">
        <f t="shared" si="60"/>
        <v>0.18281328138657105</v>
      </c>
      <c r="X44" s="58">
        <f t="shared" si="60"/>
        <v>0.18329059077023291</v>
      </c>
      <c r="Y44" s="58">
        <f t="shared" si="60"/>
        <v>0.18144684222790386</v>
      </c>
      <c r="Z44" s="58">
        <f t="shared" si="60"/>
        <v>0.17658153008734634</v>
      </c>
      <c r="AA44" s="58">
        <f t="shared" si="60"/>
        <v>0.18269004221769913</v>
      </c>
      <c r="AB44" s="58">
        <f t="shared" si="60"/>
        <v>0.18269004221769913</v>
      </c>
      <c r="AC44" s="58">
        <f t="shared" si="60"/>
        <v>0.18269004221769913</v>
      </c>
      <c r="AD44" s="58">
        <f t="shared" si="60"/>
        <v>0.19433724345083192</v>
      </c>
      <c r="AE44" s="58">
        <f t="shared" si="60"/>
        <v>0.1958798305714704</v>
      </c>
      <c r="AF44" s="58">
        <f t="shared" si="60"/>
        <v>0.1996199174173543</v>
      </c>
      <c r="AG44" s="58">
        <f t="shared" si="60"/>
        <v>0.20220200706266178</v>
      </c>
      <c r="AH44" s="58">
        <f t="shared" si="60"/>
        <v>0.20497106454469738</v>
      </c>
      <c r="AI44" s="58">
        <f t="shared" si="60"/>
        <v>0.20502542955498182</v>
      </c>
      <c r="AJ44" s="58">
        <f t="shared" ref="AJ44:AO44" si="61">EFFECT((AJ37/100),12)</f>
        <v>0.20934216206986189</v>
      </c>
      <c r="AK44" s="58">
        <f t="shared" si="61"/>
        <v>0.20870634183507275</v>
      </c>
      <c r="AL44" s="58">
        <f t="shared" si="61"/>
        <v>0.20260565913070883</v>
      </c>
      <c r="AM44" s="58">
        <f t="shared" si="61"/>
        <v>0.20458596705067822</v>
      </c>
      <c r="AN44" s="58">
        <f t="shared" si="61"/>
        <v>0.20673435919863903</v>
      </c>
      <c r="AO44" s="58">
        <f t="shared" si="61"/>
        <v>0.20978318268406948</v>
      </c>
      <c r="AP44" s="58">
        <f t="shared" ref="AP44:BD44" si="62">EFFECT((AP37/100),12)</f>
        <v>0.21273942707619664</v>
      </c>
      <c r="AQ44" s="58">
        <f t="shared" si="62"/>
        <v>0.21307424040772971</v>
      </c>
      <c r="AR44" s="58">
        <f t="shared" si="62"/>
        <v>0.21634719126040736</v>
      </c>
      <c r="AS44" s="58">
        <f t="shared" si="62"/>
        <v>0.22108043315397086</v>
      </c>
      <c r="AT44" s="58">
        <f t="shared" si="62"/>
        <v>0.22404037313892911</v>
      </c>
      <c r="AU44" s="58">
        <f t="shared" si="62"/>
        <v>0.21844933383772513</v>
      </c>
      <c r="AV44" s="58">
        <f t="shared" si="62"/>
        <v>0.22163007316997807</v>
      </c>
      <c r="AW44" s="58">
        <f t="shared" si="62"/>
        <v>0.21894604986684096</v>
      </c>
      <c r="AX44" s="58">
        <f t="shared" si="62"/>
        <v>0.21100292530723519</v>
      </c>
      <c r="AY44" s="58">
        <f t="shared" si="62"/>
        <v>0.21312651681973827</v>
      </c>
      <c r="AZ44" s="58">
        <f t="shared" si="62"/>
        <v>0.21480334012296853</v>
      </c>
      <c r="BA44" s="58">
        <f t="shared" si="62"/>
        <v>0.21628192558020709</v>
      </c>
      <c r="BB44" s="58">
        <f t="shared" si="62"/>
        <v>0.2172467268262277</v>
      </c>
      <c r="BC44" s="58">
        <f t="shared" si="62"/>
        <v>0.21714899299853618</v>
      </c>
      <c r="BD44" s="58">
        <f t="shared" si="62"/>
        <v>0.21799145247181051</v>
      </c>
      <c r="BE44" s="58">
        <f t="shared" ref="BE44:BF44" si="63">EFFECT((BE37/100),12)</f>
        <v>0.21808375545542957</v>
      </c>
      <c r="BF44" s="58">
        <f t="shared" si="63"/>
        <v>0.21429750293291194</v>
      </c>
      <c r="BG44" s="58">
        <f t="shared" ref="BG44:BH44" si="64">EFFECT((BG37/100),12)</f>
        <v>0.21011362585694782</v>
      </c>
      <c r="BH44" s="58">
        <f t="shared" si="64"/>
        <v>0.20768420910764096</v>
      </c>
      <c r="BI44" s="58">
        <f t="shared" ref="BI44:BJ44" si="65">EFFECT((BI37/100),12)</f>
        <v>0.19720819291416136</v>
      </c>
      <c r="BJ44" s="58">
        <f t="shared" si="65"/>
        <v>0.18855533716614281</v>
      </c>
      <c r="BK44" s="58">
        <f t="shared" ref="BK44:BL44" si="66">EFFECT((BK37/100),12)</f>
        <v>0.18836214397841711</v>
      </c>
      <c r="BL44" s="58">
        <f t="shared" si="66"/>
        <v>0.18983594638314027</v>
      </c>
      <c r="BM44" s="58">
        <f t="shared" ref="BM44" si="67">EFFECT((BM37/100),12)</f>
        <v>0.19117040096740068</v>
      </c>
      <c r="BN44" s="6"/>
      <c r="BO44" s="6"/>
      <c r="BP44" s="94" t="s">
        <v>60</v>
      </c>
      <c r="BQ44" s="94"/>
      <c r="BR44" s="94"/>
      <c r="BS44" s="94"/>
      <c r="BT44" t="s">
        <v>46</v>
      </c>
    </row>
    <row r="45" spans="1:72" x14ac:dyDescent="0.25">
      <c r="A45" s="40" t="s">
        <v>33</v>
      </c>
      <c r="B45" s="49"/>
      <c r="C45" s="49"/>
      <c r="D45" s="49"/>
      <c r="E45" s="49"/>
      <c r="F45" s="49">
        <f>EFFECT((F38/100),12)</f>
        <v>0.20460708704498232</v>
      </c>
      <c r="G45" s="49">
        <f t="shared" ref="G45:M45" si="68">EFFECT((G38/100),12)</f>
        <v>0.20523173633556491</v>
      </c>
      <c r="H45" s="49">
        <f t="shared" si="68"/>
        <v>0.2054689675964303</v>
      </c>
      <c r="I45" s="49">
        <f t="shared" si="68"/>
        <v>0.20558423211815913</v>
      </c>
      <c r="J45" s="49">
        <f t="shared" si="68"/>
        <v>0.2056962244602496</v>
      </c>
      <c r="K45" s="49">
        <f t="shared" si="68"/>
        <v>0.20607109946785629</v>
      </c>
      <c r="L45" s="49">
        <f t="shared" si="68"/>
        <v>0.20623508127880386</v>
      </c>
      <c r="M45" s="49">
        <f t="shared" si="68"/>
        <v>0.20618834497805216</v>
      </c>
      <c r="N45" s="49">
        <f t="shared" si="59"/>
        <v>0.2064426727950468</v>
      </c>
      <c r="O45" s="49">
        <f t="shared" si="59"/>
        <v>0.20645825123895745</v>
      </c>
      <c r="P45" s="49">
        <f t="shared" si="59"/>
        <v>0.20647440316044641</v>
      </c>
      <c r="Q45" s="49">
        <f t="shared" ref="Q45:AI45" si="69">EFFECT((Q38/100),12)</f>
        <v>0.20656785469247207</v>
      </c>
      <c r="R45" s="58">
        <f t="shared" si="69"/>
        <v>0.20656534784450908</v>
      </c>
      <c r="S45" s="58">
        <f t="shared" si="69"/>
        <v>0.20683528757687997</v>
      </c>
      <c r="T45" s="58">
        <f t="shared" si="69"/>
        <v>0.20703756331176293</v>
      </c>
      <c r="U45" s="58">
        <f t="shared" si="69"/>
        <v>0.20714458104167055</v>
      </c>
      <c r="V45" s="58">
        <f t="shared" si="69"/>
        <v>0.20725607306471949</v>
      </c>
      <c r="W45" s="58">
        <f t="shared" si="69"/>
        <v>0.20717900163980318</v>
      </c>
      <c r="X45" s="58">
        <f t="shared" si="69"/>
        <v>0.20717396934013332</v>
      </c>
      <c r="Y45" s="58">
        <f t="shared" si="69"/>
        <v>0.20745996496106667</v>
      </c>
      <c r="Z45" s="58">
        <f t="shared" si="69"/>
        <v>0.20797248446624295</v>
      </c>
      <c r="AA45" s="58">
        <f t="shared" si="69"/>
        <v>0.20861557328135771</v>
      </c>
      <c r="AB45" s="58">
        <f t="shared" si="69"/>
        <v>0.20861557328135771</v>
      </c>
      <c r="AC45" s="58">
        <f t="shared" si="69"/>
        <v>0.20861557328135771</v>
      </c>
      <c r="AD45" s="58">
        <f t="shared" si="69"/>
        <v>0.21132704406347025</v>
      </c>
      <c r="AE45" s="58">
        <f t="shared" si="69"/>
        <v>0.21256308386246836</v>
      </c>
      <c r="AF45" s="58">
        <f t="shared" si="69"/>
        <v>0.21464706477192519</v>
      </c>
      <c r="AG45" s="58">
        <f t="shared" si="69"/>
        <v>0.21627413343096147</v>
      </c>
      <c r="AH45" s="58">
        <f t="shared" si="69"/>
        <v>0.21774473094424884</v>
      </c>
      <c r="AI45" s="58">
        <f t="shared" si="69"/>
        <v>0.22047130327248654</v>
      </c>
      <c r="AJ45" s="58">
        <f t="shared" ref="AJ45:AO47" si="70">EFFECT((AJ38/100),12)</f>
        <v>0.22254549832272219</v>
      </c>
      <c r="AK45" s="58">
        <f t="shared" si="70"/>
        <v>0.22523643464716447</v>
      </c>
      <c r="AL45" s="58">
        <f t="shared" si="70"/>
        <v>0.22787717966065979</v>
      </c>
      <c r="AM45" s="58">
        <f t="shared" si="70"/>
        <v>0.23130529659847343</v>
      </c>
      <c r="AN45" s="58">
        <f t="shared" si="70"/>
        <v>0.2331212079901841</v>
      </c>
      <c r="AO45" s="58">
        <f t="shared" si="70"/>
        <v>0.24188619520182808</v>
      </c>
      <c r="AP45" s="58">
        <f t="shared" ref="AP45:BD45" si="71">EFFECT((AP38/100),12)</f>
        <v>0.24634129250092096</v>
      </c>
      <c r="AQ45" s="58">
        <f t="shared" si="71"/>
        <v>0.25020182530684387</v>
      </c>
      <c r="AR45" s="58">
        <f t="shared" si="71"/>
        <v>0.25367731209402478</v>
      </c>
      <c r="AS45" s="58">
        <f t="shared" si="71"/>
        <v>0.25579370974210347</v>
      </c>
      <c r="AT45" s="58">
        <f t="shared" si="71"/>
        <v>0.25626858972718058</v>
      </c>
      <c r="AU45" s="58">
        <f t="shared" si="71"/>
        <v>0.25799557423086861</v>
      </c>
      <c r="AV45" s="58">
        <f t="shared" si="71"/>
        <v>0.25911178187788075</v>
      </c>
      <c r="AW45" s="58">
        <f t="shared" si="71"/>
        <v>0.25952712733609284</v>
      </c>
      <c r="AX45" s="58">
        <f t="shared" si="71"/>
        <v>0.26035948780206386</v>
      </c>
      <c r="AY45" s="58">
        <f t="shared" si="71"/>
        <v>0.26096623503573513</v>
      </c>
      <c r="AZ45" s="58">
        <f t="shared" si="71"/>
        <v>0.26131233395800213</v>
      </c>
      <c r="BA45" s="58">
        <f t="shared" si="71"/>
        <v>0.26222638204709559</v>
      </c>
      <c r="BB45" s="58">
        <f t="shared" si="71"/>
        <v>0.26475128834329631</v>
      </c>
      <c r="BC45" s="58">
        <f t="shared" si="71"/>
        <v>0.26505762337239136</v>
      </c>
      <c r="BD45" s="58">
        <f t="shared" si="71"/>
        <v>0.26465615205819626</v>
      </c>
      <c r="BE45" s="58">
        <f t="shared" ref="BE45:BF45" si="72">EFFECT((BE38/100),12)</f>
        <v>0.26439391097912934</v>
      </c>
      <c r="BF45" s="58">
        <f t="shared" si="72"/>
        <v>0.26371090024607691</v>
      </c>
      <c r="BG45" s="58">
        <f t="shared" ref="BG45:BH45" si="73">EFFECT((BG38/100),12)</f>
        <v>0.26345080054156655</v>
      </c>
      <c r="BH45" s="58">
        <f t="shared" si="73"/>
        <v>0.26311036573557978</v>
      </c>
      <c r="BI45" s="58">
        <f t="shared" ref="BI45:BJ45" si="74">EFFECT((BI38/100),12)</f>
        <v>0.24649025820372783</v>
      </c>
      <c r="BJ45" s="58">
        <f t="shared" si="74"/>
        <v>0.24630197239774998</v>
      </c>
      <c r="BK45" s="58">
        <f t="shared" ref="BK45:BL45" si="75">EFFECT((BK38/100),12)</f>
        <v>0.24225218595088505</v>
      </c>
      <c r="BL45" s="58">
        <f t="shared" si="75"/>
        <v>0.24424621550855408</v>
      </c>
      <c r="BM45" s="58">
        <f t="shared" ref="BM45" si="76">EFFECT((BM38/100),12)</f>
        <v>0.24450252461409794</v>
      </c>
      <c r="BN45" s="6"/>
      <c r="BO45" s="6"/>
      <c r="BQ45" s="4"/>
    </row>
    <row r="46" spans="1:72" x14ac:dyDescent="0.25">
      <c r="A46" s="40" t="s">
        <v>9</v>
      </c>
      <c r="B46" s="49">
        <f>9.89069564906094/100</f>
        <v>9.8906956490609391E-2</v>
      </c>
      <c r="C46" s="49">
        <f t="shared" ref="C46:E47" si="77">EFFECT((C39/100),12)</f>
        <v>9.8903130825418017E-2</v>
      </c>
      <c r="D46" s="49">
        <f t="shared" si="77"/>
        <v>0.10478113970453218</v>
      </c>
      <c r="E46" s="49">
        <f t="shared" si="77"/>
        <v>0.10544963529703866</v>
      </c>
      <c r="F46" s="49">
        <f t="shared" ref="F46:M46" si="78">EFFECT((F39/100),12)</f>
        <v>0.10273764154175025</v>
      </c>
      <c r="G46" s="49">
        <f t="shared" si="78"/>
        <v>0.10270731975984715</v>
      </c>
      <c r="H46" s="49">
        <f t="shared" si="78"/>
        <v>0.10217912147060981</v>
      </c>
      <c r="I46" s="49">
        <f t="shared" si="78"/>
        <v>0.10202092754836789</v>
      </c>
      <c r="J46" s="49">
        <f t="shared" si="78"/>
        <v>0.10157070599348628</v>
      </c>
      <c r="K46" s="49">
        <f t="shared" si="78"/>
        <v>0.10196532828553373</v>
      </c>
      <c r="L46" s="49">
        <f t="shared" si="78"/>
        <v>0.10189355549534374</v>
      </c>
      <c r="M46" s="49">
        <f t="shared" si="78"/>
        <v>0.10137746329038966</v>
      </c>
      <c r="N46" s="49">
        <f>EFFECT((N39/100),12)</f>
        <v>0.10134003959603799</v>
      </c>
      <c r="O46" s="49">
        <f>EFFECT((O39/100),12)</f>
        <v>0.10099750561379195</v>
      </c>
      <c r="P46" s="49">
        <f t="shared" ref="P46:R47" si="79">EFFECT((P39/100),12)</f>
        <v>0.10069591730641037</v>
      </c>
      <c r="Q46" s="49">
        <f t="shared" si="79"/>
        <v>0.10104499254487553</v>
      </c>
      <c r="R46" s="58">
        <f t="shared" si="79"/>
        <v>0.10082840736340226</v>
      </c>
      <c r="S46" s="58">
        <f t="shared" ref="S46:AI46" si="80">EFFECT((S39/100),12)</f>
        <v>0.10075241761961751</v>
      </c>
      <c r="T46" s="58">
        <f t="shared" si="80"/>
        <v>0.10026932007040257</v>
      </c>
      <c r="U46" s="58">
        <f t="shared" si="80"/>
        <v>0.10025143130714453</v>
      </c>
      <c r="V46" s="58">
        <f t="shared" si="80"/>
        <v>9.9091313772984302E-2</v>
      </c>
      <c r="W46" s="58">
        <f t="shared" si="80"/>
        <v>9.849138724558415E-2</v>
      </c>
      <c r="X46" s="58">
        <f t="shared" si="80"/>
        <v>9.859516795851575E-2</v>
      </c>
      <c r="Y46" s="58">
        <f t="shared" si="80"/>
        <v>9.875633571321929E-2</v>
      </c>
      <c r="Z46" s="58">
        <f t="shared" si="80"/>
        <v>9.7977620294546153E-2</v>
      </c>
      <c r="AA46" s="58">
        <f t="shared" si="80"/>
        <v>9.9803528129925212E-2</v>
      </c>
      <c r="AB46" s="58">
        <f t="shared" si="80"/>
        <v>9.9803528129925212E-2</v>
      </c>
      <c r="AC46" s="58">
        <f t="shared" si="80"/>
        <v>9.9803528129925212E-2</v>
      </c>
      <c r="AD46" s="58">
        <f t="shared" si="80"/>
        <v>0.10248938804909846</v>
      </c>
      <c r="AE46" s="58">
        <f t="shared" si="80"/>
        <v>0.10338097917893085</v>
      </c>
      <c r="AF46" s="58">
        <f t="shared" si="80"/>
        <v>0.10370131983528608</v>
      </c>
      <c r="AG46" s="58">
        <f t="shared" si="80"/>
        <v>0.10395152001363583</v>
      </c>
      <c r="AH46" s="58">
        <f t="shared" si="80"/>
        <v>0.10485006304664934</v>
      </c>
      <c r="AI46" s="58">
        <f t="shared" si="80"/>
        <v>0.10633619398423666</v>
      </c>
      <c r="AJ46" s="58">
        <f t="shared" si="70"/>
        <v>0.10716930227778643</v>
      </c>
      <c r="AK46" s="58">
        <f t="shared" si="70"/>
        <v>0.10768565749146775</v>
      </c>
      <c r="AL46" s="58">
        <f t="shared" si="70"/>
        <v>0.10793656973550458</v>
      </c>
      <c r="AM46" s="58">
        <f t="shared" si="70"/>
        <v>0.10848156857712521</v>
      </c>
      <c r="AN46" s="58">
        <f t="shared" si="70"/>
        <v>0.10950610288521156</v>
      </c>
      <c r="AO46" s="58">
        <f t="shared" si="70"/>
        <v>0.11023551431057732</v>
      </c>
      <c r="AP46" s="58">
        <f t="shared" ref="AP46:BD46" si="81">EFFECT((AP39/100),12)</f>
        <v>0.11027231713190888</v>
      </c>
      <c r="AQ46" s="58">
        <f t="shared" si="81"/>
        <v>0.11093207967230878</v>
      </c>
      <c r="AR46" s="58">
        <f t="shared" si="81"/>
        <v>0.11137788996445797</v>
      </c>
      <c r="AS46" s="58">
        <f t="shared" si="81"/>
        <v>0.11159609090064992</v>
      </c>
      <c r="AT46" s="58">
        <f t="shared" si="81"/>
        <v>0.11172390006259802</v>
      </c>
      <c r="AU46" s="58">
        <f t="shared" si="81"/>
        <v>0.11256322778518335</v>
      </c>
      <c r="AV46" s="58">
        <f t="shared" si="81"/>
        <v>0.11262104196292899</v>
      </c>
      <c r="AW46" s="58">
        <f t="shared" si="81"/>
        <v>0.11144529397885372</v>
      </c>
      <c r="AX46" s="58">
        <f t="shared" si="81"/>
        <v>0.11160053079976007</v>
      </c>
      <c r="AY46" s="58">
        <f t="shared" si="81"/>
        <v>0.1113958318854269</v>
      </c>
      <c r="AZ46" s="58">
        <f t="shared" si="81"/>
        <v>0.11168333779817385</v>
      </c>
      <c r="BA46" s="58">
        <f t="shared" si="81"/>
        <v>0.11214914541188503</v>
      </c>
      <c r="BB46" s="58">
        <f t="shared" si="81"/>
        <v>0.11215615292662795</v>
      </c>
      <c r="BC46" s="58">
        <f t="shared" si="81"/>
        <v>0.11205943788430361</v>
      </c>
      <c r="BD46" s="58">
        <f t="shared" si="81"/>
        <v>0.11140397309219852</v>
      </c>
      <c r="BE46" s="58">
        <f t="shared" ref="BE46:BF46" si="82">EFFECT((BE39/100),12)</f>
        <v>0.11076808376759328</v>
      </c>
      <c r="BF46" s="58">
        <f t="shared" si="82"/>
        <v>0.11052659602521819</v>
      </c>
      <c r="BG46" s="58">
        <f t="shared" ref="BG46:BH46" si="83">EFFECT((BG39/100),12)</f>
        <v>0.110162733332408</v>
      </c>
      <c r="BH46" s="58">
        <f t="shared" si="83"/>
        <v>0.10968583079197258</v>
      </c>
      <c r="BI46" s="58">
        <f t="shared" ref="BI46:BJ46" si="84">EFFECT((BI39/100),12)</f>
        <v>0.10789884411428363</v>
      </c>
      <c r="BJ46" s="58">
        <f t="shared" si="84"/>
        <v>0.10816934113272314</v>
      </c>
      <c r="BK46" s="58">
        <f t="shared" ref="BK46:BL46" si="85">EFFECT((BK39/100),12)</f>
        <v>0.10819617412016291</v>
      </c>
      <c r="BL46" s="58">
        <f t="shared" si="85"/>
        <v>0.10828969981716852</v>
      </c>
      <c r="BM46" s="58">
        <f t="shared" ref="BM46" si="86">EFFECT((BM39/100),12)</f>
        <v>0.10869134064651242</v>
      </c>
      <c r="BN46" s="6"/>
      <c r="BO46" s="6"/>
    </row>
    <row r="47" spans="1:72" x14ac:dyDescent="0.25">
      <c r="A47" s="43" t="s">
        <v>10</v>
      </c>
      <c r="B47" s="50">
        <f>16.1280754902648/100</f>
        <v>0.16128075490264798</v>
      </c>
      <c r="C47" s="50">
        <f t="shared" si="77"/>
        <v>0.16434484643874092</v>
      </c>
      <c r="D47" s="50">
        <f t="shared" si="77"/>
        <v>0.16198861303836387</v>
      </c>
      <c r="E47" s="50">
        <f t="shared" si="77"/>
        <v>0.1625736087199301</v>
      </c>
      <c r="F47" s="50">
        <f>EFFECT((F40/100),12)</f>
        <v>0.16318382494353068</v>
      </c>
      <c r="G47" s="50">
        <f t="shared" ref="G47:M47" si="87">EFFECT((G40/100),12)</f>
        <v>0.16288185381317044</v>
      </c>
      <c r="H47" s="50">
        <f t="shared" si="87"/>
        <v>0.16356002828002025</v>
      </c>
      <c r="I47" s="50">
        <f t="shared" si="87"/>
        <v>0.164228523570634</v>
      </c>
      <c r="J47" s="50">
        <f t="shared" si="87"/>
        <v>0.16459505906923333</v>
      </c>
      <c r="K47" s="50">
        <f t="shared" si="87"/>
        <v>0.16200791354002431</v>
      </c>
      <c r="L47" s="50">
        <f t="shared" si="87"/>
        <v>0.16320501125136277</v>
      </c>
      <c r="M47" s="50">
        <f t="shared" si="87"/>
        <v>0.16205543015695389</v>
      </c>
      <c r="N47" s="50">
        <f>EFFECT((N40/100),12)</f>
        <v>0.15962435696747646</v>
      </c>
      <c r="O47" s="50">
        <f>EFFECT((O40/100),12)</f>
        <v>0.16014442588791344</v>
      </c>
      <c r="P47" s="50">
        <f t="shared" si="79"/>
        <v>0.16056666958378107</v>
      </c>
      <c r="Q47" s="50">
        <f t="shared" si="79"/>
        <v>0.15975684775882026</v>
      </c>
      <c r="R47" s="67">
        <f t="shared" si="79"/>
        <v>0.16155475578364231</v>
      </c>
      <c r="S47" s="67">
        <f t="shared" ref="S47:AI47" si="88">EFFECT((S40/100),12)</f>
        <v>0.16239529741483771</v>
      </c>
      <c r="T47" s="67">
        <f t="shared" si="88"/>
        <v>0.1634291311679017</v>
      </c>
      <c r="U47" s="67">
        <f t="shared" si="88"/>
        <v>0.16408552289235434</v>
      </c>
      <c r="V47" s="67">
        <f t="shared" si="88"/>
        <v>0.16365942023886038</v>
      </c>
      <c r="W47" s="67">
        <f t="shared" si="88"/>
        <v>0.16089293093879986</v>
      </c>
      <c r="X47" s="67">
        <f t="shared" si="88"/>
        <v>0.1616375849323235</v>
      </c>
      <c r="Y47" s="67">
        <f t="shared" si="88"/>
        <v>0.16100807083211355</v>
      </c>
      <c r="Z47" s="67">
        <f t="shared" si="88"/>
        <v>0.15954435463467731</v>
      </c>
      <c r="AA47" s="67">
        <f t="shared" si="88"/>
        <v>0.16295871385032767</v>
      </c>
      <c r="AB47" s="67">
        <f t="shared" si="88"/>
        <v>0.16295871385032767</v>
      </c>
      <c r="AC47" s="67">
        <f t="shared" si="88"/>
        <v>0.16295871385032767</v>
      </c>
      <c r="AD47" s="67">
        <f t="shared" si="88"/>
        <v>0.17029879029992823</v>
      </c>
      <c r="AE47" s="67">
        <f t="shared" si="88"/>
        <v>0.17182353945697759</v>
      </c>
      <c r="AF47" s="67">
        <f t="shared" si="88"/>
        <v>0.17427844633096989</v>
      </c>
      <c r="AG47" s="67">
        <f t="shared" si="88"/>
        <v>0.17575400413204711</v>
      </c>
      <c r="AH47" s="67">
        <f t="shared" si="88"/>
        <v>0.17742781262533214</v>
      </c>
      <c r="AI47" s="67">
        <f t="shared" si="88"/>
        <v>0.1789207498029457</v>
      </c>
      <c r="AJ47" s="67">
        <f t="shared" si="70"/>
        <v>0.18143500321697292</v>
      </c>
      <c r="AK47" s="67">
        <f t="shared" si="70"/>
        <v>0.18200313858282424</v>
      </c>
      <c r="AL47" s="67">
        <f t="shared" si="70"/>
        <v>0.17908782576769444</v>
      </c>
      <c r="AM47" s="67">
        <f t="shared" si="70"/>
        <v>0.18178085188639281</v>
      </c>
      <c r="AN47" s="67">
        <f t="shared" si="70"/>
        <v>0.18297094828652227</v>
      </c>
      <c r="AO47" s="67">
        <f t="shared" si="70"/>
        <v>0.18697097976320909</v>
      </c>
      <c r="AP47" s="67">
        <f t="shared" ref="AP47:BD47" si="89">EFFECT((AP40/100),12)</f>
        <v>0.18977188971682435</v>
      </c>
      <c r="AQ47" s="67">
        <f t="shared" si="89"/>
        <v>0.19078915692754861</v>
      </c>
      <c r="AR47" s="67">
        <f t="shared" si="89"/>
        <v>0.19373484401220797</v>
      </c>
      <c r="AS47" s="67">
        <f t="shared" si="89"/>
        <v>0.19610532626212707</v>
      </c>
      <c r="AT47" s="67">
        <f t="shared" si="89"/>
        <v>0.19890509303173132</v>
      </c>
      <c r="AU47" s="67">
        <f t="shared" si="89"/>
        <v>0.19817856918319143</v>
      </c>
      <c r="AV47" s="67">
        <f t="shared" si="89"/>
        <v>0.20043640549448538</v>
      </c>
      <c r="AW47" s="67">
        <f t="shared" si="89"/>
        <v>0.19947594350573117</v>
      </c>
      <c r="AX47" s="67">
        <f t="shared" si="89"/>
        <v>0.19655654731669614</v>
      </c>
      <c r="AY47" s="67">
        <f t="shared" si="89"/>
        <v>0.19775556802461325</v>
      </c>
      <c r="AZ47" s="67">
        <f t="shared" si="89"/>
        <v>0.19867623899323839</v>
      </c>
      <c r="BA47" s="67">
        <f t="shared" si="89"/>
        <v>0.19981099212890441</v>
      </c>
      <c r="BB47" s="67">
        <f t="shared" si="89"/>
        <v>0.20188949009099888</v>
      </c>
      <c r="BC47" s="67">
        <f t="shared" si="89"/>
        <v>0.20208582530161823</v>
      </c>
      <c r="BD47" s="67">
        <f t="shared" si="89"/>
        <v>0.20181363307781175</v>
      </c>
      <c r="BE47" s="67">
        <f t="shared" ref="BE47" si="90">EFFECT((BE40/100),12)</f>
        <v>0.20130168693105954</v>
      </c>
      <c r="BF47" s="67">
        <f t="shared" ref="BF47:BK47" si="91">EFFECT((BF40/100),12)</f>
        <v>0.19946639006299183</v>
      </c>
      <c r="BG47" s="67">
        <f t="shared" si="91"/>
        <v>0.19653490037893562</v>
      </c>
      <c r="BH47" s="67">
        <f t="shared" si="91"/>
        <v>0.194308244084344</v>
      </c>
      <c r="BI47" s="67">
        <f t="shared" si="91"/>
        <v>0.18467993274759142</v>
      </c>
      <c r="BJ47" s="67">
        <f t="shared" si="91"/>
        <v>0.18040796893308153</v>
      </c>
      <c r="BK47" s="67">
        <f t="shared" si="91"/>
        <v>0.17927849336512813</v>
      </c>
      <c r="BL47" s="67">
        <f t="shared" ref="BL47:BM47" si="92">EFFECT((BL40/100),12)</f>
        <v>0.18008887866737711</v>
      </c>
      <c r="BM47" s="67">
        <f t="shared" si="92"/>
        <v>0.18040795413965616</v>
      </c>
      <c r="BN47" s="6"/>
      <c r="BO47" s="66">
        <v>1000</v>
      </c>
    </row>
    <row r="49" spans="1:68" x14ac:dyDescent="0.25">
      <c r="AV49">
        <v>1000</v>
      </c>
    </row>
    <row r="50" spans="1:68" x14ac:dyDescent="0.25">
      <c r="F50">
        <v>1000</v>
      </c>
    </row>
    <row r="51" spans="1:68" x14ac:dyDescent="0.25">
      <c r="A51" s="70" t="s">
        <v>66</v>
      </c>
      <c r="B51" s="71">
        <v>44075</v>
      </c>
      <c r="C51" s="71">
        <v>44105</v>
      </c>
      <c r="D51" s="71">
        <v>44136</v>
      </c>
      <c r="E51" s="71">
        <v>44166</v>
      </c>
      <c r="F51" s="71">
        <v>44197</v>
      </c>
      <c r="G51" s="71">
        <v>44228</v>
      </c>
      <c r="H51" s="71">
        <v>44256</v>
      </c>
      <c r="I51" s="71">
        <v>44287</v>
      </c>
      <c r="J51" s="71">
        <v>44317</v>
      </c>
      <c r="K51" s="71">
        <v>44348</v>
      </c>
      <c r="L51" s="71">
        <v>44378</v>
      </c>
      <c r="M51" s="71">
        <v>44409</v>
      </c>
      <c r="N51" s="71">
        <v>44440</v>
      </c>
      <c r="O51" s="71">
        <v>44470</v>
      </c>
      <c r="P51" s="71">
        <v>44501</v>
      </c>
      <c r="Q51" s="71">
        <v>44531</v>
      </c>
      <c r="R51" s="71">
        <v>44562</v>
      </c>
      <c r="S51" s="71">
        <v>44593</v>
      </c>
      <c r="T51" s="71">
        <v>44621</v>
      </c>
      <c r="U51" s="71">
        <v>44652</v>
      </c>
      <c r="V51" s="71">
        <v>44682</v>
      </c>
      <c r="W51" s="71">
        <v>44713</v>
      </c>
      <c r="X51" s="71">
        <v>44743</v>
      </c>
      <c r="Y51" s="71">
        <v>44774</v>
      </c>
      <c r="Z51" s="71">
        <v>44805</v>
      </c>
      <c r="AA51" s="71">
        <v>44835</v>
      </c>
      <c r="AB51" s="71">
        <v>44866</v>
      </c>
      <c r="AC51" s="71">
        <v>44896</v>
      </c>
      <c r="AD51" s="71">
        <v>44927</v>
      </c>
      <c r="AE51" s="71">
        <v>44958</v>
      </c>
      <c r="AF51" s="71">
        <v>44986</v>
      </c>
      <c r="AG51" s="71">
        <v>45017</v>
      </c>
      <c r="AH51" s="71">
        <v>45047</v>
      </c>
      <c r="AI51" s="71">
        <v>45078</v>
      </c>
      <c r="AJ51" s="71">
        <v>45108</v>
      </c>
      <c r="AK51" s="71">
        <v>45139</v>
      </c>
      <c r="AL51" s="71">
        <v>45170</v>
      </c>
      <c r="AM51" s="71">
        <v>45200</v>
      </c>
      <c r="AN51" s="71">
        <v>45231</v>
      </c>
      <c r="AO51" s="71">
        <v>45261</v>
      </c>
      <c r="AP51" s="71">
        <v>45292</v>
      </c>
      <c r="AQ51" s="71">
        <v>45323</v>
      </c>
      <c r="AR51" s="71">
        <v>45352</v>
      </c>
      <c r="AS51" s="71">
        <v>45383</v>
      </c>
      <c r="AT51" s="71">
        <v>45413</v>
      </c>
      <c r="AU51" s="71">
        <v>45444</v>
      </c>
      <c r="AV51" s="71">
        <v>45474</v>
      </c>
      <c r="AW51" s="71">
        <v>45505</v>
      </c>
      <c r="AX51" s="71">
        <v>45536</v>
      </c>
      <c r="AY51" s="71">
        <v>45566</v>
      </c>
      <c r="AZ51" s="71">
        <v>45597</v>
      </c>
      <c r="BA51" s="71">
        <v>45627</v>
      </c>
      <c r="BB51" s="71">
        <v>45658</v>
      </c>
      <c r="BC51" s="71">
        <v>45689</v>
      </c>
      <c r="BD51" s="71">
        <v>45717</v>
      </c>
      <c r="BE51" s="71">
        <v>45748</v>
      </c>
      <c r="BF51" s="71">
        <v>45778</v>
      </c>
      <c r="BG51" s="71">
        <v>45809</v>
      </c>
      <c r="BH51" s="71">
        <v>45839</v>
      </c>
      <c r="BI51" s="71">
        <v>45870</v>
      </c>
      <c r="BJ51" s="71">
        <v>45901</v>
      </c>
      <c r="BK51" s="71">
        <v>45931</v>
      </c>
      <c r="BL51" s="71">
        <v>45962</v>
      </c>
      <c r="BM51" s="71">
        <v>45992</v>
      </c>
      <c r="BN51" s="72" t="s">
        <v>64</v>
      </c>
      <c r="BO51" s="2"/>
      <c r="BP51" s="2"/>
    </row>
    <row r="52" spans="1:68" x14ac:dyDescent="0.25">
      <c r="A52" s="73" t="s">
        <v>19</v>
      </c>
      <c r="B52" s="74">
        <v>2671755.3250000002</v>
      </c>
      <c r="C52" s="75">
        <v>2591961.5249999999</v>
      </c>
      <c r="D52" s="74">
        <v>1334334.561</v>
      </c>
      <c r="E52" s="74">
        <v>2197835.236</v>
      </c>
      <c r="F52" s="74">
        <v>1304091.477</v>
      </c>
      <c r="G52" s="74">
        <v>2965435.6680000001</v>
      </c>
      <c r="H52" s="74">
        <v>2581959.7510000002</v>
      </c>
      <c r="I52" s="74">
        <v>1070880.152</v>
      </c>
      <c r="J52" s="76">
        <v>1605876.808</v>
      </c>
      <c r="K52" s="76">
        <v>2858285.3259999999</v>
      </c>
      <c r="L52" s="74">
        <v>2444254.83</v>
      </c>
      <c r="M52" s="76">
        <v>1633935.1680000001</v>
      </c>
      <c r="N52" s="74">
        <v>3659956.4279999998</v>
      </c>
      <c r="O52" s="75">
        <v>2413029.213</v>
      </c>
      <c r="P52" s="74">
        <v>1478066.9450000001</v>
      </c>
      <c r="Q52" s="74">
        <v>1652794.8419999999</v>
      </c>
      <c r="R52" s="74">
        <v>1933554.037</v>
      </c>
      <c r="S52" s="74">
        <v>3870807.8560000001</v>
      </c>
      <c r="T52" s="74">
        <v>3171842.4</v>
      </c>
      <c r="U52" s="74">
        <v>1721815.55</v>
      </c>
      <c r="V52" s="74">
        <v>1857274.1880000001</v>
      </c>
      <c r="W52" s="74">
        <v>3103565.88</v>
      </c>
      <c r="X52" s="74">
        <v>4353529.1890000002</v>
      </c>
      <c r="Y52" s="74">
        <v>2324328.2940000002</v>
      </c>
      <c r="Z52" s="74">
        <v>3542613.7769999998</v>
      </c>
      <c r="AA52" s="74">
        <v>3065778.784</v>
      </c>
      <c r="AB52" s="74">
        <v>1852429.622</v>
      </c>
      <c r="AC52" s="74">
        <v>2682605.5699999998</v>
      </c>
      <c r="AD52" s="74">
        <v>1885198.318</v>
      </c>
      <c r="AE52" s="74">
        <v>2877910.639</v>
      </c>
      <c r="AF52" s="74">
        <v>2602294.6039999998</v>
      </c>
      <c r="AG52" s="74">
        <v>1243588.2379999999</v>
      </c>
      <c r="AH52" s="74">
        <v>1205551.145</v>
      </c>
      <c r="AI52" s="74">
        <v>2621770.773</v>
      </c>
      <c r="AJ52" s="74">
        <v>1660462.923</v>
      </c>
      <c r="AK52" s="74">
        <v>1674532.0589999999</v>
      </c>
      <c r="AL52" s="74">
        <v>2497016.4709999999</v>
      </c>
      <c r="AM52" s="74">
        <v>1985066.7379999999</v>
      </c>
      <c r="AN52" s="74">
        <v>1464640.871</v>
      </c>
      <c r="AO52" s="74">
        <v>4269183.574</v>
      </c>
      <c r="AP52" s="74">
        <v>2920208.5150000001</v>
      </c>
      <c r="AQ52" s="74">
        <v>2971099.8220000002</v>
      </c>
      <c r="AR52" s="74">
        <v>3339142.3309999998</v>
      </c>
      <c r="AS52" s="74">
        <v>2260903.2969999998</v>
      </c>
      <c r="AT52" s="74">
        <v>4045483.267</v>
      </c>
      <c r="AU52" s="74">
        <v>5146989.8480000002</v>
      </c>
      <c r="AV52" s="74">
        <v>4012074.2239999999</v>
      </c>
      <c r="AW52" s="74">
        <v>2814287.13</v>
      </c>
      <c r="AX52" s="74">
        <v>4116741.2629999998</v>
      </c>
      <c r="AY52" s="74">
        <v>2830579.96</v>
      </c>
      <c r="AZ52" s="74">
        <v>2129369.6490000002</v>
      </c>
      <c r="BA52" s="74">
        <v>2416818.9670000002</v>
      </c>
      <c r="BB52" s="74">
        <v>768126.44799999997</v>
      </c>
      <c r="BC52" s="74">
        <v>1804757.5930000001</v>
      </c>
      <c r="BD52" s="74">
        <v>1114719.3289999999</v>
      </c>
      <c r="BE52" s="74">
        <v>848139.57</v>
      </c>
      <c r="BF52" s="74">
        <v>1237508.7919999999</v>
      </c>
      <c r="BG52" s="74">
        <v>814535.22199999995</v>
      </c>
      <c r="BH52" s="74">
        <v>912143.23</v>
      </c>
      <c r="BI52" s="74">
        <v>881317.43700000003</v>
      </c>
      <c r="BJ52" s="74">
        <v>1244898.7339999999</v>
      </c>
      <c r="BK52" s="74">
        <v>1011860.218</v>
      </c>
      <c r="BL52" s="74">
        <v>903455.15500000003</v>
      </c>
      <c r="BM52" s="74">
        <v>1038562.474</v>
      </c>
      <c r="BN52" s="77">
        <f>SUM(BB52:BM52)</f>
        <v>12580024.202</v>
      </c>
      <c r="BO52" s="4"/>
      <c r="BP52" s="1"/>
    </row>
    <row r="53" spans="1:68" x14ac:dyDescent="0.25">
      <c r="A53" s="73" t="s">
        <v>18</v>
      </c>
      <c r="B53" s="74">
        <v>2543286.6860000002</v>
      </c>
      <c r="C53" s="74">
        <v>2680998.142</v>
      </c>
      <c r="D53" s="74">
        <v>1701464.58</v>
      </c>
      <c r="E53" s="74">
        <v>1855515.3759999999</v>
      </c>
      <c r="F53" s="74">
        <v>2001361.5060000001</v>
      </c>
      <c r="G53" s="74">
        <v>4456782.9359999998</v>
      </c>
      <c r="H53" s="74">
        <v>3519331.2689999999</v>
      </c>
      <c r="I53" s="74">
        <v>1541928.3</v>
      </c>
      <c r="J53" s="76">
        <v>1676363.773</v>
      </c>
      <c r="K53" s="78">
        <v>3007158.5269999998</v>
      </c>
      <c r="L53" s="74">
        <v>3914544.6209999998</v>
      </c>
      <c r="M53" s="78">
        <v>2908676.21</v>
      </c>
      <c r="N53" s="74">
        <v>4482559.6009999998</v>
      </c>
      <c r="O53" s="74">
        <v>3980261.0040000002</v>
      </c>
      <c r="P53" s="74">
        <v>2369438.7200000002</v>
      </c>
      <c r="Q53" s="74">
        <v>1843019.425</v>
      </c>
      <c r="R53" s="74">
        <v>2812428.1359999999</v>
      </c>
      <c r="S53" s="74">
        <v>5835296.3909999998</v>
      </c>
      <c r="T53" s="74">
        <v>4481036.352</v>
      </c>
      <c r="U53" s="74">
        <v>2344896.4559999998</v>
      </c>
      <c r="V53" s="74">
        <v>2419907.2110000001</v>
      </c>
      <c r="W53" s="74">
        <v>2101592.9330000002</v>
      </c>
      <c r="X53" s="74">
        <v>4000047.3470000001</v>
      </c>
      <c r="Y53" s="74">
        <v>3467660.3470000001</v>
      </c>
      <c r="Z53" s="74">
        <v>3120963.5430000001</v>
      </c>
      <c r="AA53" s="74">
        <v>3600176.0260000001</v>
      </c>
      <c r="AB53" s="74">
        <v>3267311.219</v>
      </c>
      <c r="AC53" s="74">
        <v>2408031.969</v>
      </c>
      <c r="AD53" s="74">
        <v>3581819.3640000001</v>
      </c>
      <c r="AE53" s="74">
        <v>3515517.7560000001</v>
      </c>
      <c r="AF53" s="74">
        <v>3382282.4989999998</v>
      </c>
      <c r="AG53" s="74">
        <v>1881921.9110000001</v>
      </c>
      <c r="AH53" s="74">
        <v>1879920.8689999999</v>
      </c>
      <c r="AI53" s="74">
        <v>2766018.5819999999</v>
      </c>
      <c r="AJ53" s="74">
        <v>2433178.0559999999</v>
      </c>
      <c r="AK53" s="74">
        <v>2674946.3810000001</v>
      </c>
      <c r="AL53" s="74">
        <v>2618844.9010000001</v>
      </c>
      <c r="AM53" s="74">
        <v>2409451.7769999998</v>
      </c>
      <c r="AN53" s="74">
        <v>2218315.3480000002</v>
      </c>
      <c r="AO53" s="74">
        <v>2348067.9929999998</v>
      </c>
      <c r="AP53" s="74">
        <v>2987560.997</v>
      </c>
      <c r="AQ53" s="74">
        <v>2188290.2969999998</v>
      </c>
      <c r="AR53" s="74">
        <v>2647713.1740000001</v>
      </c>
      <c r="AS53" s="74">
        <v>3597043.2450000001</v>
      </c>
      <c r="AT53" s="74">
        <v>6189032.4239999996</v>
      </c>
      <c r="AU53" s="74">
        <v>3523529.3289999999</v>
      </c>
      <c r="AV53" s="74">
        <v>3968262.6710000001</v>
      </c>
      <c r="AW53" s="74">
        <v>4265889.4529999997</v>
      </c>
      <c r="AX53" s="74">
        <v>3958873.2209999999</v>
      </c>
      <c r="AY53" s="74">
        <v>3751013.3590000002</v>
      </c>
      <c r="AZ53" s="74">
        <v>3521902.804</v>
      </c>
      <c r="BA53" s="74">
        <v>2866604.486</v>
      </c>
      <c r="BB53" s="74">
        <v>12931736.909</v>
      </c>
      <c r="BC53" s="74">
        <v>7384405.4900000002</v>
      </c>
      <c r="BD53" s="74">
        <v>5997361.3140000002</v>
      </c>
      <c r="BE53" s="74">
        <v>5406306.0920000002</v>
      </c>
      <c r="BF53" s="74">
        <v>7385272.0049999999</v>
      </c>
      <c r="BG53" s="74">
        <v>3443665.5660000001</v>
      </c>
      <c r="BH53" s="74">
        <v>4534757.0250000004</v>
      </c>
      <c r="BI53" s="74">
        <v>4368612.8169999998</v>
      </c>
      <c r="BJ53" s="74">
        <v>4692295.43</v>
      </c>
      <c r="BK53" s="74">
        <v>4467073.37</v>
      </c>
      <c r="BL53" s="74">
        <v>4224112.32</v>
      </c>
      <c r="BM53" s="74">
        <v>4344017.983</v>
      </c>
      <c r="BN53" s="77">
        <f t="shared" ref="BN53:BN60" si="93">SUM(BB53:BM53)</f>
        <v>69179616.320999995</v>
      </c>
      <c r="BO53" s="4"/>
      <c r="BP53" s="1"/>
    </row>
    <row r="54" spans="1:68" x14ac:dyDescent="0.25">
      <c r="A54" s="73" t="s">
        <v>17</v>
      </c>
      <c r="B54" s="74">
        <v>4833734.7450000001</v>
      </c>
      <c r="C54" s="74">
        <v>5846969.9280000003</v>
      </c>
      <c r="D54" s="74">
        <v>5088520.1289999997</v>
      </c>
      <c r="E54" s="74">
        <v>4792462.49</v>
      </c>
      <c r="F54" s="74">
        <v>3392673.5189999999</v>
      </c>
      <c r="G54" s="74">
        <v>4866005.9790000003</v>
      </c>
      <c r="H54" s="74">
        <v>4993201.7640000004</v>
      </c>
      <c r="I54" s="74">
        <v>4604590.4440000001</v>
      </c>
      <c r="J54" s="79">
        <v>4069150.6290000002</v>
      </c>
      <c r="K54" s="80">
        <f>17941196.982-K60</f>
        <v>7429806.4070000015</v>
      </c>
      <c r="L54" s="74">
        <f>10812123.012-L60</f>
        <v>4394235</v>
      </c>
      <c r="M54" s="80">
        <f>7146585.959-M60</f>
        <v>5995245.7689999994</v>
      </c>
      <c r="N54" s="74">
        <f>5979251.694-N60</f>
        <v>5840542.125</v>
      </c>
      <c r="O54" s="74">
        <f>6678091.825-O60</f>
        <v>6650838.6380000003</v>
      </c>
      <c r="P54" s="74">
        <v>5112238.2230000002</v>
      </c>
      <c r="Q54" s="74">
        <v>4120026.5869999998</v>
      </c>
      <c r="R54" s="74">
        <f>16931639.531-R55</f>
        <v>3835857.4210000001</v>
      </c>
      <c r="S54" s="74">
        <f>15139876.699-S55</f>
        <v>5389089.6259999983</v>
      </c>
      <c r="T54" s="74">
        <f>7340314.051-T55</f>
        <v>5687775.1099999994</v>
      </c>
      <c r="U54" s="74">
        <f>5594468.143-U55</f>
        <v>5577459.6600000001</v>
      </c>
      <c r="V54" s="74">
        <v>4461846.6660000002</v>
      </c>
      <c r="W54" s="74">
        <v>5145175.8329999996</v>
      </c>
      <c r="X54" s="74">
        <v>6655527.5240000002</v>
      </c>
      <c r="Y54" s="74">
        <v>7061323.5659999996</v>
      </c>
      <c r="Z54" s="74">
        <v>5942498.4390000002</v>
      </c>
      <c r="AA54" s="74">
        <f>15060044.705-AA55</f>
        <v>4937194.9739999995</v>
      </c>
      <c r="AB54" s="74">
        <f>10161465.292-AB55</f>
        <v>3936764.3739999998</v>
      </c>
      <c r="AC54" s="74">
        <f>6801328.905-AC55</f>
        <v>3291608.0480000004</v>
      </c>
      <c r="AD54" s="74">
        <v>3346846.7579999999</v>
      </c>
      <c r="AE54" s="74">
        <v>4081606.4440000001</v>
      </c>
      <c r="AF54" s="74">
        <f>4624545.097-AF55</f>
        <v>4054873.9980000001</v>
      </c>
      <c r="AG54" s="74">
        <v>2249755.71</v>
      </c>
      <c r="AH54" s="74">
        <v>3419040.9440000001</v>
      </c>
      <c r="AI54" s="74">
        <v>9193720.2210000008</v>
      </c>
      <c r="AJ54" s="74">
        <v>4449046.7920000004</v>
      </c>
      <c r="AK54" s="74">
        <v>4416736.79</v>
      </c>
      <c r="AL54" s="74">
        <v>4205204.1100000003</v>
      </c>
      <c r="AM54" s="74">
        <v>4309340.7609999999</v>
      </c>
      <c r="AN54" s="74">
        <v>3258049.037</v>
      </c>
      <c r="AO54" s="74">
        <v>2882657.1940000001</v>
      </c>
      <c r="AP54" s="74">
        <v>3517067.0720000002</v>
      </c>
      <c r="AQ54" s="74">
        <v>2857254.932</v>
      </c>
      <c r="AR54" s="74">
        <v>3202090.3250000002</v>
      </c>
      <c r="AS54" s="81">
        <f>7376474.643-AS55</f>
        <v>4655265.0640000002</v>
      </c>
      <c r="AT54" s="81">
        <f>7508796.279-AT55</f>
        <v>6614815.2949999999</v>
      </c>
      <c r="AU54" s="81">
        <f>6344997.032-AU55</f>
        <v>6191511.2339999992</v>
      </c>
      <c r="AV54" s="81">
        <f>6592175.345-AV55</f>
        <v>6582292.8309999993</v>
      </c>
      <c r="AW54" s="81">
        <v>7886220.9069999997</v>
      </c>
      <c r="AX54" s="82">
        <v>6528408.6129999999</v>
      </c>
      <c r="AY54" s="82">
        <v>6804650.9840000002</v>
      </c>
      <c r="AZ54" s="82">
        <v>6140760.2309999997</v>
      </c>
      <c r="BA54" s="82">
        <v>6681351.3990000002</v>
      </c>
      <c r="BB54" s="82">
        <v>6284627.4019999998</v>
      </c>
      <c r="BC54" s="82">
        <v>8217458.3629999999</v>
      </c>
      <c r="BD54" s="82">
        <v>9241127.6099999994</v>
      </c>
      <c r="BE54" s="82">
        <v>6602994.7240000004</v>
      </c>
      <c r="BF54" s="82">
        <v>7200844.3329999996</v>
      </c>
      <c r="BG54" s="82">
        <v>4810677.0690000001</v>
      </c>
      <c r="BH54" s="82">
        <v>5723868.6169999996</v>
      </c>
      <c r="BI54" s="93">
        <v>5368391.9249999998</v>
      </c>
      <c r="BJ54" s="93">
        <v>6889684.0590000004</v>
      </c>
      <c r="BK54" s="93">
        <v>6708647.142</v>
      </c>
      <c r="BL54" s="93">
        <v>4761905.2659999998</v>
      </c>
      <c r="BM54" s="93">
        <v>3826396.2170000002</v>
      </c>
      <c r="BN54" s="77">
        <f t="shared" si="93"/>
        <v>75636622.726999998</v>
      </c>
      <c r="BO54" s="4"/>
      <c r="BP54" s="1"/>
    </row>
    <row r="55" spans="1:68" s="11" customFormat="1" x14ac:dyDescent="0.25">
      <c r="A55" s="83" t="s">
        <v>50</v>
      </c>
      <c r="B55" s="81"/>
      <c r="C55" s="81"/>
      <c r="D55" s="81"/>
      <c r="E55" s="81"/>
      <c r="F55" s="81"/>
      <c r="G55" s="81"/>
      <c r="H55" s="81"/>
      <c r="I55" s="81"/>
      <c r="J55" s="84"/>
      <c r="K55" s="85"/>
      <c r="L55" s="81"/>
      <c r="M55" s="85"/>
      <c r="N55" s="81"/>
      <c r="O55" s="81"/>
      <c r="P55" s="81"/>
      <c r="Q55" s="81"/>
      <c r="R55" s="81">
        <v>13095782.109999999</v>
      </c>
      <c r="S55" s="81">
        <v>9750787.0730000008</v>
      </c>
      <c r="T55" s="81">
        <v>1652538.9410000001</v>
      </c>
      <c r="U55" s="81">
        <v>17008.483</v>
      </c>
      <c r="V55" s="81"/>
      <c r="W55" s="81"/>
      <c r="X55" s="81"/>
      <c r="Y55" s="81"/>
      <c r="Z55" s="81"/>
      <c r="AA55" s="81">
        <v>10122849.731000001</v>
      </c>
      <c r="AB55" s="81">
        <v>6224700.9179999996</v>
      </c>
      <c r="AC55" s="81">
        <v>3509720.8569999998</v>
      </c>
      <c r="AD55" s="81">
        <v>2990821.531</v>
      </c>
      <c r="AE55" s="81">
        <v>1571740.72</v>
      </c>
      <c r="AF55" s="81">
        <v>569671.09900000005</v>
      </c>
      <c r="AG55" s="81"/>
      <c r="AH55" s="81"/>
      <c r="AI55" s="81">
        <v>0</v>
      </c>
      <c r="AJ55" s="81">
        <v>0</v>
      </c>
      <c r="AK55" s="81">
        <v>0</v>
      </c>
      <c r="AL55" s="81">
        <v>0</v>
      </c>
      <c r="AM55" s="81">
        <v>0</v>
      </c>
      <c r="AN55" s="81">
        <v>0</v>
      </c>
      <c r="AO55" s="81">
        <v>0</v>
      </c>
      <c r="AP55" s="81">
        <v>0</v>
      </c>
      <c r="AQ55" s="81">
        <v>0</v>
      </c>
      <c r="AR55" s="81">
        <v>0</v>
      </c>
      <c r="AS55" s="81">
        <v>2721209.5789999999</v>
      </c>
      <c r="AT55" s="81">
        <v>893980.98400000005</v>
      </c>
      <c r="AU55" s="81">
        <v>153485.79800000001</v>
      </c>
      <c r="AV55" s="81">
        <v>9882.5139999999992</v>
      </c>
      <c r="AW55" s="81">
        <v>0</v>
      </c>
      <c r="AX55" s="81"/>
      <c r="AY55" s="81">
        <v>0</v>
      </c>
      <c r="AZ55" s="81">
        <v>0</v>
      </c>
      <c r="BA55" s="81">
        <v>0</v>
      </c>
      <c r="BB55" s="81">
        <v>0</v>
      </c>
      <c r="BC55" s="81">
        <v>0</v>
      </c>
      <c r="BD55" s="81">
        <v>0</v>
      </c>
      <c r="BE55" s="81">
        <v>0</v>
      </c>
      <c r="BF55" s="81">
        <v>0</v>
      </c>
      <c r="BG55" s="81">
        <v>0</v>
      </c>
      <c r="BH55" s="81"/>
      <c r="BI55" s="81">
        <v>0</v>
      </c>
      <c r="BJ55" s="81">
        <v>0</v>
      </c>
      <c r="BK55" s="81">
        <v>0</v>
      </c>
      <c r="BL55" s="81">
        <v>0</v>
      </c>
      <c r="BM55" s="81">
        <v>0</v>
      </c>
      <c r="BN55" s="77">
        <f t="shared" si="93"/>
        <v>0</v>
      </c>
      <c r="BO55" s="4"/>
    </row>
    <row r="56" spans="1:68" x14ac:dyDescent="0.25">
      <c r="A56" s="73" t="s">
        <v>48</v>
      </c>
      <c r="B56" s="74">
        <v>14696.8</v>
      </c>
      <c r="C56" s="74">
        <v>93839.2</v>
      </c>
      <c r="D56" s="74">
        <v>41187.794999999998</v>
      </c>
      <c r="E56" s="74">
        <v>122001.2</v>
      </c>
      <c r="F56" s="74">
        <v>90893.271999999997</v>
      </c>
      <c r="G56" s="74">
        <v>43692.654000000002</v>
      </c>
      <c r="H56" s="74">
        <v>24811.044000000002</v>
      </c>
      <c r="I56" s="74">
        <v>5793.0249999999996</v>
      </c>
      <c r="J56" s="76">
        <v>17167.598000000002</v>
      </c>
      <c r="K56" s="80">
        <v>72242.747000000003</v>
      </c>
      <c r="L56" s="74">
        <v>129347.928</v>
      </c>
      <c r="M56" s="80">
        <v>36331.892999999996</v>
      </c>
      <c r="N56" s="74">
        <v>26586.499</v>
      </c>
      <c r="O56" s="74">
        <v>7576.31</v>
      </c>
      <c r="P56" s="74">
        <v>75900.453999999998</v>
      </c>
      <c r="Q56" s="74">
        <v>98032.880999999994</v>
      </c>
      <c r="R56" s="74">
        <v>100157.97</v>
      </c>
      <c r="S56" s="74">
        <v>23366.407999999999</v>
      </c>
      <c r="T56" s="74">
        <v>13064.2</v>
      </c>
      <c r="U56" s="74">
        <v>36110.627</v>
      </c>
      <c r="V56" s="74">
        <v>41996.249000000003</v>
      </c>
      <c r="W56" s="74">
        <v>93460.063999999998</v>
      </c>
      <c r="X56" s="74">
        <v>194497.277</v>
      </c>
      <c r="Y56" s="74">
        <v>88717.983999999997</v>
      </c>
      <c r="Z56" s="74">
        <v>105210.372</v>
      </c>
      <c r="AA56" s="74">
        <v>8331.68</v>
      </c>
      <c r="AB56" s="74">
        <v>37683.438999999998</v>
      </c>
      <c r="AC56" s="74">
        <v>178428.476</v>
      </c>
      <c r="AD56" s="74">
        <v>142165.48199999999</v>
      </c>
      <c r="AE56" s="74">
        <v>56789.303</v>
      </c>
      <c r="AF56" s="74">
        <v>9166.7000000000007</v>
      </c>
      <c r="AG56" s="74">
        <v>47154.1</v>
      </c>
      <c r="AH56" s="74">
        <v>52996.160000000003</v>
      </c>
      <c r="AI56" s="74">
        <v>79849.441999999995</v>
      </c>
      <c r="AJ56" s="74">
        <v>122118.395</v>
      </c>
      <c r="AK56" s="74">
        <v>44238.035000000003</v>
      </c>
      <c r="AL56" s="74">
        <v>85625.089000000007</v>
      </c>
      <c r="AM56" s="74">
        <v>80127.149999999994</v>
      </c>
      <c r="AN56" s="74">
        <v>70333.561000000002</v>
      </c>
      <c r="AO56" s="74">
        <v>63364.703000000001</v>
      </c>
      <c r="AP56" s="74">
        <v>126919.70299999999</v>
      </c>
      <c r="AQ56" s="74">
        <v>27930.267</v>
      </c>
      <c r="AR56" s="74">
        <v>14624.5</v>
      </c>
      <c r="AS56" s="74">
        <v>34095.964999999997</v>
      </c>
      <c r="AT56" s="74">
        <v>31412.855</v>
      </c>
      <c r="AU56" s="74">
        <v>51689.603999999999</v>
      </c>
      <c r="AV56" s="74">
        <v>162891.671</v>
      </c>
      <c r="AW56" s="74">
        <v>82584.607000000004</v>
      </c>
      <c r="AX56" s="86">
        <v>116169.326</v>
      </c>
      <c r="AY56" s="86">
        <v>43628.741999999998</v>
      </c>
      <c r="AZ56" s="86">
        <v>62213.148000000001</v>
      </c>
      <c r="BA56" s="86">
        <v>114361.001</v>
      </c>
      <c r="BB56" s="86">
        <v>128460.49800000001</v>
      </c>
      <c r="BC56" s="86">
        <v>70808.694000000003</v>
      </c>
      <c r="BD56" s="86">
        <v>29860.315999999999</v>
      </c>
      <c r="BE56" s="86">
        <v>18267.68</v>
      </c>
      <c r="BF56" s="86">
        <v>69045.782999999996</v>
      </c>
      <c r="BG56" s="86">
        <v>64993.358</v>
      </c>
      <c r="BH56" s="86">
        <v>146245.682</v>
      </c>
      <c r="BI56" s="86">
        <v>67008.854999999996</v>
      </c>
      <c r="BJ56" s="86">
        <v>24968.694</v>
      </c>
      <c r="BK56" s="86">
        <v>600</v>
      </c>
      <c r="BL56" s="86">
        <v>36269.5</v>
      </c>
      <c r="BM56" s="86">
        <v>75265.854000000007</v>
      </c>
      <c r="BN56" s="77">
        <f t="shared" si="93"/>
        <v>731794.91400000011</v>
      </c>
      <c r="BO56" s="4"/>
      <c r="BP56" s="1"/>
    </row>
    <row r="57" spans="1:68" x14ac:dyDescent="0.25">
      <c r="A57" s="73" t="s">
        <v>62</v>
      </c>
      <c r="B57" s="74"/>
      <c r="C57" s="74"/>
      <c r="D57" s="74"/>
      <c r="E57" s="74"/>
      <c r="F57" s="74"/>
      <c r="G57" s="74"/>
      <c r="H57" s="74"/>
      <c r="I57" s="74"/>
      <c r="J57" s="76"/>
      <c r="K57" s="80"/>
      <c r="L57" s="74"/>
      <c r="M57" s="80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>
        <v>50000</v>
      </c>
      <c r="AI57" s="74">
        <v>0</v>
      </c>
      <c r="AJ57" s="74">
        <v>0</v>
      </c>
      <c r="AK57" s="74">
        <v>0</v>
      </c>
      <c r="AL57" s="74">
        <v>0</v>
      </c>
      <c r="AM57" s="74">
        <v>0</v>
      </c>
      <c r="AN57" s="74">
        <v>0</v>
      </c>
      <c r="AO57" s="74">
        <v>0</v>
      </c>
      <c r="AP57" s="74">
        <v>0</v>
      </c>
      <c r="AQ57" s="74">
        <v>62000</v>
      </c>
      <c r="AR57" s="74">
        <v>0</v>
      </c>
      <c r="AS57" s="74">
        <v>0</v>
      </c>
      <c r="AT57" s="74">
        <v>0</v>
      </c>
      <c r="AU57" s="74">
        <v>0</v>
      </c>
      <c r="AV57" s="74">
        <v>0</v>
      </c>
      <c r="AW57" s="74">
        <v>0</v>
      </c>
      <c r="AX57" s="74">
        <v>7100</v>
      </c>
      <c r="AY57" s="74">
        <v>7740</v>
      </c>
      <c r="AZ57" s="74">
        <v>0</v>
      </c>
      <c r="BA57" s="74">
        <v>0</v>
      </c>
      <c r="BB57" s="74">
        <v>0</v>
      </c>
      <c r="BC57" s="74">
        <v>0</v>
      </c>
      <c r="BD57" s="74">
        <v>0</v>
      </c>
      <c r="BE57" s="74">
        <v>0</v>
      </c>
      <c r="BF57" s="74">
        <v>0</v>
      </c>
      <c r="BG57" s="74">
        <v>0</v>
      </c>
      <c r="BH57" s="74"/>
      <c r="BI57" s="74">
        <v>0</v>
      </c>
      <c r="BJ57" s="74">
        <v>0</v>
      </c>
      <c r="BK57" s="74">
        <v>0</v>
      </c>
      <c r="BL57" s="74">
        <v>0</v>
      </c>
      <c r="BM57" s="74">
        <v>0</v>
      </c>
      <c r="BN57" s="77">
        <f t="shared" si="93"/>
        <v>0</v>
      </c>
      <c r="BO57" s="4"/>
      <c r="BP57" s="1"/>
    </row>
    <row r="58" spans="1:68" x14ac:dyDescent="0.25">
      <c r="A58" s="73" t="s">
        <v>14</v>
      </c>
      <c r="B58" s="74">
        <v>740030.53399999999</v>
      </c>
      <c r="C58" s="74">
        <v>697329.821</v>
      </c>
      <c r="D58" s="74">
        <v>552197.30599999998</v>
      </c>
      <c r="E58" s="74">
        <v>752178.255</v>
      </c>
      <c r="F58" s="74">
        <v>650199.43799999997</v>
      </c>
      <c r="G58" s="74">
        <v>671193.27899999998</v>
      </c>
      <c r="H58" s="74">
        <v>1105361.3030000001</v>
      </c>
      <c r="I58" s="74">
        <v>680503.12199999997</v>
      </c>
      <c r="J58" s="76">
        <v>415339.49800000002</v>
      </c>
      <c r="K58" s="80">
        <v>656307.93299999996</v>
      </c>
      <c r="L58" s="74">
        <v>1161694.713</v>
      </c>
      <c r="M58" s="80">
        <v>1008300.276</v>
      </c>
      <c r="N58" s="74">
        <v>1388043.45</v>
      </c>
      <c r="O58" s="74">
        <v>1248114.977</v>
      </c>
      <c r="P58" s="74">
        <v>905447.17700000003</v>
      </c>
      <c r="Q58" s="74">
        <v>699921.924</v>
      </c>
      <c r="R58" s="74">
        <v>522396.16600000003</v>
      </c>
      <c r="S58" s="74">
        <v>649519.76399999997</v>
      </c>
      <c r="T58" s="74">
        <v>493597.11900000001</v>
      </c>
      <c r="U58" s="74">
        <v>1113328.1070000001</v>
      </c>
      <c r="V58" s="74">
        <v>927600.41399999999</v>
      </c>
      <c r="W58" s="74">
        <v>1037923.209</v>
      </c>
      <c r="X58" s="74">
        <v>1429595.8489999999</v>
      </c>
      <c r="Y58" s="74">
        <v>1812188.889</v>
      </c>
      <c r="Z58" s="74">
        <v>1429568.6129999999</v>
      </c>
      <c r="AA58" s="74">
        <v>1846358.8089999999</v>
      </c>
      <c r="AB58" s="74">
        <v>1749970.0630000001</v>
      </c>
      <c r="AC58" s="74">
        <v>1327376.9040000001</v>
      </c>
      <c r="AD58" s="74">
        <v>742534.31099999999</v>
      </c>
      <c r="AE58" s="74">
        <v>923112.79399999999</v>
      </c>
      <c r="AF58" s="74">
        <v>1368318.7520000001</v>
      </c>
      <c r="AG58" s="74">
        <v>874318.66200000001</v>
      </c>
      <c r="AH58" s="74">
        <v>1347127.851</v>
      </c>
      <c r="AI58" s="74">
        <v>584023.68000000005</v>
      </c>
      <c r="AJ58" s="74">
        <v>876267.27899999998</v>
      </c>
      <c r="AK58" s="74">
        <v>1422109.7239999999</v>
      </c>
      <c r="AL58" s="74">
        <v>1566206.557</v>
      </c>
      <c r="AM58" s="74">
        <v>1079790.7660000001</v>
      </c>
      <c r="AN58" s="74">
        <v>1102964.4879999999</v>
      </c>
      <c r="AO58" s="74">
        <v>711973.30099999998</v>
      </c>
      <c r="AP58" s="74">
        <v>460798.212</v>
      </c>
      <c r="AQ58" s="74">
        <v>593986.69999999995</v>
      </c>
      <c r="AR58" s="74">
        <v>192190.25</v>
      </c>
      <c r="AS58" s="74">
        <v>656665.40399999998</v>
      </c>
      <c r="AT58" s="74">
        <v>345713.10200000001</v>
      </c>
      <c r="AU58" s="74">
        <v>577006.74899999995</v>
      </c>
      <c r="AV58" s="74">
        <v>624801.87699999998</v>
      </c>
      <c r="AW58" s="74">
        <v>606335.54</v>
      </c>
      <c r="AX58" s="87">
        <v>564463.71</v>
      </c>
      <c r="AY58" s="87">
        <v>534923.16399999999</v>
      </c>
      <c r="AZ58" s="87">
        <v>570531.42299999995</v>
      </c>
      <c r="BA58" s="87">
        <v>523403.59899999999</v>
      </c>
      <c r="BB58" s="87">
        <v>126997.17</v>
      </c>
      <c r="BC58" s="87">
        <v>379878.40000000002</v>
      </c>
      <c r="BD58" s="87">
        <v>564521.62</v>
      </c>
      <c r="BE58" s="87">
        <v>500250.1</v>
      </c>
      <c r="BF58" s="87">
        <v>453952.2</v>
      </c>
      <c r="BG58" s="87">
        <v>468734.4</v>
      </c>
      <c r="BH58" s="87">
        <v>1001955.54</v>
      </c>
      <c r="BI58" s="87">
        <v>247771.48</v>
      </c>
      <c r="BJ58" s="87">
        <v>525740.4</v>
      </c>
      <c r="BK58" s="87">
        <v>602730.40099999995</v>
      </c>
      <c r="BL58" s="87">
        <v>642980</v>
      </c>
      <c r="BM58" s="87">
        <v>888296.09</v>
      </c>
      <c r="BN58" s="77">
        <f t="shared" si="93"/>
        <v>6403807.801</v>
      </c>
      <c r="BO58" s="4"/>
      <c r="BP58" s="1"/>
    </row>
    <row r="59" spans="1:68" x14ac:dyDescent="0.25">
      <c r="A59" s="73" t="s">
        <v>13</v>
      </c>
      <c r="B59" s="74">
        <v>980874.57400000002</v>
      </c>
      <c r="C59" s="74">
        <v>2038377.3940000001</v>
      </c>
      <c r="D59" s="74">
        <v>1227749.452</v>
      </c>
      <c r="E59" s="74">
        <v>1833252.763</v>
      </c>
      <c r="F59" s="74">
        <v>1048333.106</v>
      </c>
      <c r="G59" s="74">
        <v>2702993.1979999999</v>
      </c>
      <c r="H59" s="74">
        <v>3643617.57</v>
      </c>
      <c r="I59" s="74">
        <v>1568849.3940000001</v>
      </c>
      <c r="J59" s="76">
        <v>2443879.9550000001</v>
      </c>
      <c r="K59" s="80">
        <v>1284266.933</v>
      </c>
      <c r="L59" s="74">
        <v>1340541.49</v>
      </c>
      <c r="M59" s="80">
        <v>2547434.594</v>
      </c>
      <c r="N59" s="74">
        <v>2002556.7779999999</v>
      </c>
      <c r="O59" s="74">
        <v>2095881.3759999999</v>
      </c>
      <c r="P59" s="74">
        <v>1781942.5</v>
      </c>
      <c r="Q59" s="74">
        <v>2280143.5649999999</v>
      </c>
      <c r="R59" s="74">
        <v>1078009.3740000001</v>
      </c>
      <c r="S59" s="74">
        <v>1576968.433</v>
      </c>
      <c r="T59" s="74">
        <v>3107707.0380000002</v>
      </c>
      <c r="U59" s="74">
        <v>2614828.5430000001</v>
      </c>
      <c r="V59" s="74">
        <v>4206609.8609999996</v>
      </c>
      <c r="W59" s="74">
        <f>8562002-W60</f>
        <v>3445883.4019999998</v>
      </c>
      <c r="X59" s="74">
        <f>2576848.128-X60</f>
        <v>2345172.4550000001</v>
      </c>
      <c r="Y59" s="74">
        <f>3145779.083-Y60</f>
        <v>2801855.9020000002</v>
      </c>
      <c r="Z59" s="74">
        <f>2210891.591-Z60</f>
        <v>1036732.3729999999</v>
      </c>
      <c r="AA59" s="74">
        <f>2850832.261-AA60</f>
        <v>1458057.23</v>
      </c>
      <c r="AB59" s="74">
        <f>2943556-AB60</f>
        <v>2734565.4920000001</v>
      </c>
      <c r="AC59" s="74">
        <f>2928640.52-AC60</f>
        <v>2797962.622</v>
      </c>
      <c r="AD59" s="74">
        <v>1421408.777</v>
      </c>
      <c r="AE59" s="74">
        <v>1759459.7320000001</v>
      </c>
      <c r="AF59" s="74">
        <v>818450.43400000001</v>
      </c>
      <c r="AG59" s="74">
        <v>1073936.905</v>
      </c>
      <c r="AH59" s="74">
        <v>1737579.1040000001</v>
      </c>
      <c r="AI59" s="74">
        <v>2128611.1889999998</v>
      </c>
      <c r="AJ59" s="74">
        <v>1582455.78</v>
      </c>
      <c r="AK59" s="74">
        <v>1102127.2960000001</v>
      </c>
      <c r="AL59" s="74">
        <v>500000</v>
      </c>
      <c r="AM59" s="74">
        <v>1592706.5859999999</v>
      </c>
      <c r="AN59" s="74">
        <v>1929748.4639999999</v>
      </c>
      <c r="AO59" s="74">
        <v>708450.71299999999</v>
      </c>
      <c r="AP59" s="74">
        <v>46418.106</v>
      </c>
      <c r="AQ59" s="74">
        <v>1651405.301</v>
      </c>
      <c r="AR59" s="74">
        <v>1873258.23</v>
      </c>
      <c r="AS59" s="74">
        <v>2381396.7310000001</v>
      </c>
      <c r="AT59" s="74">
        <v>924414.27599999995</v>
      </c>
      <c r="AU59" s="74">
        <v>1258393.25</v>
      </c>
      <c r="AV59" s="74">
        <v>1669149.5260000001</v>
      </c>
      <c r="AW59" s="74">
        <v>1878712.608</v>
      </c>
      <c r="AX59" s="74">
        <v>2173624.9029999999</v>
      </c>
      <c r="AY59" s="74">
        <v>1494361.534</v>
      </c>
      <c r="AZ59" s="74">
        <v>1268441.892</v>
      </c>
      <c r="BA59" s="74">
        <v>1563256.5260000001</v>
      </c>
      <c r="BB59" s="74">
        <v>2080461.531</v>
      </c>
      <c r="BC59" s="74">
        <v>2515228.074</v>
      </c>
      <c r="BD59" s="74">
        <v>3239444.3509999998</v>
      </c>
      <c r="BE59" s="74">
        <v>2486935.3319999999</v>
      </c>
      <c r="BF59" s="74">
        <v>2548906.2990000001</v>
      </c>
      <c r="BG59" s="74">
        <v>3941702.3259999999</v>
      </c>
      <c r="BH59" s="74">
        <v>4127450.27</v>
      </c>
      <c r="BI59" s="74">
        <v>2136415.4750000001</v>
      </c>
      <c r="BJ59" s="74">
        <v>1572797.6129999999</v>
      </c>
      <c r="BK59" s="74">
        <v>552838.25800000003</v>
      </c>
      <c r="BL59" s="74">
        <v>2086560.2590000001</v>
      </c>
      <c r="BM59" s="74">
        <v>3054462.3730000001</v>
      </c>
      <c r="BN59" s="77">
        <f t="shared" si="93"/>
        <v>30343202.161000006</v>
      </c>
      <c r="BO59" s="4"/>
      <c r="BP59" s="1"/>
    </row>
    <row r="60" spans="1:68" s="11" customFormat="1" x14ac:dyDescent="0.25">
      <c r="A60" s="83" t="s">
        <v>49</v>
      </c>
      <c r="B60" s="81">
        <v>705930.24399999995</v>
      </c>
      <c r="C60" s="81">
        <v>105007.35</v>
      </c>
      <c r="D60" s="81">
        <v>10316.819</v>
      </c>
      <c r="E60" s="81"/>
      <c r="F60" s="81"/>
      <c r="G60" s="81"/>
      <c r="H60" s="81"/>
      <c r="I60" s="81"/>
      <c r="J60" s="84"/>
      <c r="K60" s="85">
        <v>10511390.574999999</v>
      </c>
      <c r="L60" s="81">
        <v>6417888.0120000001</v>
      </c>
      <c r="M60" s="85">
        <v>1151340.19</v>
      </c>
      <c r="N60" s="81">
        <v>138709.56899999999</v>
      </c>
      <c r="O60" s="81">
        <v>27253.187000000002</v>
      </c>
      <c r="P60" s="81"/>
      <c r="Q60" s="81"/>
      <c r="R60" s="81"/>
      <c r="S60" s="81"/>
      <c r="T60" s="81"/>
      <c r="U60" s="81"/>
      <c r="V60" s="81">
        <v>6297571.3480000002</v>
      </c>
      <c r="W60" s="81">
        <v>5116118.5980000002</v>
      </c>
      <c r="X60" s="81">
        <f>231675.673</f>
        <v>231675.67300000001</v>
      </c>
      <c r="Y60" s="81">
        <v>343923.18099999998</v>
      </c>
      <c r="Z60" s="81">
        <v>1174159.2180000001</v>
      </c>
      <c r="AA60" s="81">
        <v>1392775.031</v>
      </c>
      <c r="AB60" s="81">
        <v>208990.508</v>
      </c>
      <c r="AC60" s="81">
        <v>130677.898</v>
      </c>
      <c r="AD60" s="81"/>
      <c r="AE60" s="81"/>
      <c r="AF60" s="81"/>
      <c r="AG60" s="81"/>
      <c r="AH60" s="81"/>
      <c r="AI60" s="81"/>
      <c r="AJ60" s="81">
        <v>0</v>
      </c>
      <c r="AK60" s="81"/>
      <c r="AL60" s="81">
        <v>0</v>
      </c>
      <c r="AM60" s="81">
        <v>0</v>
      </c>
      <c r="AN60" s="81"/>
      <c r="AO60" s="81"/>
      <c r="AP60" s="81"/>
      <c r="AQ60" s="81"/>
      <c r="AR60" s="81"/>
      <c r="AS60" s="81"/>
      <c r="AT60" s="81"/>
      <c r="AU60" s="81">
        <v>0</v>
      </c>
      <c r="AV60" s="81"/>
      <c r="AW60" s="81"/>
      <c r="AX60" s="81"/>
      <c r="AY60" s="81">
        <v>0</v>
      </c>
      <c r="AZ60" s="81"/>
      <c r="BA60" s="81"/>
      <c r="BB60" s="81"/>
      <c r="BC60" s="81"/>
      <c r="BD60" s="81">
        <v>0</v>
      </c>
      <c r="BE60" s="81">
        <v>0</v>
      </c>
      <c r="BF60" s="81"/>
      <c r="BG60" s="81"/>
      <c r="BH60" s="81"/>
      <c r="BI60" s="81"/>
      <c r="BJ60" s="81">
        <v>0</v>
      </c>
      <c r="BK60" s="81">
        <v>0</v>
      </c>
      <c r="BL60" s="81">
        <v>0</v>
      </c>
      <c r="BM60" s="81">
        <v>0</v>
      </c>
      <c r="BN60" s="77">
        <f t="shared" si="93"/>
        <v>0</v>
      </c>
      <c r="BO60" s="4"/>
    </row>
    <row r="61" spans="1:68" x14ac:dyDescent="0.25">
      <c r="A61" s="88" t="s">
        <v>25</v>
      </c>
      <c r="B61" s="89">
        <f t="shared" ref="B61:AI61" si="94">SUM(B52:B60)</f>
        <v>12490308.908</v>
      </c>
      <c r="C61" s="89">
        <f t="shared" si="94"/>
        <v>14054483.359999998</v>
      </c>
      <c r="D61" s="89">
        <f t="shared" si="94"/>
        <v>9955770.6419999991</v>
      </c>
      <c r="E61" s="89">
        <f t="shared" si="94"/>
        <v>11553245.32</v>
      </c>
      <c r="F61" s="89">
        <f t="shared" si="94"/>
        <v>8487552.318</v>
      </c>
      <c r="G61" s="89">
        <f t="shared" si="94"/>
        <v>15706103.713999998</v>
      </c>
      <c r="H61" s="89">
        <f t="shared" si="94"/>
        <v>15868282.700999999</v>
      </c>
      <c r="I61" s="89">
        <f t="shared" si="94"/>
        <v>9472544.436999999</v>
      </c>
      <c r="J61" s="89">
        <f t="shared" si="94"/>
        <v>10227778.261</v>
      </c>
      <c r="K61" s="89">
        <f t="shared" si="94"/>
        <v>25819458.447999999</v>
      </c>
      <c r="L61" s="89">
        <f t="shared" si="94"/>
        <v>19802506.593999997</v>
      </c>
      <c r="M61" s="89">
        <f t="shared" si="94"/>
        <v>15281264.1</v>
      </c>
      <c r="N61" s="89">
        <f t="shared" si="94"/>
        <v>17538954.449999996</v>
      </c>
      <c r="O61" s="89">
        <f t="shared" si="94"/>
        <v>16422954.705000002</v>
      </c>
      <c r="P61" s="89">
        <f t="shared" si="94"/>
        <v>11723034.018999999</v>
      </c>
      <c r="Q61" s="89">
        <f t="shared" si="94"/>
        <v>10693939.223999999</v>
      </c>
      <c r="R61" s="89">
        <f t="shared" si="94"/>
        <v>23378185.214000002</v>
      </c>
      <c r="S61" s="89">
        <f t="shared" si="94"/>
        <v>27095835.550999995</v>
      </c>
      <c r="T61" s="89">
        <f t="shared" si="94"/>
        <v>18607561.16</v>
      </c>
      <c r="U61" s="89">
        <f t="shared" si="94"/>
        <v>13425447.426000001</v>
      </c>
      <c r="V61" s="89">
        <f t="shared" si="94"/>
        <v>20212805.937000003</v>
      </c>
      <c r="W61" s="89">
        <f t="shared" si="94"/>
        <v>20043719.919</v>
      </c>
      <c r="X61" s="89">
        <f t="shared" si="94"/>
        <v>19210045.314000003</v>
      </c>
      <c r="Y61" s="89">
        <f t="shared" si="94"/>
        <v>17899998.163000003</v>
      </c>
      <c r="Z61" s="89">
        <f t="shared" si="94"/>
        <v>16351746.334999999</v>
      </c>
      <c r="AA61" s="89">
        <f t="shared" si="94"/>
        <v>26431522.265000001</v>
      </c>
      <c r="AB61" s="89">
        <f t="shared" si="94"/>
        <v>20012415.634999998</v>
      </c>
      <c r="AC61" s="89">
        <f t="shared" si="94"/>
        <v>16326412.344000001</v>
      </c>
      <c r="AD61" s="89">
        <f t="shared" si="94"/>
        <v>14110794.541000001</v>
      </c>
      <c r="AE61" s="89">
        <f t="shared" si="94"/>
        <v>14786137.388</v>
      </c>
      <c r="AF61" s="89">
        <f t="shared" si="94"/>
        <v>12805058.085999999</v>
      </c>
      <c r="AG61" s="89">
        <f t="shared" si="94"/>
        <v>7370675.5259999996</v>
      </c>
      <c r="AH61" s="89">
        <f t="shared" si="94"/>
        <v>9692216.0730000008</v>
      </c>
      <c r="AI61" s="89">
        <f t="shared" si="94"/>
        <v>17373993.887000002</v>
      </c>
      <c r="AJ61" s="89">
        <f>SUM(AJ52:AJ60)</f>
        <v>11123529.224999998</v>
      </c>
      <c r="AK61" s="89">
        <f>SUM(AK52:AK60)</f>
        <v>11334690.285</v>
      </c>
      <c r="AL61" s="89">
        <f>SUM(AL52:AL60)</f>
        <v>11472897.128</v>
      </c>
      <c r="AM61" s="89">
        <f>SUM(AM52:AM60)</f>
        <v>11456483.778000001</v>
      </c>
      <c r="AN61" s="89">
        <f t="shared" ref="AN61:BM61" si="95">SUM(AN52:AN60)</f>
        <v>10044051.769000001</v>
      </c>
      <c r="AO61" s="89">
        <f t="shared" si="95"/>
        <v>10983697.478</v>
      </c>
      <c r="AP61" s="89">
        <f t="shared" si="95"/>
        <v>10058972.605</v>
      </c>
      <c r="AQ61" s="89">
        <f t="shared" si="95"/>
        <v>10351967.318999998</v>
      </c>
      <c r="AR61" s="89">
        <f t="shared" si="95"/>
        <v>11269018.810000001</v>
      </c>
      <c r="AS61" s="89">
        <f t="shared" si="95"/>
        <v>16306579.284999998</v>
      </c>
      <c r="AT61" s="89">
        <f t="shared" si="95"/>
        <v>19044852.203000005</v>
      </c>
      <c r="AU61" s="89">
        <f t="shared" si="95"/>
        <v>16902605.811999999</v>
      </c>
      <c r="AV61" s="89">
        <f t="shared" si="95"/>
        <v>17029355.313999999</v>
      </c>
      <c r="AW61" s="89">
        <f t="shared" si="95"/>
        <v>17534030.244999997</v>
      </c>
      <c r="AX61" s="89">
        <f t="shared" si="95"/>
        <v>17465381.035999998</v>
      </c>
      <c r="AY61" s="89">
        <f t="shared" si="95"/>
        <v>15466897.743000001</v>
      </c>
      <c r="AZ61" s="89">
        <f t="shared" si="95"/>
        <v>13693219.147</v>
      </c>
      <c r="BA61" s="89">
        <f t="shared" si="95"/>
        <v>14165795.978</v>
      </c>
      <c r="BB61" s="89">
        <f t="shared" si="95"/>
        <v>22320409.958000001</v>
      </c>
      <c r="BC61" s="89">
        <f t="shared" si="95"/>
        <v>20372536.614</v>
      </c>
      <c r="BD61" s="89">
        <f t="shared" si="95"/>
        <v>20187034.539999999</v>
      </c>
      <c r="BE61" s="89">
        <f t="shared" si="95"/>
        <v>15862893.498</v>
      </c>
      <c r="BF61" s="89">
        <f t="shared" si="95"/>
        <v>18895529.411999997</v>
      </c>
      <c r="BG61" s="89">
        <f t="shared" si="95"/>
        <v>13544307.941</v>
      </c>
      <c r="BH61" s="89">
        <f t="shared" si="95"/>
        <v>16446420.364</v>
      </c>
      <c r="BI61" s="89">
        <f t="shared" si="95"/>
        <v>13069517.989</v>
      </c>
      <c r="BJ61" s="89">
        <f t="shared" si="95"/>
        <v>14950384.930000002</v>
      </c>
      <c r="BK61" s="89">
        <f t="shared" si="95"/>
        <v>13343749.389</v>
      </c>
      <c r="BL61" s="89">
        <f t="shared" si="95"/>
        <v>12655282.5</v>
      </c>
      <c r="BM61" s="89">
        <f t="shared" si="95"/>
        <v>13227000.991</v>
      </c>
      <c r="BN61" s="89">
        <f>SUM(BN52:BN60)</f>
        <v>194875068.12600002</v>
      </c>
      <c r="BO61" s="1"/>
    </row>
    <row r="62" spans="1:68" x14ac:dyDescent="0.25">
      <c r="B62" s="1"/>
      <c r="F62" s="1"/>
      <c r="G62" s="1"/>
      <c r="H62" s="1"/>
      <c r="I62" s="1"/>
      <c r="J62" s="1"/>
      <c r="K62" s="1"/>
      <c r="L62" s="1"/>
      <c r="M62" s="1"/>
      <c r="N62" s="1"/>
      <c r="BB62" s="1">
        <f>+BB54+BB55+BB56+BB57+BB58+BB59+BB60</f>
        <v>8620546.6009999998</v>
      </c>
      <c r="BC62" s="1">
        <f t="shared" ref="BC62:BH62" si="96">+BC54+BC55+BC56+BC57+BC58+BC59+BC60</f>
        <v>11183373.530999999</v>
      </c>
      <c r="BD62" s="1">
        <f t="shared" si="96"/>
        <v>13074953.896999998</v>
      </c>
      <c r="BE62" s="1">
        <f t="shared" si="96"/>
        <v>9608447.8359999992</v>
      </c>
      <c r="BF62" s="1">
        <f t="shared" si="96"/>
        <v>10272748.615</v>
      </c>
      <c r="BG62" s="1">
        <f t="shared" si="96"/>
        <v>9286107.1530000009</v>
      </c>
      <c r="BH62" s="1">
        <f t="shared" si="96"/>
        <v>10999520.108999999</v>
      </c>
      <c r="BI62" s="1">
        <f>+BI54+BI55+BI56+BI57+BI58+BI59+BI60</f>
        <v>7819587.7350000013</v>
      </c>
      <c r="BJ62" s="1"/>
      <c r="BK62" s="1"/>
      <c r="BL62" s="1"/>
      <c r="BM62" s="1"/>
      <c r="BO62" s="1"/>
    </row>
    <row r="63" spans="1:68" ht="16.5" x14ac:dyDescent="0.25">
      <c r="A63" s="46" t="s">
        <v>47</v>
      </c>
      <c r="B63" s="38">
        <v>44075</v>
      </c>
      <c r="C63" s="38">
        <v>44105</v>
      </c>
      <c r="D63" s="38">
        <v>44136</v>
      </c>
      <c r="E63" s="38">
        <v>44166</v>
      </c>
      <c r="F63" s="38">
        <v>44197</v>
      </c>
      <c r="G63" s="38">
        <v>44228</v>
      </c>
      <c r="H63" s="38">
        <v>44256</v>
      </c>
      <c r="I63" s="38">
        <v>44287</v>
      </c>
      <c r="J63" s="38">
        <v>44317</v>
      </c>
      <c r="K63" s="38">
        <v>44348</v>
      </c>
      <c r="L63" s="38">
        <v>44378</v>
      </c>
      <c r="M63" s="38">
        <v>44409</v>
      </c>
      <c r="N63" s="38">
        <v>44440</v>
      </c>
      <c r="O63" s="38">
        <v>44470</v>
      </c>
      <c r="P63" s="38">
        <v>44501</v>
      </c>
      <c r="Q63" s="38">
        <v>44531</v>
      </c>
      <c r="R63" s="38">
        <v>44562</v>
      </c>
      <c r="S63" s="38">
        <v>44593</v>
      </c>
      <c r="T63" s="38">
        <v>44621</v>
      </c>
      <c r="U63" s="38">
        <v>44652</v>
      </c>
      <c r="V63" s="38">
        <v>44682</v>
      </c>
      <c r="W63" s="38">
        <v>44713</v>
      </c>
      <c r="X63" s="38">
        <v>44743</v>
      </c>
      <c r="Y63" s="38">
        <v>44774</v>
      </c>
      <c r="Z63" s="38">
        <v>44805</v>
      </c>
      <c r="AA63" s="38">
        <v>44835</v>
      </c>
      <c r="AB63" s="38">
        <v>44866</v>
      </c>
      <c r="AC63" s="38">
        <v>44896</v>
      </c>
      <c r="AD63" s="38">
        <v>44927</v>
      </c>
      <c r="AE63" s="38">
        <v>44958</v>
      </c>
      <c r="AF63" s="38">
        <v>44986</v>
      </c>
      <c r="AG63" s="38">
        <v>45017</v>
      </c>
      <c r="AH63" s="38">
        <v>45047</v>
      </c>
      <c r="AI63" s="38">
        <v>45078</v>
      </c>
      <c r="AJ63" s="38">
        <v>45108</v>
      </c>
      <c r="AK63" s="38">
        <v>45139</v>
      </c>
      <c r="AL63" s="38">
        <v>45170</v>
      </c>
      <c r="AM63" s="38">
        <v>45200</v>
      </c>
      <c r="AN63" s="38">
        <v>45231</v>
      </c>
      <c r="AO63" s="38">
        <v>45261</v>
      </c>
      <c r="AP63" s="38">
        <v>45292</v>
      </c>
      <c r="AQ63" s="38">
        <v>45323</v>
      </c>
      <c r="AR63" s="38">
        <v>45352</v>
      </c>
      <c r="AS63" s="38">
        <v>45383</v>
      </c>
      <c r="AT63" s="38">
        <v>45413</v>
      </c>
      <c r="AU63" s="38">
        <v>45444</v>
      </c>
      <c r="AV63" s="38">
        <v>45474</v>
      </c>
      <c r="AW63" s="38">
        <v>45505</v>
      </c>
      <c r="AX63" s="38">
        <v>45536</v>
      </c>
      <c r="AY63" s="38">
        <v>45566</v>
      </c>
      <c r="AZ63" s="38">
        <v>45597</v>
      </c>
      <c r="BA63" s="38">
        <v>45627</v>
      </c>
      <c r="BB63" s="38">
        <v>45658</v>
      </c>
      <c r="BC63" s="38">
        <v>45689</v>
      </c>
      <c r="BD63" s="38">
        <v>45717</v>
      </c>
      <c r="BE63" s="38">
        <v>45748</v>
      </c>
      <c r="BF63" s="38">
        <v>45778</v>
      </c>
      <c r="BG63" s="38">
        <v>45809</v>
      </c>
      <c r="BH63" s="38">
        <v>45839</v>
      </c>
      <c r="BI63" s="38">
        <v>45870</v>
      </c>
      <c r="BJ63" s="38">
        <v>45901</v>
      </c>
      <c r="BK63" s="38">
        <v>45931</v>
      </c>
      <c r="BL63" s="38">
        <v>45962</v>
      </c>
      <c r="BM63" s="38">
        <v>45992</v>
      </c>
      <c r="BN63" s="39" t="s">
        <v>64</v>
      </c>
      <c r="BO63" s="17"/>
    </row>
    <row r="64" spans="1:68" x14ac:dyDescent="0.25">
      <c r="A64" s="40" t="s">
        <v>34</v>
      </c>
      <c r="B64" s="52">
        <f t="shared" ref="B64:R64" si="97">(SUM(B52:B53))/1000</f>
        <v>5215.0420109999995</v>
      </c>
      <c r="C64" s="52">
        <f t="shared" si="97"/>
        <v>5272.9596669999992</v>
      </c>
      <c r="D64" s="52">
        <f t="shared" si="97"/>
        <v>3035.799141</v>
      </c>
      <c r="E64" s="52">
        <f t="shared" si="97"/>
        <v>4053.3506119999997</v>
      </c>
      <c r="F64" s="52">
        <f t="shared" si="97"/>
        <v>3305.4529830000001</v>
      </c>
      <c r="G64" s="52">
        <f t="shared" si="97"/>
        <v>7422.2186040000006</v>
      </c>
      <c r="H64" s="52">
        <f t="shared" si="97"/>
        <v>6101.2910199999997</v>
      </c>
      <c r="I64" s="52">
        <f t="shared" si="97"/>
        <v>2612.8084520000002</v>
      </c>
      <c r="J64" s="52">
        <f t="shared" si="97"/>
        <v>3282.240581</v>
      </c>
      <c r="K64" s="52">
        <f t="shared" si="97"/>
        <v>5865.4438529999998</v>
      </c>
      <c r="L64" s="52">
        <f t="shared" si="97"/>
        <v>6358.7994509999999</v>
      </c>
      <c r="M64" s="52">
        <f t="shared" si="97"/>
        <v>4542.6113780000005</v>
      </c>
      <c r="N64" s="52">
        <f t="shared" si="97"/>
        <v>8142.5160289999994</v>
      </c>
      <c r="O64" s="52">
        <f t="shared" si="97"/>
        <v>6393.2902169999998</v>
      </c>
      <c r="P64" s="52">
        <f t="shared" si="97"/>
        <v>3847.5056650000001</v>
      </c>
      <c r="Q64" s="52">
        <f t="shared" si="97"/>
        <v>3495.8142670000002</v>
      </c>
      <c r="R64" s="52">
        <f t="shared" si="97"/>
        <v>4745.9821730000003</v>
      </c>
      <c r="S64" s="52">
        <f t="shared" ref="S64:AD64" si="98">(SUM(S52:S53))/1000</f>
        <v>9706.1042469999993</v>
      </c>
      <c r="T64" s="52">
        <f t="shared" si="98"/>
        <v>7652.8787520000005</v>
      </c>
      <c r="U64" s="52">
        <f t="shared" si="98"/>
        <v>4066.7120060000002</v>
      </c>
      <c r="V64" s="52">
        <f t="shared" si="98"/>
        <v>4277.1813990000001</v>
      </c>
      <c r="W64" s="52">
        <f t="shared" si="98"/>
        <v>5205.158813</v>
      </c>
      <c r="X64" s="52">
        <f t="shared" si="98"/>
        <v>8353.5765360000005</v>
      </c>
      <c r="Y64" s="52">
        <f t="shared" si="98"/>
        <v>5791.9886410000008</v>
      </c>
      <c r="Z64" s="52">
        <f t="shared" si="98"/>
        <v>6663.5773200000003</v>
      </c>
      <c r="AA64" s="52">
        <f t="shared" si="98"/>
        <v>6665.9548100000002</v>
      </c>
      <c r="AB64" s="52">
        <f t="shared" si="98"/>
        <v>5119.7408409999998</v>
      </c>
      <c r="AC64" s="52">
        <f t="shared" si="98"/>
        <v>5090.6375390000003</v>
      </c>
      <c r="AD64" s="52">
        <f t="shared" si="98"/>
        <v>5467.0176819999997</v>
      </c>
      <c r="AE64" s="52">
        <f>(SUM(AE52:AE53))/1000</f>
        <v>6393.4283949999999</v>
      </c>
      <c r="AF64" s="52">
        <f t="shared" ref="AF64:AK64" si="99">(SUM(AF52:AF53))/1000</f>
        <v>5984.5771030000005</v>
      </c>
      <c r="AG64" s="52">
        <f t="shared" si="99"/>
        <v>3125.5101490000002</v>
      </c>
      <c r="AH64" s="52">
        <f t="shared" si="99"/>
        <v>3085.4720139999999</v>
      </c>
      <c r="AI64" s="52">
        <f t="shared" si="99"/>
        <v>5387.7893550000008</v>
      </c>
      <c r="AJ64" s="52">
        <f t="shared" si="99"/>
        <v>4093.6409789999998</v>
      </c>
      <c r="AK64" s="52">
        <f t="shared" si="99"/>
        <v>4349.4784399999999</v>
      </c>
      <c r="AL64" s="52">
        <f t="shared" ref="AL64:BC64" si="100">(SUM(AL52:AL53))/1000</f>
        <v>5115.8613719999994</v>
      </c>
      <c r="AM64" s="52">
        <f t="shared" si="100"/>
        <v>4394.5185149999998</v>
      </c>
      <c r="AN64" s="52">
        <f t="shared" si="100"/>
        <v>3682.9562190000006</v>
      </c>
      <c r="AO64" s="52">
        <f t="shared" si="100"/>
        <v>6617.2515670000003</v>
      </c>
      <c r="AP64" s="52">
        <f t="shared" si="100"/>
        <v>5907.7695119999998</v>
      </c>
      <c r="AQ64" s="52">
        <f t="shared" si="100"/>
        <v>5159.3901189999997</v>
      </c>
      <c r="AR64" s="52">
        <f t="shared" si="100"/>
        <v>5986.8555049999995</v>
      </c>
      <c r="AS64" s="52">
        <f t="shared" si="100"/>
        <v>5857.9465419999997</v>
      </c>
      <c r="AT64" s="52">
        <f t="shared" si="100"/>
        <v>10234.515691000001</v>
      </c>
      <c r="AU64" s="52">
        <f t="shared" si="100"/>
        <v>8670.5191770000019</v>
      </c>
      <c r="AV64" s="52">
        <f t="shared" si="100"/>
        <v>7980.3368949999995</v>
      </c>
      <c r="AW64" s="52">
        <f t="shared" si="100"/>
        <v>7080.1765829999995</v>
      </c>
      <c r="AX64" s="52">
        <f t="shared" si="100"/>
        <v>8075.6144839999988</v>
      </c>
      <c r="AY64" s="52">
        <f t="shared" si="100"/>
        <v>6581.5933190000005</v>
      </c>
      <c r="AZ64" s="52">
        <f t="shared" si="100"/>
        <v>5651.2724529999996</v>
      </c>
      <c r="BA64" s="52">
        <f t="shared" si="100"/>
        <v>5283.4234529999994</v>
      </c>
      <c r="BB64" s="52">
        <f t="shared" si="100"/>
        <v>13699.863357</v>
      </c>
      <c r="BC64" s="52">
        <f t="shared" si="100"/>
        <v>9189.1630830000013</v>
      </c>
      <c r="BD64" s="52">
        <f t="shared" ref="BD64" si="101">(SUM(BD52:BD53))/1000</f>
        <v>7112.0806430000002</v>
      </c>
      <c r="BE64" s="52">
        <f t="shared" ref="BE64:BJ64" si="102">(SUM(BE52:BE53))/1000</f>
        <v>6254.4456620000001</v>
      </c>
      <c r="BF64" s="52">
        <f t="shared" si="102"/>
        <v>8622.7807969999994</v>
      </c>
      <c r="BG64" s="52">
        <f t="shared" si="102"/>
        <v>4258.2007880000001</v>
      </c>
      <c r="BH64" s="52">
        <f t="shared" si="102"/>
        <v>5446.9002550000005</v>
      </c>
      <c r="BI64" s="52">
        <f t="shared" si="102"/>
        <v>5249.9302539999999</v>
      </c>
      <c r="BJ64" s="52">
        <f t="shared" si="102"/>
        <v>5937.1941639999995</v>
      </c>
      <c r="BK64" s="52">
        <f t="shared" ref="BK64:BL64" si="103">(SUM(BK52:BK53))/1000</f>
        <v>5478.9335880000008</v>
      </c>
      <c r="BL64" s="52">
        <f t="shared" si="103"/>
        <v>5127.5674750000007</v>
      </c>
      <c r="BM64" s="52">
        <f t="shared" ref="BM64" si="104">(SUM(BM52:BM53))/1000</f>
        <v>5382.580457</v>
      </c>
      <c r="BN64" s="53">
        <f>SUM(BB64:BL64)</f>
        <v>76377.060066000005</v>
      </c>
      <c r="BO64" s="2"/>
    </row>
    <row r="65" spans="1:81" x14ac:dyDescent="0.25">
      <c r="A65" s="40" t="s">
        <v>21</v>
      </c>
      <c r="B65" s="52">
        <f t="shared" ref="B65:R65" si="105">(SUM(B54:B58))/1000</f>
        <v>5588.4620789999999</v>
      </c>
      <c r="C65" s="52">
        <f t="shared" si="105"/>
        <v>6638.138949000001</v>
      </c>
      <c r="D65" s="52">
        <f t="shared" si="105"/>
        <v>5681.9052299999994</v>
      </c>
      <c r="E65" s="52">
        <f t="shared" si="105"/>
        <v>5666.6419450000003</v>
      </c>
      <c r="F65" s="52">
        <f t="shared" si="105"/>
        <v>4133.7662289999998</v>
      </c>
      <c r="G65" s="52">
        <f t="shared" si="105"/>
        <v>5580.891912</v>
      </c>
      <c r="H65" s="52">
        <f t="shared" si="105"/>
        <v>6123.3741110000001</v>
      </c>
      <c r="I65" s="52">
        <f t="shared" si="105"/>
        <v>5290.8865910000004</v>
      </c>
      <c r="J65" s="52">
        <f t="shared" si="105"/>
        <v>4501.6577250000009</v>
      </c>
      <c r="K65" s="52">
        <f t="shared" si="105"/>
        <v>8158.3570870000021</v>
      </c>
      <c r="L65" s="52">
        <f t="shared" si="105"/>
        <v>5685.2776410000006</v>
      </c>
      <c r="M65" s="52">
        <f t="shared" si="105"/>
        <v>7039.8779379999987</v>
      </c>
      <c r="N65" s="52">
        <f t="shared" si="105"/>
        <v>7255.1720740000001</v>
      </c>
      <c r="O65" s="52">
        <f t="shared" si="105"/>
        <v>7906.5299249999998</v>
      </c>
      <c r="P65" s="52">
        <f t="shared" si="105"/>
        <v>6093.5858539999999</v>
      </c>
      <c r="Q65" s="52">
        <f t="shared" si="105"/>
        <v>4917.9813919999988</v>
      </c>
      <c r="R65" s="52">
        <f t="shared" si="105"/>
        <v>17554.193667</v>
      </c>
      <c r="S65" s="52">
        <f t="shared" ref="S65:AD65" si="106">(SUM(S54:S58))/1000</f>
        <v>15812.762870999999</v>
      </c>
      <c r="T65" s="52">
        <f t="shared" si="106"/>
        <v>7846.9753699999992</v>
      </c>
      <c r="U65" s="52">
        <f t="shared" si="106"/>
        <v>6743.9068770000003</v>
      </c>
      <c r="V65" s="52">
        <f t="shared" si="106"/>
        <v>5431.4433289999997</v>
      </c>
      <c r="W65" s="52">
        <f t="shared" si="106"/>
        <v>6276.5591059999997</v>
      </c>
      <c r="X65" s="52">
        <f t="shared" si="106"/>
        <v>8279.6206500000008</v>
      </c>
      <c r="Y65" s="52">
        <f t="shared" si="106"/>
        <v>8962.230438999999</v>
      </c>
      <c r="Z65" s="52">
        <f t="shared" si="106"/>
        <v>7477.2774240000008</v>
      </c>
      <c r="AA65" s="52">
        <f t="shared" si="106"/>
        <v>16914.735193999997</v>
      </c>
      <c r="AB65" s="52">
        <f t="shared" si="106"/>
        <v>11949.118794</v>
      </c>
      <c r="AC65" s="52">
        <f t="shared" si="106"/>
        <v>8307.1342850000001</v>
      </c>
      <c r="AD65" s="52">
        <f t="shared" si="106"/>
        <v>7222.368081999999</v>
      </c>
      <c r="AE65" s="52">
        <f>(SUM(AE54:AE58))/1000</f>
        <v>6633.2492609999999</v>
      </c>
      <c r="AF65" s="52">
        <f>(SUM(AF54:AF58))/1000</f>
        <v>6002.030549000001</v>
      </c>
      <c r="AG65" s="52">
        <f t="shared" ref="AG65:AL65" si="107">(SUM(AG54:AG58))/1000</f>
        <v>3171.2284720000002</v>
      </c>
      <c r="AH65" s="52">
        <f t="shared" si="107"/>
        <v>4869.1649550000002</v>
      </c>
      <c r="AI65" s="52">
        <f t="shared" si="107"/>
        <v>9857.5933430000005</v>
      </c>
      <c r="AJ65" s="52">
        <f t="shared" si="107"/>
        <v>5447.4324660000002</v>
      </c>
      <c r="AK65" s="52">
        <f t="shared" si="107"/>
        <v>5883.0845490000002</v>
      </c>
      <c r="AL65" s="52">
        <f t="shared" si="107"/>
        <v>5857.0357560000002</v>
      </c>
      <c r="AM65" s="52">
        <f t="shared" ref="AM65:BC65" si="108">(SUM(AM54:AM58))/1000</f>
        <v>5469.2586769999998</v>
      </c>
      <c r="AN65" s="52">
        <f t="shared" si="108"/>
        <v>4431.3470859999998</v>
      </c>
      <c r="AO65" s="52">
        <f t="shared" si="108"/>
        <v>3657.9951980000005</v>
      </c>
      <c r="AP65" s="52">
        <f t="shared" si="108"/>
        <v>4104.784987</v>
      </c>
      <c r="AQ65" s="52">
        <f t="shared" si="108"/>
        <v>3541.1718990000004</v>
      </c>
      <c r="AR65" s="52">
        <f t="shared" si="108"/>
        <v>3408.9050750000001</v>
      </c>
      <c r="AS65" s="52">
        <f t="shared" si="108"/>
        <v>8067.2360120000003</v>
      </c>
      <c r="AT65" s="52">
        <f t="shared" si="108"/>
        <v>7885.9222360000003</v>
      </c>
      <c r="AU65" s="52">
        <f t="shared" si="108"/>
        <v>6973.6933849999996</v>
      </c>
      <c r="AV65" s="52">
        <f t="shared" si="108"/>
        <v>7379.8688929999998</v>
      </c>
      <c r="AW65" s="52">
        <f t="shared" si="108"/>
        <v>8575.1410539999997</v>
      </c>
      <c r="AX65" s="52">
        <f t="shared" si="108"/>
        <v>7216.1416490000001</v>
      </c>
      <c r="AY65" s="52">
        <f t="shared" si="108"/>
        <v>7390.9428899999994</v>
      </c>
      <c r="AZ65" s="52">
        <f t="shared" si="108"/>
        <v>6773.5048019999995</v>
      </c>
      <c r="BA65" s="52">
        <f t="shared" si="108"/>
        <v>7319.1159990000006</v>
      </c>
      <c r="BB65" s="52">
        <f t="shared" si="108"/>
        <v>6540.0850699999992</v>
      </c>
      <c r="BC65" s="52">
        <f t="shared" si="108"/>
        <v>8668.1454570000005</v>
      </c>
      <c r="BD65" s="52">
        <f t="shared" ref="BD65" si="109">(SUM(BD54:BD58))/1000</f>
        <v>9835.5095459999975</v>
      </c>
      <c r="BE65" s="52">
        <f t="shared" ref="BE65:BJ65" si="110">(SUM(BE54:BE58))/1000</f>
        <v>7121.5125039999994</v>
      </c>
      <c r="BF65" s="52">
        <f t="shared" si="110"/>
        <v>7723.8423159999993</v>
      </c>
      <c r="BG65" s="52">
        <f t="shared" si="110"/>
        <v>5344.4048270000003</v>
      </c>
      <c r="BH65" s="52">
        <f t="shared" si="110"/>
        <v>6872.0698389999998</v>
      </c>
      <c r="BI65" s="52">
        <f t="shared" si="110"/>
        <v>5683.1722600000003</v>
      </c>
      <c r="BJ65" s="52">
        <f t="shared" si="110"/>
        <v>7440.3931530000009</v>
      </c>
      <c r="BK65" s="52">
        <f t="shared" ref="BK65:BL65" si="111">(SUM(BK54:BK58))/1000</f>
        <v>7311.977543</v>
      </c>
      <c r="BL65" s="52">
        <f t="shared" si="111"/>
        <v>5441.1547659999997</v>
      </c>
      <c r="BM65" s="52">
        <f t="shared" ref="BM65" si="112">(SUM(BM54:BM58))/1000</f>
        <v>4789.9581610000005</v>
      </c>
      <c r="BN65" s="53">
        <f t="shared" ref="BN65:BN66" si="113">SUM(BB65:BL65)</f>
        <v>77982.267281000008</v>
      </c>
      <c r="BO65" s="7"/>
    </row>
    <row r="66" spans="1:81" x14ac:dyDescent="0.25">
      <c r="A66" s="40" t="s">
        <v>24</v>
      </c>
      <c r="B66" s="52">
        <f t="shared" ref="B66:Q66" si="114">(B59)/1000</f>
        <v>980.87457400000005</v>
      </c>
      <c r="C66" s="52">
        <f t="shared" si="114"/>
        <v>2038.3773940000001</v>
      </c>
      <c r="D66" s="52">
        <f t="shared" si="114"/>
        <v>1227.749452</v>
      </c>
      <c r="E66" s="52">
        <f t="shared" si="114"/>
        <v>1833.252763</v>
      </c>
      <c r="F66" s="52">
        <f t="shared" si="114"/>
        <v>1048.333106</v>
      </c>
      <c r="G66" s="52">
        <f t="shared" si="114"/>
        <v>2702.9931979999997</v>
      </c>
      <c r="H66" s="52">
        <f t="shared" si="114"/>
        <v>3643.6175699999999</v>
      </c>
      <c r="I66" s="52">
        <f t="shared" si="114"/>
        <v>1568.8493940000001</v>
      </c>
      <c r="J66" s="52">
        <f t="shared" si="114"/>
        <v>2443.8799549999999</v>
      </c>
      <c r="K66" s="52">
        <f t="shared" si="114"/>
        <v>1284.2669329999999</v>
      </c>
      <c r="L66" s="52">
        <f t="shared" si="114"/>
        <v>1340.5414900000001</v>
      </c>
      <c r="M66" s="52">
        <f t="shared" si="114"/>
        <v>2547.4345939999998</v>
      </c>
      <c r="N66" s="52">
        <f t="shared" si="114"/>
        <v>2002.5567779999999</v>
      </c>
      <c r="O66" s="52">
        <f t="shared" si="114"/>
        <v>2095.8813759999998</v>
      </c>
      <c r="P66" s="52">
        <f t="shared" si="114"/>
        <v>1781.9425000000001</v>
      </c>
      <c r="Q66" s="52">
        <f t="shared" si="114"/>
        <v>2280.1435649999999</v>
      </c>
      <c r="R66" s="52">
        <f>SUM(R59:R60)/1000</f>
        <v>1078.009374</v>
      </c>
      <c r="S66" s="52">
        <f t="shared" ref="S66:AD66" si="115">SUM(S59:S60)/1000</f>
        <v>1576.968433</v>
      </c>
      <c r="T66" s="52">
        <f t="shared" si="115"/>
        <v>3107.707038</v>
      </c>
      <c r="U66" s="52">
        <f t="shared" si="115"/>
        <v>2614.8285430000001</v>
      </c>
      <c r="V66" s="52">
        <f t="shared" si="115"/>
        <v>10504.181208999998</v>
      </c>
      <c r="W66" s="52">
        <f t="shared" si="115"/>
        <v>8562.0020000000004</v>
      </c>
      <c r="X66" s="52">
        <f t="shared" si="115"/>
        <v>2576.8481280000001</v>
      </c>
      <c r="Y66" s="52">
        <f t="shared" si="115"/>
        <v>3145.7790829999999</v>
      </c>
      <c r="Z66" s="52">
        <f t="shared" si="115"/>
        <v>2210.8915910000001</v>
      </c>
      <c r="AA66" s="52">
        <f t="shared" si="115"/>
        <v>2850.832261</v>
      </c>
      <c r="AB66" s="52">
        <f t="shared" si="115"/>
        <v>2943.556</v>
      </c>
      <c r="AC66" s="52">
        <f t="shared" si="115"/>
        <v>2928.6405199999999</v>
      </c>
      <c r="AD66" s="52">
        <f t="shared" si="115"/>
        <v>1421.4087770000001</v>
      </c>
      <c r="AE66" s="52">
        <f t="shared" ref="AE66:BC66" si="116">SUM(AE59:AE60)/1000</f>
        <v>1759.459732</v>
      </c>
      <c r="AF66" s="52">
        <f t="shared" si="116"/>
        <v>818.45043399999997</v>
      </c>
      <c r="AG66" s="52">
        <f t="shared" si="116"/>
        <v>1073.936905</v>
      </c>
      <c r="AH66" s="52">
        <f t="shared" si="116"/>
        <v>1737.5791040000001</v>
      </c>
      <c r="AI66" s="52">
        <f t="shared" si="116"/>
        <v>2128.6111889999997</v>
      </c>
      <c r="AJ66" s="52">
        <f t="shared" si="116"/>
        <v>1582.45578</v>
      </c>
      <c r="AK66" s="52">
        <f t="shared" si="116"/>
        <v>1102.1272960000001</v>
      </c>
      <c r="AL66" s="52">
        <f t="shared" si="116"/>
        <v>500</v>
      </c>
      <c r="AM66" s="52">
        <f t="shared" si="116"/>
        <v>1592.7065859999998</v>
      </c>
      <c r="AN66" s="52">
        <f t="shared" si="116"/>
        <v>1929.748464</v>
      </c>
      <c r="AO66" s="52">
        <f t="shared" si="116"/>
        <v>708.45071299999995</v>
      </c>
      <c r="AP66" s="52">
        <f t="shared" si="116"/>
        <v>46.418106000000002</v>
      </c>
      <c r="AQ66" s="52">
        <f t="shared" si="116"/>
        <v>1651.405301</v>
      </c>
      <c r="AR66" s="52">
        <f t="shared" si="116"/>
        <v>1873.2582299999999</v>
      </c>
      <c r="AS66" s="52">
        <f t="shared" si="116"/>
        <v>2381.3967310000003</v>
      </c>
      <c r="AT66" s="52">
        <f t="shared" si="116"/>
        <v>924.41427599999997</v>
      </c>
      <c r="AU66" s="52">
        <f t="shared" si="116"/>
        <v>1258.3932500000001</v>
      </c>
      <c r="AV66" s="52">
        <f t="shared" si="116"/>
        <v>1669.1495260000002</v>
      </c>
      <c r="AW66" s="52">
        <f t="shared" si="116"/>
        <v>1878.712608</v>
      </c>
      <c r="AX66" s="52">
        <f t="shared" si="116"/>
        <v>2173.6249029999999</v>
      </c>
      <c r="AY66" s="52">
        <f t="shared" si="116"/>
        <v>1494.3615339999999</v>
      </c>
      <c r="AZ66" s="52">
        <f t="shared" si="116"/>
        <v>1268.4418920000001</v>
      </c>
      <c r="BA66" s="52">
        <f t="shared" si="116"/>
        <v>1563.2565260000001</v>
      </c>
      <c r="BB66" s="52">
        <f t="shared" si="116"/>
        <v>2080.4615309999999</v>
      </c>
      <c r="BC66" s="52">
        <f t="shared" si="116"/>
        <v>2515.2280740000001</v>
      </c>
      <c r="BD66" s="52">
        <f t="shared" ref="BD66" si="117">SUM(BD59:BD60)/1000</f>
        <v>3239.4443509999996</v>
      </c>
      <c r="BE66" s="52">
        <f t="shared" ref="BE66:BJ66" si="118">SUM(BE59:BE60)/1000</f>
        <v>2486.935332</v>
      </c>
      <c r="BF66" s="52">
        <f t="shared" si="118"/>
        <v>2548.9062990000002</v>
      </c>
      <c r="BG66" s="52">
        <f t="shared" si="118"/>
        <v>3941.7023260000001</v>
      </c>
      <c r="BH66" s="52">
        <f t="shared" si="118"/>
        <v>4127.4502700000003</v>
      </c>
      <c r="BI66" s="52">
        <f t="shared" si="118"/>
        <v>2136.4154750000002</v>
      </c>
      <c r="BJ66" s="52">
        <f t="shared" si="118"/>
        <v>1572.797613</v>
      </c>
      <c r="BK66" s="52">
        <f t="shared" ref="BK66:BL66" si="119">SUM(BK59:BK60)/1000</f>
        <v>552.838258</v>
      </c>
      <c r="BL66" s="52">
        <f t="shared" si="119"/>
        <v>2086.5602589999999</v>
      </c>
      <c r="BM66" s="52">
        <f t="shared" ref="BM66" si="120">SUM(BM59:BM60)/1000</f>
        <v>3054.4623730000003</v>
      </c>
      <c r="BN66" s="53">
        <f t="shared" si="113"/>
        <v>27288.739787999999</v>
      </c>
      <c r="BO66" s="7"/>
    </row>
    <row r="67" spans="1:81" x14ac:dyDescent="0.25">
      <c r="A67" s="43" t="s">
        <v>25</v>
      </c>
      <c r="B67" s="55">
        <f t="shared" ref="B67:AC67" si="121">SUM(B64:B66)</f>
        <v>11784.378663999998</v>
      </c>
      <c r="C67" s="55">
        <f t="shared" si="121"/>
        <v>13949.476009999998</v>
      </c>
      <c r="D67" s="55">
        <f t="shared" si="121"/>
        <v>9945.4538229999998</v>
      </c>
      <c r="E67" s="55">
        <f t="shared" si="121"/>
        <v>11553.24532</v>
      </c>
      <c r="F67" s="55">
        <f t="shared" si="121"/>
        <v>8487.552318</v>
      </c>
      <c r="G67" s="55">
        <f t="shared" si="121"/>
        <v>15706.103714000001</v>
      </c>
      <c r="H67" s="55">
        <f t="shared" si="121"/>
        <v>15868.282701</v>
      </c>
      <c r="I67" s="55">
        <f t="shared" si="121"/>
        <v>9472.5444370000005</v>
      </c>
      <c r="J67" s="55">
        <f t="shared" si="121"/>
        <v>10227.778261000001</v>
      </c>
      <c r="K67" s="55">
        <f t="shared" si="121"/>
        <v>15308.067873</v>
      </c>
      <c r="L67" s="55">
        <f t="shared" si="121"/>
        <v>13384.618581999999</v>
      </c>
      <c r="M67" s="55">
        <f t="shared" si="121"/>
        <v>14129.92391</v>
      </c>
      <c r="N67" s="55">
        <f t="shared" si="121"/>
        <v>17400.244880999999</v>
      </c>
      <c r="O67" s="55">
        <f t="shared" si="121"/>
        <v>16395.701518000002</v>
      </c>
      <c r="P67" s="55">
        <f t="shared" si="121"/>
        <v>11723.034018999999</v>
      </c>
      <c r="Q67" s="55">
        <f t="shared" si="121"/>
        <v>10693.939224</v>
      </c>
      <c r="R67" s="55">
        <f t="shared" si="121"/>
        <v>23378.185214000001</v>
      </c>
      <c r="S67" s="55">
        <f t="shared" si="121"/>
        <v>27095.835550999996</v>
      </c>
      <c r="T67" s="55">
        <f t="shared" si="121"/>
        <v>18607.561160000001</v>
      </c>
      <c r="U67" s="55">
        <f t="shared" si="121"/>
        <v>13425.447426000001</v>
      </c>
      <c r="V67" s="55">
        <f t="shared" si="121"/>
        <v>20212.805936999997</v>
      </c>
      <c r="W67" s="55">
        <f t="shared" si="121"/>
        <v>20043.719918999999</v>
      </c>
      <c r="X67" s="55">
        <f t="shared" si="121"/>
        <v>19210.045314000003</v>
      </c>
      <c r="Y67" s="55">
        <f t="shared" si="121"/>
        <v>17899.998163</v>
      </c>
      <c r="Z67" s="55">
        <f t="shared" si="121"/>
        <v>16351.746335</v>
      </c>
      <c r="AA67" s="55">
        <f t="shared" si="121"/>
        <v>26431.522264999996</v>
      </c>
      <c r="AB67" s="55">
        <f t="shared" si="121"/>
        <v>20012.415635000001</v>
      </c>
      <c r="AC67" s="55">
        <f t="shared" si="121"/>
        <v>16326.412344</v>
      </c>
      <c r="AD67" s="55">
        <f t="shared" ref="AD67:BC67" si="122">SUM(AD64:AD66)</f>
        <v>14110.794540999999</v>
      </c>
      <c r="AE67" s="55">
        <f t="shared" si="122"/>
        <v>14786.137387999999</v>
      </c>
      <c r="AF67" s="55">
        <f t="shared" si="122"/>
        <v>12805.058086000003</v>
      </c>
      <c r="AG67" s="55">
        <f t="shared" si="122"/>
        <v>7370.6755260000009</v>
      </c>
      <c r="AH67" s="55">
        <f t="shared" si="122"/>
        <v>9692.2160729999996</v>
      </c>
      <c r="AI67" s="55">
        <f t="shared" si="122"/>
        <v>17373.993887000001</v>
      </c>
      <c r="AJ67" s="55">
        <f t="shared" si="122"/>
        <v>11123.529225</v>
      </c>
      <c r="AK67" s="55">
        <f t="shared" si="122"/>
        <v>11334.690285000001</v>
      </c>
      <c r="AL67" s="55">
        <f t="shared" si="122"/>
        <v>11472.897128000001</v>
      </c>
      <c r="AM67" s="55">
        <f t="shared" si="122"/>
        <v>11456.483778</v>
      </c>
      <c r="AN67" s="55">
        <f t="shared" si="122"/>
        <v>10044.051769</v>
      </c>
      <c r="AO67" s="55">
        <f t="shared" si="122"/>
        <v>10983.697478</v>
      </c>
      <c r="AP67" s="55">
        <f t="shared" si="122"/>
        <v>10058.972604999999</v>
      </c>
      <c r="AQ67" s="55">
        <f t="shared" si="122"/>
        <v>10351.967319000001</v>
      </c>
      <c r="AR67" s="55">
        <f t="shared" si="122"/>
        <v>11269.01881</v>
      </c>
      <c r="AS67" s="55">
        <f t="shared" si="122"/>
        <v>16306.579285</v>
      </c>
      <c r="AT67" s="55">
        <f t="shared" si="122"/>
        <v>19044.852202999999</v>
      </c>
      <c r="AU67" s="55">
        <f t="shared" si="122"/>
        <v>16902.605812000002</v>
      </c>
      <c r="AV67" s="55">
        <f t="shared" si="122"/>
        <v>17029.355314</v>
      </c>
      <c r="AW67" s="55">
        <f t="shared" si="122"/>
        <v>17534.030245000002</v>
      </c>
      <c r="AX67" s="55">
        <f t="shared" si="122"/>
        <v>17465.381035999999</v>
      </c>
      <c r="AY67" s="55">
        <f t="shared" si="122"/>
        <v>15466.897743</v>
      </c>
      <c r="AZ67" s="55">
        <f t="shared" si="122"/>
        <v>13693.219147</v>
      </c>
      <c r="BA67" s="55">
        <f t="shared" si="122"/>
        <v>14165.795978000002</v>
      </c>
      <c r="BB67" s="55">
        <f t="shared" si="122"/>
        <v>22320.409958</v>
      </c>
      <c r="BC67" s="55">
        <f t="shared" si="122"/>
        <v>20372.536614000001</v>
      </c>
      <c r="BD67" s="55">
        <f t="shared" ref="BD67" si="123">SUM(BD64:BD66)</f>
        <v>20187.034539999997</v>
      </c>
      <c r="BE67" s="55">
        <f t="shared" ref="BE67:BN67" si="124">SUM(BE64:BE66)</f>
        <v>15862.893498000001</v>
      </c>
      <c r="BF67" s="55">
        <f t="shared" si="124"/>
        <v>18895.529411999996</v>
      </c>
      <c r="BG67" s="55">
        <f t="shared" si="124"/>
        <v>13544.307941000001</v>
      </c>
      <c r="BH67" s="55">
        <f t="shared" si="124"/>
        <v>16446.420364000001</v>
      </c>
      <c r="BI67" s="55">
        <f t="shared" si="124"/>
        <v>13069.517989</v>
      </c>
      <c r="BJ67" s="55">
        <f t="shared" ref="BJ67:BK67" si="125">SUM(BJ64:BJ66)</f>
        <v>14950.384930000002</v>
      </c>
      <c r="BK67" s="55">
        <f t="shared" si="125"/>
        <v>13343.749389000001</v>
      </c>
      <c r="BL67" s="55">
        <f t="shared" ref="BL67:BM67" si="126">SUM(BL64:BL66)</f>
        <v>12655.282499999999</v>
      </c>
      <c r="BM67" s="55">
        <f t="shared" si="126"/>
        <v>13227.000991000001</v>
      </c>
      <c r="BN67" s="54">
        <f t="shared" si="124"/>
        <v>181648.06713500002</v>
      </c>
      <c r="BO67" s="7"/>
    </row>
    <row r="68" spans="1:81" x14ac:dyDescent="0.25">
      <c r="B68" s="4"/>
      <c r="F68" s="7"/>
      <c r="G68" s="7"/>
      <c r="H68" s="7"/>
      <c r="I68" s="7"/>
      <c r="J68" s="8"/>
      <c r="K68" s="9"/>
      <c r="L68" s="7"/>
      <c r="M68" s="9"/>
      <c r="N68" s="4"/>
      <c r="BP68" s="94" t="s">
        <v>51</v>
      </c>
      <c r="BQ68" s="94"/>
      <c r="BR68" s="94"/>
      <c r="BS68" s="94"/>
      <c r="BT68" t="s">
        <v>46</v>
      </c>
    </row>
    <row r="69" spans="1:81" x14ac:dyDescent="0.25">
      <c r="A69" s="46" t="s">
        <v>26</v>
      </c>
      <c r="B69" s="38">
        <v>44075</v>
      </c>
      <c r="C69" s="38">
        <v>44105</v>
      </c>
      <c r="D69" s="38">
        <v>44136</v>
      </c>
      <c r="E69" s="38">
        <v>44166</v>
      </c>
      <c r="F69" s="38">
        <v>44197</v>
      </c>
      <c r="G69" s="38">
        <v>44228</v>
      </c>
      <c r="H69" s="38">
        <v>44256</v>
      </c>
      <c r="I69" s="38">
        <v>44287</v>
      </c>
      <c r="J69" s="38">
        <v>44317</v>
      </c>
      <c r="K69" s="38">
        <v>44348</v>
      </c>
      <c r="L69" s="38">
        <v>44378</v>
      </c>
      <c r="M69" s="38">
        <v>44409</v>
      </c>
      <c r="N69" s="38">
        <v>44440</v>
      </c>
      <c r="O69" s="38">
        <v>44470</v>
      </c>
      <c r="P69" s="38">
        <v>44501</v>
      </c>
      <c r="Q69" s="38">
        <v>44531</v>
      </c>
      <c r="R69" s="38">
        <v>44562</v>
      </c>
      <c r="S69" s="38">
        <v>44593</v>
      </c>
      <c r="T69" s="38">
        <v>44621</v>
      </c>
      <c r="U69" s="38">
        <v>44652</v>
      </c>
      <c r="V69" s="38">
        <v>44682</v>
      </c>
      <c r="W69" s="38">
        <v>44713</v>
      </c>
      <c r="X69" s="38">
        <v>44743</v>
      </c>
      <c r="Y69" s="38">
        <v>44774</v>
      </c>
      <c r="Z69" s="38">
        <v>44805</v>
      </c>
      <c r="AA69" s="38">
        <v>44835</v>
      </c>
      <c r="AB69" s="38">
        <v>44866</v>
      </c>
      <c r="AC69" s="38">
        <v>44896</v>
      </c>
      <c r="AD69" s="38">
        <v>44927</v>
      </c>
      <c r="AE69" s="38">
        <v>44958</v>
      </c>
      <c r="AF69" s="38">
        <v>44986</v>
      </c>
      <c r="AG69" s="38">
        <v>45017</v>
      </c>
      <c r="AH69" s="38">
        <v>45047</v>
      </c>
      <c r="AI69" s="38">
        <v>45078</v>
      </c>
      <c r="AJ69" s="38">
        <v>45108</v>
      </c>
      <c r="AK69" s="38">
        <v>45139</v>
      </c>
      <c r="AL69" s="38">
        <v>45170</v>
      </c>
      <c r="AM69" s="38">
        <v>45200</v>
      </c>
      <c r="AN69" s="38">
        <v>45231</v>
      </c>
      <c r="AO69" s="38">
        <v>45261</v>
      </c>
      <c r="AP69" s="38">
        <v>45292</v>
      </c>
      <c r="AQ69" s="38">
        <v>45323</v>
      </c>
      <c r="AR69" s="38">
        <v>45352</v>
      </c>
      <c r="AS69" s="38">
        <v>45383</v>
      </c>
      <c r="AT69" s="38">
        <v>45413</v>
      </c>
      <c r="AU69" s="38">
        <v>45444</v>
      </c>
      <c r="AV69" s="38">
        <v>45474</v>
      </c>
      <c r="AW69" s="38">
        <v>45505</v>
      </c>
      <c r="AX69" s="38">
        <v>45536</v>
      </c>
      <c r="AY69" s="38">
        <v>45566</v>
      </c>
      <c r="AZ69" s="38">
        <v>45597</v>
      </c>
      <c r="BA69" s="38">
        <v>45627</v>
      </c>
      <c r="BB69" s="38">
        <v>45658</v>
      </c>
      <c r="BC69" s="38">
        <v>45689</v>
      </c>
      <c r="BD69" s="38">
        <v>45717</v>
      </c>
      <c r="BE69" s="38">
        <v>45748</v>
      </c>
      <c r="BF69" s="38">
        <v>45778</v>
      </c>
      <c r="BG69" s="38">
        <v>45809</v>
      </c>
      <c r="BH69" s="38">
        <v>45839</v>
      </c>
      <c r="BI69" s="38">
        <v>45870</v>
      </c>
      <c r="BJ69" s="38">
        <v>45901</v>
      </c>
      <c r="BK69" s="38">
        <v>45931</v>
      </c>
      <c r="BL69" s="38">
        <v>45962</v>
      </c>
      <c r="BM69" s="38">
        <v>45992</v>
      </c>
      <c r="BN69" s="39" t="s">
        <v>64</v>
      </c>
      <c r="BO69" s="2"/>
    </row>
    <row r="70" spans="1:81" x14ac:dyDescent="0.25">
      <c r="A70" s="40" t="s">
        <v>29</v>
      </c>
      <c r="B70" s="52">
        <f t="shared" ref="B70:AC70" si="127">B52+B53</f>
        <v>5215042.0109999999</v>
      </c>
      <c r="C70" s="52">
        <f t="shared" si="127"/>
        <v>5272959.6669999994</v>
      </c>
      <c r="D70" s="52">
        <f t="shared" si="127"/>
        <v>3035799.1409999998</v>
      </c>
      <c r="E70" s="52">
        <f t="shared" si="127"/>
        <v>4053350.6119999997</v>
      </c>
      <c r="F70" s="52">
        <f t="shared" si="127"/>
        <v>3305452.983</v>
      </c>
      <c r="G70" s="52">
        <f t="shared" si="127"/>
        <v>7422218.6040000003</v>
      </c>
      <c r="H70" s="52">
        <f t="shared" si="127"/>
        <v>6101291.0199999996</v>
      </c>
      <c r="I70" s="52">
        <f t="shared" si="127"/>
        <v>2612808.452</v>
      </c>
      <c r="J70" s="52">
        <f t="shared" si="127"/>
        <v>3282240.5810000002</v>
      </c>
      <c r="K70" s="52">
        <f t="shared" si="127"/>
        <v>5865443.8530000001</v>
      </c>
      <c r="L70" s="52">
        <f t="shared" si="127"/>
        <v>6358799.4509999994</v>
      </c>
      <c r="M70" s="52">
        <f t="shared" si="127"/>
        <v>4542611.3780000005</v>
      </c>
      <c r="N70" s="52">
        <f t="shared" si="127"/>
        <v>8142516.0289999992</v>
      </c>
      <c r="O70" s="52">
        <f t="shared" si="127"/>
        <v>6393290.2170000002</v>
      </c>
      <c r="P70" s="52">
        <f t="shared" si="127"/>
        <v>3847505.665</v>
      </c>
      <c r="Q70" s="52">
        <f t="shared" si="127"/>
        <v>3495814.267</v>
      </c>
      <c r="R70" s="52">
        <f t="shared" si="127"/>
        <v>4745982.1730000004</v>
      </c>
      <c r="S70" s="52">
        <f t="shared" si="127"/>
        <v>9706104.2469999995</v>
      </c>
      <c r="T70" s="52">
        <f t="shared" si="127"/>
        <v>7652878.7520000003</v>
      </c>
      <c r="U70" s="52">
        <f t="shared" si="127"/>
        <v>4066712.0060000001</v>
      </c>
      <c r="V70" s="52">
        <f t="shared" si="127"/>
        <v>4277181.3990000002</v>
      </c>
      <c r="W70" s="52">
        <f t="shared" si="127"/>
        <v>5205158.8130000001</v>
      </c>
      <c r="X70" s="52">
        <f t="shared" si="127"/>
        <v>8353576.5360000003</v>
      </c>
      <c r="Y70" s="52">
        <f t="shared" si="127"/>
        <v>5791988.6410000008</v>
      </c>
      <c r="Z70" s="52">
        <f t="shared" si="127"/>
        <v>6663577.3200000003</v>
      </c>
      <c r="AA70" s="52">
        <f t="shared" si="127"/>
        <v>6665954.8100000005</v>
      </c>
      <c r="AB70" s="52">
        <f t="shared" si="127"/>
        <v>5119740.841</v>
      </c>
      <c r="AC70" s="52">
        <f t="shared" si="127"/>
        <v>5090637.5389999999</v>
      </c>
      <c r="AD70" s="52">
        <f t="shared" ref="AD70:BC70" si="128">AD52+AD53</f>
        <v>5467017.682</v>
      </c>
      <c r="AE70" s="52">
        <f t="shared" si="128"/>
        <v>6393428.3949999996</v>
      </c>
      <c r="AF70" s="52">
        <f t="shared" si="128"/>
        <v>5984577.1030000001</v>
      </c>
      <c r="AG70" s="52">
        <f t="shared" si="128"/>
        <v>3125510.1490000002</v>
      </c>
      <c r="AH70" s="52">
        <f t="shared" si="128"/>
        <v>3085472.014</v>
      </c>
      <c r="AI70" s="52">
        <f t="shared" si="128"/>
        <v>5387789.3550000004</v>
      </c>
      <c r="AJ70" s="52">
        <f t="shared" si="128"/>
        <v>4093640.9789999998</v>
      </c>
      <c r="AK70" s="52">
        <f t="shared" si="128"/>
        <v>4349478.4399999995</v>
      </c>
      <c r="AL70" s="52">
        <f t="shared" si="128"/>
        <v>5115861.3719999995</v>
      </c>
      <c r="AM70" s="52">
        <f t="shared" si="128"/>
        <v>4394518.5149999997</v>
      </c>
      <c r="AN70" s="52">
        <f t="shared" si="128"/>
        <v>3682956.2190000005</v>
      </c>
      <c r="AO70" s="52">
        <f t="shared" si="128"/>
        <v>6617251.5669999998</v>
      </c>
      <c r="AP70" s="52">
        <f t="shared" si="128"/>
        <v>5907769.5120000001</v>
      </c>
      <c r="AQ70" s="52">
        <f t="shared" si="128"/>
        <v>5159390.1189999999</v>
      </c>
      <c r="AR70" s="52">
        <f t="shared" si="128"/>
        <v>5986855.5049999999</v>
      </c>
      <c r="AS70" s="52">
        <f t="shared" si="128"/>
        <v>5857946.5419999994</v>
      </c>
      <c r="AT70" s="52">
        <f t="shared" si="128"/>
        <v>10234515.691</v>
      </c>
      <c r="AU70" s="52">
        <f t="shared" si="128"/>
        <v>8670519.1770000011</v>
      </c>
      <c r="AV70" s="52">
        <f t="shared" si="128"/>
        <v>7980336.8949999996</v>
      </c>
      <c r="AW70" s="52">
        <f t="shared" si="128"/>
        <v>7080176.5829999996</v>
      </c>
      <c r="AX70" s="52">
        <f t="shared" si="128"/>
        <v>8075614.4839999992</v>
      </c>
      <c r="AY70" s="52">
        <f t="shared" si="128"/>
        <v>6581593.3190000001</v>
      </c>
      <c r="AZ70" s="52">
        <f t="shared" si="128"/>
        <v>5651272.4529999997</v>
      </c>
      <c r="BA70" s="52">
        <f t="shared" si="128"/>
        <v>5283423.4529999997</v>
      </c>
      <c r="BB70" s="52">
        <f t="shared" si="128"/>
        <v>13699863.357000001</v>
      </c>
      <c r="BC70" s="52">
        <f t="shared" si="128"/>
        <v>9189163.0830000006</v>
      </c>
      <c r="BD70" s="52">
        <f t="shared" ref="BD70:BE70" si="129">BD52+BD53</f>
        <v>7112080.6430000002</v>
      </c>
      <c r="BE70" s="52">
        <f t="shared" si="129"/>
        <v>6254445.6620000005</v>
      </c>
      <c r="BF70" s="52">
        <f t="shared" ref="BF70:BG70" si="130">BF52+BF53</f>
        <v>8622780.7970000003</v>
      </c>
      <c r="BG70" s="52">
        <f t="shared" si="130"/>
        <v>4258200.7879999997</v>
      </c>
      <c r="BH70" s="52">
        <f t="shared" ref="BH70:BI70" si="131">BH52+BH53</f>
        <v>5446900.2550000008</v>
      </c>
      <c r="BI70" s="52">
        <f t="shared" si="131"/>
        <v>5249930.2539999997</v>
      </c>
      <c r="BJ70" s="52">
        <f t="shared" ref="BJ70:BK70" si="132">BJ52+BJ53</f>
        <v>5937194.1639999999</v>
      </c>
      <c r="BK70" s="52">
        <f t="shared" si="132"/>
        <v>5478933.5880000005</v>
      </c>
      <c r="BL70" s="52">
        <f t="shared" ref="BL70:BM70" si="133">BL52+BL53</f>
        <v>5127567.4750000006</v>
      </c>
      <c r="BM70" s="52">
        <f t="shared" si="133"/>
        <v>5382580.4570000004</v>
      </c>
      <c r="BN70" s="53">
        <f>SUM(BB70:BL70)</f>
        <v>76377060.066</v>
      </c>
      <c r="BO70" s="7"/>
    </row>
    <row r="71" spans="1:81" x14ac:dyDescent="0.25">
      <c r="A71" s="40" t="s">
        <v>21</v>
      </c>
      <c r="B71" s="52">
        <f t="shared" ref="B71:AC71" si="134">SUM(B54:B58)</f>
        <v>5588462.0789999999</v>
      </c>
      <c r="C71" s="52">
        <f t="shared" si="134"/>
        <v>6638138.949000001</v>
      </c>
      <c r="D71" s="52">
        <f t="shared" si="134"/>
        <v>5681905.2299999995</v>
      </c>
      <c r="E71" s="52">
        <f t="shared" si="134"/>
        <v>5666641.9450000003</v>
      </c>
      <c r="F71" s="52">
        <f t="shared" si="134"/>
        <v>4133766.2289999998</v>
      </c>
      <c r="G71" s="52">
        <f t="shared" si="134"/>
        <v>5580891.9120000005</v>
      </c>
      <c r="H71" s="52">
        <f t="shared" si="134"/>
        <v>6123374.1110000005</v>
      </c>
      <c r="I71" s="52">
        <f t="shared" si="134"/>
        <v>5290886.591</v>
      </c>
      <c r="J71" s="52">
        <f t="shared" si="134"/>
        <v>4501657.7250000006</v>
      </c>
      <c r="K71" s="52">
        <f t="shared" si="134"/>
        <v>8158357.0870000022</v>
      </c>
      <c r="L71" s="52">
        <f t="shared" si="134"/>
        <v>5685277.6410000008</v>
      </c>
      <c r="M71" s="52">
        <f t="shared" si="134"/>
        <v>7039877.9379999992</v>
      </c>
      <c r="N71" s="52">
        <f t="shared" si="134"/>
        <v>7255172.074</v>
      </c>
      <c r="O71" s="52">
        <f t="shared" si="134"/>
        <v>7906529.9249999998</v>
      </c>
      <c r="P71" s="52">
        <f t="shared" si="134"/>
        <v>6093585.8540000003</v>
      </c>
      <c r="Q71" s="52">
        <f t="shared" si="134"/>
        <v>4917981.3919999991</v>
      </c>
      <c r="R71" s="52">
        <f t="shared" si="134"/>
        <v>17554193.666999999</v>
      </c>
      <c r="S71" s="52">
        <f t="shared" si="134"/>
        <v>15812762.870999999</v>
      </c>
      <c r="T71" s="52">
        <f t="shared" si="134"/>
        <v>7846975.3699999992</v>
      </c>
      <c r="U71" s="52">
        <f t="shared" si="134"/>
        <v>6743906.8770000003</v>
      </c>
      <c r="V71" s="52">
        <f t="shared" si="134"/>
        <v>5431443.3289999999</v>
      </c>
      <c r="W71" s="52">
        <f t="shared" si="134"/>
        <v>6276559.1059999997</v>
      </c>
      <c r="X71" s="52">
        <f t="shared" si="134"/>
        <v>8279620.6500000004</v>
      </c>
      <c r="Y71" s="52">
        <f t="shared" si="134"/>
        <v>8962230.4389999993</v>
      </c>
      <c r="Z71" s="52">
        <f t="shared" si="134"/>
        <v>7477277.4240000006</v>
      </c>
      <c r="AA71" s="52">
        <f t="shared" si="134"/>
        <v>16914735.193999998</v>
      </c>
      <c r="AB71" s="52">
        <f t="shared" si="134"/>
        <v>11949118.794</v>
      </c>
      <c r="AC71" s="52">
        <f t="shared" si="134"/>
        <v>8307134.2850000001</v>
      </c>
      <c r="AD71" s="52">
        <f t="shared" ref="AD71:BC71" si="135">SUM(AD54:AD58)</f>
        <v>7222368.0819999995</v>
      </c>
      <c r="AE71" s="52">
        <f t="shared" si="135"/>
        <v>6633249.2609999999</v>
      </c>
      <c r="AF71" s="52">
        <f t="shared" si="135"/>
        <v>6002030.5490000006</v>
      </c>
      <c r="AG71" s="52">
        <f t="shared" si="135"/>
        <v>3171228.4720000001</v>
      </c>
      <c r="AH71" s="52">
        <f t="shared" si="135"/>
        <v>4869164.9550000001</v>
      </c>
      <c r="AI71" s="52">
        <f t="shared" si="135"/>
        <v>9857593.3430000003</v>
      </c>
      <c r="AJ71" s="52">
        <f t="shared" si="135"/>
        <v>5447432.466</v>
      </c>
      <c r="AK71" s="52">
        <f t="shared" si="135"/>
        <v>5883084.5490000006</v>
      </c>
      <c r="AL71" s="52">
        <f t="shared" si="135"/>
        <v>5857035.7560000001</v>
      </c>
      <c r="AM71" s="52">
        <f t="shared" si="135"/>
        <v>5469258.6770000001</v>
      </c>
      <c r="AN71" s="52">
        <f t="shared" si="135"/>
        <v>4431347.0860000001</v>
      </c>
      <c r="AO71" s="52">
        <f t="shared" si="135"/>
        <v>3657995.1980000003</v>
      </c>
      <c r="AP71" s="52">
        <f t="shared" si="135"/>
        <v>4104784.9870000002</v>
      </c>
      <c r="AQ71" s="52">
        <f t="shared" si="135"/>
        <v>3541171.8990000002</v>
      </c>
      <c r="AR71" s="52">
        <f t="shared" si="135"/>
        <v>3408905.0750000002</v>
      </c>
      <c r="AS71" s="52">
        <f t="shared" si="135"/>
        <v>8067236.0120000001</v>
      </c>
      <c r="AT71" s="52">
        <f t="shared" si="135"/>
        <v>7885922.2360000005</v>
      </c>
      <c r="AU71" s="52">
        <f t="shared" si="135"/>
        <v>6973693.3849999998</v>
      </c>
      <c r="AV71" s="52">
        <f t="shared" si="135"/>
        <v>7379868.8930000002</v>
      </c>
      <c r="AW71" s="52">
        <f t="shared" si="135"/>
        <v>8575141.0539999995</v>
      </c>
      <c r="AX71" s="52">
        <f t="shared" si="135"/>
        <v>7216141.6490000002</v>
      </c>
      <c r="AY71" s="52">
        <f t="shared" si="135"/>
        <v>7390942.8899999997</v>
      </c>
      <c r="AZ71" s="52">
        <f t="shared" si="135"/>
        <v>6773504.8019999992</v>
      </c>
      <c r="BA71" s="52">
        <f t="shared" si="135"/>
        <v>7319115.9990000008</v>
      </c>
      <c r="BB71" s="52">
        <f t="shared" si="135"/>
        <v>6540085.0699999994</v>
      </c>
      <c r="BC71" s="52">
        <f t="shared" si="135"/>
        <v>8668145.4570000004</v>
      </c>
      <c r="BD71" s="52">
        <f t="shared" ref="BD71:BE71" si="136">SUM(BD54:BD58)</f>
        <v>9835509.5459999982</v>
      </c>
      <c r="BE71" s="52">
        <f t="shared" si="136"/>
        <v>7121512.5039999997</v>
      </c>
      <c r="BF71" s="52">
        <f t="shared" ref="BF71:BG71" si="137">SUM(BF54:BF58)</f>
        <v>7723842.3159999996</v>
      </c>
      <c r="BG71" s="52">
        <f t="shared" si="137"/>
        <v>5344404.8270000005</v>
      </c>
      <c r="BH71" s="52">
        <f t="shared" ref="BH71:BI71" si="138">SUM(BH54:BH58)</f>
        <v>6872069.8389999997</v>
      </c>
      <c r="BI71" s="52">
        <f t="shared" si="138"/>
        <v>5683172.2600000007</v>
      </c>
      <c r="BJ71" s="52">
        <f t="shared" ref="BJ71:BK71" si="139">SUM(BJ54:BJ58)</f>
        <v>7440393.1530000009</v>
      </c>
      <c r="BK71" s="52">
        <f t="shared" si="139"/>
        <v>7311977.5429999996</v>
      </c>
      <c r="BL71" s="52">
        <f t="shared" ref="BL71:BM71" si="140">SUM(BL54:BL58)</f>
        <v>5441154.7659999998</v>
      </c>
      <c r="BM71" s="52">
        <f t="shared" si="140"/>
        <v>4789958.1610000003</v>
      </c>
      <c r="BN71" s="53">
        <f t="shared" ref="BN71:BN72" si="141">SUM(BB71:BL71)</f>
        <v>77982267.281000003</v>
      </c>
      <c r="BO71" s="7"/>
    </row>
    <row r="72" spans="1:81" x14ac:dyDescent="0.25">
      <c r="A72" s="40" t="s">
        <v>24</v>
      </c>
      <c r="B72" s="52">
        <f t="shared" ref="B72:Q72" si="142">B59</f>
        <v>980874.57400000002</v>
      </c>
      <c r="C72" s="52">
        <f t="shared" si="142"/>
        <v>2038377.3940000001</v>
      </c>
      <c r="D72" s="52">
        <f t="shared" si="142"/>
        <v>1227749.452</v>
      </c>
      <c r="E72" s="52">
        <f t="shared" si="142"/>
        <v>1833252.763</v>
      </c>
      <c r="F72" s="52">
        <f t="shared" si="142"/>
        <v>1048333.106</v>
      </c>
      <c r="G72" s="52">
        <f t="shared" si="142"/>
        <v>2702993.1979999999</v>
      </c>
      <c r="H72" s="52">
        <f t="shared" si="142"/>
        <v>3643617.57</v>
      </c>
      <c r="I72" s="52">
        <f t="shared" si="142"/>
        <v>1568849.3940000001</v>
      </c>
      <c r="J72" s="52">
        <f t="shared" si="142"/>
        <v>2443879.9550000001</v>
      </c>
      <c r="K72" s="52">
        <f t="shared" si="142"/>
        <v>1284266.933</v>
      </c>
      <c r="L72" s="52">
        <f t="shared" si="142"/>
        <v>1340541.49</v>
      </c>
      <c r="M72" s="52">
        <f t="shared" si="142"/>
        <v>2547434.594</v>
      </c>
      <c r="N72" s="52">
        <f t="shared" si="142"/>
        <v>2002556.7779999999</v>
      </c>
      <c r="O72" s="52">
        <f t="shared" si="142"/>
        <v>2095881.3759999999</v>
      </c>
      <c r="P72" s="52">
        <f t="shared" si="142"/>
        <v>1781942.5</v>
      </c>
      <c r="Q72" s="52">
        <f t="shared" si="142"/>
        <v>2280143.5649999999</v>
      </c>
      <c r="R72" s="52">
        <f t="shared" ref="R72:AC72" si="143">R59+R60</f>
        <v>1078009.3740000001</v>
      </c>
      <c r="S72" s="52">
        <f t="shared" si="143"/>
        <v>1576968.433</v>
      </c>
      <c r="T72" s="52">
        <f t="shared" si="143"/>
        <v>3107707.0380000002</v>
      </c>
      <c r="U72" s="52">
        <f t="shared" si="143"/>
        <v>2614828.5430000001</v>
      </c>
      <c r="V72" s="52">
        <f t="shared" si="143"/>
        <v>10504181.208999999</v>
      </c>
      <c r="W72" s="52">
        <f t="shared" si="143"/>
        <v>8562002</v>
      </c>
      <c r="X72" s="52">
        <f t="shared" si="143"/>
        <v>2576848.128</v>
      </c>
      <c r="Y72" s="52">
        <f t="shared" si="143"/>
        <v>3145779.0830000001</v>
      </c>
      <c r="Z72" s="52">
        <f t="shared" si="143"/>
        <v>2210891.591</v>
      </c>
      <c r="AA72" s="52">
        <f t="shared" si="143"/>
        <v>2850832.2609999999</v>
      </c>
      <c r="AB72" s="52">
        <f t="shared" si="143"/>
        <v>2943556</v>
      </c>
      <c r="AC72" s="52">
        <f t="shared" si="143"/>
        <v>2928640.52</v>
      </c>
      <c r="AD72" s="52">
        <f t="shared" ref="AD72:BC72" si="144">AD59+AD60</f>
        <v>1421408.777</v>
      </c>
      <c r="AE72" s="52">
        <f t="shared" si="144"/>
        <v>1759459.7320000001</v>
      </c>
      <c r="AF72" s="52">
        <f t="shared" si="144"/>
        <v>818450.43400000001</v>
      </c>
      <c r="AG72" s="52">
        <f t="shared" si="144"/>
        <v>1073936.905</v>
      </c>
      <c r="AH72" s="52">
        <f t="shared" si="144"/>
        <v>1737579.1040000001</v>
      </c>
      <c r="AI72" s="52">
        <f t="shared" si="144"/>
        <v>2128611.1889999998</v>
      </c>
      <c r="AJ72" s="52">
        <f t="shared" si="144"/>
        <v>1582455.78</v>
      </c>
      <c r="AK72" s="52">
        <f t="shared" si="144"/>
        <v>1102127.2960000001</v>
      </c>
      <c r="AL72" s="52">
        <f t="shared" si="144"/>
        <v>500000</v>
      </c>
      <c r="AM72" s="52">
        <f t="shared" si="144"/>
        <v>1592706.5859999999</v>
      </c>
      <c r="AN72" s="52">
        <f t="shared" si="144"/>
        <v>1929748.4639999999</v>
      </c>
      <c r="AO72" s="52">
        <f t="shared" si="144"/>
        <v>708450.71299999999</v>
      </c>
      <c r="AP72" s="52">
        <f t="shared" si="144"/>
        <v>46418.106</v>
      </c>
      <c r="AQ72" s="52">
        <f t="shared" si="144"/>
        <v>1651405.301</v>
      </c>
      <c r="AR72" s="52">
        <f t="shared" si="144"/>
        <v>1873258.23</v>
      </c>
      <c r="AS72" s="52">
        <f t="shared" si="144"/>
        <v>2381396.7310000001</v>
      </c>
      <c r="AT72" s="52">
        <f t="shared" si="144"/>
        <v>924414.27599999995</v>
      </c>
      <c r="AU72" s="52">
        <f t="shared" si="144"/>
        <v>1258393.25</v>
      </c>
      <c r="AV72" s="52">
        <f t="shared" si="144"/>
        <v>1669149.5260000001</v>
      </c>
      <c r="AW72" s="52">
        <f t="shared" si="144"/>
        <v>1878712.608</v>
      </c>
      <c r="AX72" s="52">
        <f t="shared" si="144"/>
        <v>2173624.9029999999</v>
      </c>
      <c r="AY72" s="52">
        <f t="shared" si="144"/>
        <v>1494361.534</v>
      </c>
      <c r="AZ72" s="52">
        <f t="shared" si="144"/>
        <v>1268441.892</v>
      </c>
      <c r="BA72" s="52">
        <f t="shared" si="144"/>
        <v>1563256.5260000001</v>
      </c>
      <c r="BB72" s="52">
        <f t="shared" si="144"/>
        <v>2080461.531</v>
      </c>
      <c r="BC72" s="52">
        <f t="shared" si="144"/>
        <v>2515228.074</v>
      </c>
      <c r="BD72" s="52">
        <f t="shared" ref="BD72:BE72" si="145">BD59+BD60</f>
        <v>3239444.3509999998</v>
      </c>
      <c r="BE72" s="52">
        <f t="shared" si="145"/>
        <v>2486935.3319999999</v>
      </c>
      <c r="BF72" s="52">
        <f t="shared" ref="BF72:BG72" si="146">BF59+BF60</f>
        <v>2548906.2990000001</v>
      </c>
      <c r="BG72" s="52">
        <f t="shared" si="146"/>
        <v>3941702.3259999999</v>
      </c>
      <c r="BH72" s="52">
        <f t="shared" ref="BH72:BI72" si="147">BH59+BH60</f>
        <v>4127450.27</v>
      </c>
      <c r="BI72" s="52">
        <f t="shared" si="147"/>
        <v>2136415.4750000001</v>
      </c>
      <c r="BJ72" s="52">
        <f t="shared" ref="BJ72:BK72" si="148">BJ59+BJ60</f>
        <v>1572797.6129999999</v>
      </c>
      <c r="BK72" s="52">
        <f t="shared" si="148"/>
        <v>552838.25800000003</v>
      </c>
      <c r="BL72" s="52">
        <f t="shared" ref="BL72:BM72" si="149">BL59+BL60</f>
        <v>2086560.2590000001</v>
      </c>
      <c r="BM72" s="52">
        <f t="shared" si="149"/>
        <v>3054462.3730000001</v>
      </c>
      <c r="BN72" s="53">
        <f t="shared" si="141"/>
        <v>27288739.788000006</v>
      </c>
      <c r="BO72" s="7"/>
    </row>
    <row r="73" spans="1:81" x14ac:dyDescent="0.25">
      <c r="A73" s="43" t="s">
        <v>25</v>
      </c>
      <c r="B73" s="55">
        <f>SUM(B70:B72)</f>
        <v>11784378.664000001</v>
      </c>
      <c r="C73" s="55">
        <f>SUM(C70:C72)</f>
        <v>13949476.01</v>
      </c>
      <c r="D73" s="55">
        <f>SUM(D70:D72)</f>
        <v>9945453.8229999989</v>
      </c>
      <c r="E73" s="55">
        <f>SUM(E70:E72)</f>
        <v>11553245.32</v>
      </c>
      <c r="F73" s="55">
        <f>SUM(F70:F72)</f>
        <v>8487552.318</v>
      </c>
      <c r="G73" s="55">
        <f t="shared" ref="G73:M73" si="150">SUM(G70:G72)</f>
        <v>15706103.714000002</v>
      </c>
      <c r="H73" s="55">
        <f t="shared" si="150"/>
        <v>15868282.701000001</v>
      </c>
      <c r="I73" s="55">
        <f t="shared" si="150"/>
        <v>9472544.436999999</v>
      </c>
      <c r="J73" s="55">
        <f t="shared" si="150"/>
        <v>10227778.261</v>
      </c>
      <c r="K73" s="55">
        <f t="shared" si="150"/>
        <v>15308067.873000002</v>
      </c>
      <c r="L73" s="55">
        <f t="shared" si="150"/>
        <v>13384618.582</v>
      </c>
      <c r="M73" s="55">
        <f t="shared" si="150"/>
        <v>14129923.91</v>
      </c>
      <c r="N73" s="55">
        <f t="shared" ref="N73:T73" si="151">SUM(N70:N72)</f>
        <v>17400244.881000001</v>
      </c>
      <c r="O73" s="55">
        <f t="shared" si="151"/>
        <v>16395701.518000001</v>
      </c>
      <c r="P73" s="55">
        <f t="shared" si="151"/>
        <v>11723034.019000001</v>
      </c>
      <c r="Q73" s="55">
        <f t="shared" si="151"/>
        <v>10693939.223999998</v>
      </c>
      <c r="R73" s="55">
        <f t="shared" si="151"/>
        <v>23378185.214000002</v>
      </c>
      <c r="S73" s="55">
        <f t="shared" si="151"/>
        <v>27095835.550999999</v>
      </c>
      <c r="T73" s="55">
        <f t="shared" si="151"/>
        <v>18607561.16</v>
      </c>
      <c r="U73" s="55">
        <f>SUM(U70:U72)</f>
        <v>13425447.426000001</v>
      </c>
      <c r="V73" s="55">
        <f>SUM(V70:V72)</f>
        <v>20212805.936999999</v>
      </c>
      <c r="W73" s="55">
        <f>SUM(W70:W72)</f>
        <v>20043719.919</v>
      </c>
      <c r="X73" s="55">
        <f>SUM(X70:X72)</f>
        <v>19210045.313999999</v>
      </c>
      <c r="Y73" s="55">
        <f>SUM(Y70:Y72)</f>
        <v>17899998.162999999</v>
      </c>
      <c r="Z73" s="55">
        <f t="shared" ref="Z73:AE73" si="152">SUM(Z70:Z72)</f>
        <v>16351746.335000001</v>
      </c>
      <c r="AA73" s="55">
        <f t="shared" si="152"/>
        <v>26431522.265000001</v>
      </c>
      <c r="AB73" s="55">
        <f t="shared" si="152"/>
        <v>20012415.634999998</v>
      </c>
      <c r="AC73" s="55">
        <f t="shared" si="152"/>
        <v>16326412.344000001</v>
      </c>
      <c r="AD73" s="55">
        <f t="shared" si="152"/>
        <v>14110794.540999999</v>
      </c>
      <c r="AE73" s="55">
        <f t="shared" si="152"/>
        <v>14786137.388</v>
      </c>
      <c r="AF73" s="55">
        <f t="shared" ref="AF73:BC73" si="153">SUM(AF70:AF72)</f>
        <v>12805058.086000001</v>
      </c>
      <c r="AG73" s="55">
        <f t="shared" si="153"/>
        <v>7370675.5260000005</v>
      </c>
      <c r="AH73" s="55">
        <f t="shared" si="153"/>
        <v>9692216.0730000008</v>
      </c>
      <c r="AI73" s="55">
        <f t="shared" si="153"/>
        <v>17373993.887000002</v>
      </c>
      <c r="AJ73" s="55">
        <f t="shared" si="153"/>
        <v>11123529.225</v>
      </c>
      <c r="AK73" s="55">
        <f t="shared" si="153"/>
        <v>11334690.285</v>
      </c>
      <c r="AL73" s="55">
        <f t="shared" si="153"/>
        <v>11472897.127999999</v>
      </c>
      <c r="AM73" s="55">
        <f t="shared" si="153"/>
        <v>11456483.777999999</v>
      </c>
      <c r="AN73" s="55">
        <f t="shared" si="153"/>
        <v>10044051.769000001</v>
      </c>
      <c r="AO73" s="55">
        <f t="shared" si="153"/>
        <v>10983697.478</v>
      </c>
      <c r="AP73" s="55">
        <f t="shared" si="153"/>
        <v>10058972.605</v>
      </c>
      <c r="AQ73" s="55">
        <f t="shared" si="153"/>
        <v>10351967.318999998</v>
      </c>
      <c r="AR73" s="55">
        <f t="shared" si="153"/>
        <v>11269018.810000001</v>
      </c>
      <c r="AS73" s="55">
        <f t="shared" si="153"/>
        <v>16306579.285</v>
      </c>
      <c r="AT73" s="55">
        <f t="shared" si="153"/>
        <v>19044852.203000002</v>
      </c>
      <c r="AU73" s="55">
        <f t="shared" si="153"/>
        <v>16902605.811999999</v>
      </c>
      <c r="AV73" s="55">
        <f t="shared" si="153"/>
        <v>17029355.313999999</v>
      </c>
      <c r="AW73" s="55">
        <f t="shared" si="153"/>
        <v>17534030.244999997</v>
      </c>
      <c r="AX73" s="55">
        <f t="shared" si="153"/>
        <v>17465381.035999998</v>
      </c>
      <c r="AY73" s="55">
        <f t="shared" si="153"/>
        <v>15466897.742999999</v>
      </c>
      <c r="AZ73" s="55">
        <f t="shared" si="153"/>
        <v>13693219.147</v>
      </c>
      <c r="BA73" s="55">
        <f t="shared" si="153"/>
        <v>14165795.978</v>
      </c>
      <c r="BB73" s="55">
        <f t="shared" si="153"/>
        <v>22320409.958000001</v>
      </c>
      <c r="BC73" s="55">
        <f t="shared" si="153"/>
        <v>20372536.614</v>
      </c>
      <c r="BD73" s="55">
        <f t="shared" ref="BD73:BE73" si="154">SUM(BD70:BD72)</f>
        <v>20187034.539999999</v>
      </c>
      <c r="BE73" s="55">
        <f t="shared" si="154"/>
        <v>15862893.498000002</v>
      </c>
      <c r="BF73" s="55">
        <f t="shared" ref="BF73:BG73" si="155">SUM(BF70:BF72)</f>
        <v>18895529.412</v>
      </c>
      <c r="BG73" s="55">
        <f t="shared" si="155"/>
        <v>13544307.941</v>
      </c>
      <c r="BH73" s="55">
        <f t="shared" ref="BH73:BI73" si="156">SUM(BH70:BH72)</f>
        <v>16446420.364</v>
      </c>
      <c r="BI73" s="55">
        <f t="shared" si="156"/>
        <v>13069517.989</v>
      </c>
      <c r="BJ73" s="55">
        <f t="shared" ref="BJ73:BK73" si="157">SUM(BJ70:BJ72)</f>
        <v>14950384.930000002</v>
      </c>
      <c r="BK73" s="55">
        <f t="shared" si="157"/>
        <v>13343749.389</v>
      </c>
      <c r="BL73" s="55">
        <f t="shared" ref="BL73:BM73" si="158">SUM(BL70:BL72)</f>
        <v>12655282.5</v>
      </c>
      <c r="BM73" s="55">
        <f t="shared" si="158"/>
        <v>13227000.991</v>
      </c>
      <c r="BN73" s="54">
        <f>SUM(BN70:BN72)</f>
        <v>181648067.13500002</v>
      </c>
      <c r="BO73" s="7"/>
    </row>
    <row r="74" spans="1:81" x14ac:dyDescent="0.25">
      <c r="F74" s="1"/>
      <c r="G74" s="1"/>
      <c r="H74" s="1"/>
      <c r="I74" s="1"/>
      <c r="J74" s="1"/>
      <c r="K74" s="1"/>
      <c r="L74" s="1"/>
      <c r="M74" s="1"/>
    </row>
    <row r="75" spans="1:81" x14ac:dyDescent="0.25">
      <c r="A75" s="37" t="s">
        <v>23</v>
      </c>
      <c r="B75" s="38">
        <v>44075</v>
      </c>
      <c r="C75" s="38">
        <v>44105</v>
      </c>
      <c r="D75" s="38">
        <v>44136</v>
      </c>
      <c r="E75" s="38">
        <v>44166</v>
      </c>
      <c r="F75" s="38">
        <v>44197</v>
      </c>
      <c r="G75" s="38">
        <v>44228</v>
      </c>
      <c r="H75" s="38">
        <v>44256</v>
      </c>
      <c r="I75" s="38">
        <v>44287</v>
      </c>
      <c r="J75" s="38">
        <v>44317</v>
      </c>
      <c r="K75" s="38">
        <v>44348</v>
      </c>
      <c r="L75" s="38">
        <v>44378</v>
      </c>
      <c r="M75" s="38">
        <v>44409</v>
      </c>
      <c r="N75" s="38">
        <v>44440</v>
      </c>
      <c r="O75" s="38">
        <v>44470</v>
      </c>
      <c r="P75" s="38">
        <v>44501</v>
      </c>
      <c r="Q75" s="38">
        <v>44531</v>
      </c>
      <c r="R75" s="38">
        <v>44562</v>
      </c>
      <c r="S75" s="38">
        <v>44593</v>
      </c>
      <c r="T75" s="38">
        <v>44621</v>
      </c>
      <c r="U75" s="38">
        <v>44652</v>
      </c>
      <c r="V75" s="38">
        <v>44682</v>
      </c>
      <c r="W75" s="38">
        <v>44713</v>
      </c>
      <c r="X75" s="38">
        <v>44743</v>
      </c>
      <c r="Y75" s="38">
        <v>44774</v>
      </c>
      <c r="Z75" s="38">
        <v>44805</v>
      </c>
      <c r="AA75" s="38">
        <v>44835</v>
      </c>
      <c r="AB75" s="38">
        <v>44866</v>
      </c>
      <c r="AC75" s="38">
        <v>44896</v>
      </c>
      <c r="AD75" s="38">
        <v>44927</v>
      </c>
      <c r="AE75" s="38">
        <v>44958</v>
      </c>
      <c r="AF75" s="38">
        <v>44986</v>
      </c>
      <c r="AG75" s="38">
        <v>45017</v>
      </c>
      <c r="AH75" s="38">
        <v>45047</v>
      </c>
      <c r="AI75" s="38">
        <v>45078</v>
      </c>
      <c r="AJ75" s="38">
        <v>45108</v>
      </c>
      <c r="AK75" s="38">
        <v>45139</v>
      </c>
      <c r="AL75" s="38">
        <v>45170</v>
      </c>
      <c r="AM75" s="38">
        <v>45200</v>
      </c>
      <c r="AN75" s="38">
        <v>45231</v>
      </c>
      <c r="AO75" s="38">
        <v>45261</v>
      </c>
      <c r="AP75" s="38">
        <v>45292</v>
      </c>
      <c r="AQ75" s="38">
        <v>45323</v>
      </c>
      <c r="AR75" s="38">
        <v>45352</v>
      </c>
      <c r="AS75" s="38">
        <v>45383</v>
      </c>
      <c r="AT75" s="38">
        <v>45413</v>
      </c>
      <c r="AU75" s="38">
        <v>45444</v>
      </c>
      <c r="AV75" s="38">
        <v>45474</v>
      </c>
      <c r="AW75" s="38">
        <v>45505</v>
      </c>
      <c r="AX75" s="38">
        <v>45536</v>
      </c>
      <c r="AY75" s="38">
        <v>45566</v>
      </c>
      <c r="AZ75" s="38">
        <v>45597</v>
      </c>
      <c r="BA75" s="38">
        <v>45627</v>
      </c>
      <c r="BB75" s="38">
        <v>45658</v>
      </c>
      <c r="BC75" s="38">
        <v>45689</v>
      </c>
      <c r="BD75" s="38">
        <v>45717</v>
      </c>
      <c r="BE75" s="38">
        <v>45748</v>
      </c>
      <c r="BF75" s="38">
        <v>45778</v>
      </c>
      <c r="BG75" s="38">
        <v>45809</v>
      </c>
      <c r="BH75" s="38">
        <v>45839</v>
      </c>
      <c r="BI75" s="38">
        <v>45870</v>
      </c>
      <c r="BJ75" s="38">
        <v>45901</v>
      </c>
      <c r="BK75" s="38">
        <v>45931</v>
      </c>
      <c r="BL75" s="38">
        <v>45962</v>
      </c>
      <c r="BM75" s="38">
        <v>45992</v>
      </c>
      <c r="BO75" s="18" t="s">
        <v>36</v>
      </c>
    </row>
    <row r="76" spans="1:81" x14ac:dyDescent="0.25">
      <c r="A76" s="51" t="s">
        <v>19</v>
      </c>
      <c r="B76" s="41">
        <v>20.079999999999998</v>
      </c>
      <c r="C76" s="41">
        <v>20.079999999999998</v>
      </c>
      <c r="D76" s="41">
        <v>20.079999999999998</v>
      </c>
      <c r="E76" s="51">
        <v>20.079999999999998</v>
      </c>
      <c r="F76" s="41">
        <v>20.079999999999998</v>
      </c>
      <c r="G76" s="41">
        <v>20.079999999999998</v>
      </c>
      <c r="H76" s="41">
        <v>20.079999999999998</v>
      </c>
      <c r="I76" s="41">
        <v>20.079999999999998</v>
      </c>
      <c r="J76" s="41">
        <v>20.079999999999998</v>
      </c>
      <c r="K76" s="41">
        <v>20.082199999999993</v>
      </c>
      <c r="L76" s="41">
        <v>20.082199999999993</v>
      </c>
      <c r="M76" s="41">
        <v>20.082199999999993</v>
      </c>
      <c r="N76" s="41">
        <v>20.082199999999993</v>
      </c>
      <c r="O76" s="41">
        <v>20.082199999999993</v>
      </c>
      <c r="P76" s="41">
        <v>20.082199999999993</v>
      </c>
      <c r="Q76" s="41">
        <v>20.082199999999993</v>
      </c>
      <c r="R76" s="41">
        <v>20.082199999999993</v>
      </c>
      <c r="S76" s="41">
        <v>20.082199999999993</v>
      </c>
      <c r="T76" s="41">
        <v>20.082199999999993</v>
      </c>
      <c r="U76" s="41">
        <v>20.082199999999993</v>
      </c>
      <c r="V76" s="41">
        <v>20.082199999999993</v>
      </c>
      <c r="W76" s="41">
        <v>20.082199999999993</v>
      </c>
      <c r="X76" s="41">
        <v>24.083300000000001</v>
      </c>
      <c r="Y76" s="41">
        <v>26.074540507370902</v>
      </c>
      <c r="Z76" s="41">
        <v>26.074540507370902</v>
      </c>
      <c r="AA76" s="41">
        <v>26.074540507370902</v>
      </c>
      <c r="AB76" s="41">
        <v>26.074540507370902</v>
      </c>
      <c r="AC76" s="41">
        <v>30.662186185665281</v>
      </c>
      <c r="AD76" s="41">
        <v>30.662186185665281</v>
      </c>
      <c r="AE76" s="41">
        <v>30.662186185665281</v>
      </c>
      <c r="AF76" s="41">
        <v>30.662186185665281</v>
      </c>
      <c r="AG76" s="41">
        <v>30.662186185665281</v>
      </c>
      <c r="AH76" s="41">
        <v>30.662186185665281</v>
      </c>
      <c r="AI76" s="41">
        <v>30.662186185665281</v>
      </c>
      <c r="AJ76" s="41">
        <v>30.662186185665281</v>
      </c>
      <c r="AK76" s="41">
        <v>30.662186185665281</v>
      </c>
      <c r="AL76" s="41">
        <v>30.662186185665281</v>
      </c>
      <c r="AM76" s="41">
        <v>30.662186185665281</v>
      </c>
      <c r="AN76" s="41">
        <v>30.662186185665281</v>
      </c>
      <c r="AO76" s="41">
        <v>30.662186185665281</v>
      </c>
      <c r="AP76" s="41">
        <v>30.662186185665281</v>
      </c>
      <c r="AQ76" s="69">
        <v>30.1341</v>
      </c>
      <c r="AR76" s="41">
        <f>2.4*12</f>
        <v>28.799999999999997</v>
      </c>
      <c r="AS76" s="41">
        <f>2.39*12</f>
        <v>28.68</v>
      </c>
      <c r="AT76" s="41">
        <f>2.29*12</f>
        <v>27.48</v>
      </c>
      <c r="AU76" s="41">
        <v>26.949100000000001</v>
      </c>
      <c r="AV76" s="41">
        <v>25.661100000000001</v>
      </c>
      <c r="AW76" s="41">
        <v>25.661100000000001</v>
      </c>
      <c r="AX76" s="41">
        <v>24.838000000000001</v>
      </c>
      <c r="AY76" s="41">
        <v>24.838000000000001</v>
      </c>
      <c r="AZ76" s="41">
        <v>24.622</v>
      </c>
      <c r="BA76" s="41">
        <v>23.4039</v>
      </c>
      <c r="BB76" s="41">
        <v>22.1844</v>
      </c>
      <c r="BC76" s="41">
        <v>22.1844</v>
      </c>
      <c r="BD76" s="41">
        <v>22.1844</v>
      </c>
      <c r="BE76" s="41">
        <v>22.1844</v>
      </c>
      <c r="BF76" s="41">
        <v>22.1844</v>
      </c>
      <c r="BG76" s="41">
        <v>22.1844</v>
      </c>
      <c r="BH76" s="41">
        <v>22.457899999999999</v>
      </c>
      <c r="BI76" s="41">
        <v>22.4578977793207</v>
      </c>
      <c r="BJ76" s="41">
        <v>22.3232</v>
      </c>
      <c r="BK76" s="41">
        <v>21.795400000000001</v>
      </c>
      <c r="BL76" s="41">
        <v>22.4334302706167</v>
      </c>
      <c r="BM76" s="41">
        <v>22.4578977793207</v>
      </c>
    </row>
    <row r="77" spans="1:81" x14ac:dyDescent="0.25">
      <c r="A77" s="51" t="s">
        <v>18</v>
      </c>
      <c r="B77" s="41">
        <v>21.09</v>
      </c>
      <c r="C77" s="41">
        <v>21.09</v>
      </c>
      <c r="D77" s="41">
        <v>21.09</v>
      </c>
      <c r="E77" s="51">
        <v>21.09</v>
      </c>
      <c r="F77" s="41">
        <v>21.09</v>
      </c>
      <c r="G77" s="41">
        <v>21.09</v>
      </c>
      <c r="H77" s="41">
        <v>21.09</v>
      </c>
      <c r="I77" s="41">
        <v>21.09</v>
      </c>
      <c r="J77" s="41">
        <v>21.09</v>
      </c>
      <c r="K77" s="41">
        <v>21.09</v>
      </c>
      <c r="L77" s="41">
        <v>21.09</v>
      </c>
      <c r="M77" s="41">
        <v>21.09</v>
      </c>
      <c r="N77" s="41">
        <v>21.09</v>
      </c>
      <c r="O77" s="41">
        <v>21.09</v>
      </c>
      <c r="P77" s="41">
        <v>21.09</v>
      </c>
      <c r="Q77" s="41">
        <v>21.09</v>
      </c>
      <c r="R77" s="41">
        <v>21.09</v>
      </c>
      <c r="S77" s="41">
        <v>21.09</v>
      </c>
      <c r="T77" s="41">
        <v>21.09</v>
      </c>
      <c r="U77" s="41">
        <v>21.09</v>
      </c>
      <c r="V77" s="41">
        <v>21.09</v>
      </c>
      <c r="W77" s="41">
        <v>21.09</v>
      </c>
      <c r="X77" s="41">
        <v>25.091899999999999</v>
      </c>
      <c r="Y77" s="41">
        <v>27.065354045150499</v>
      </c>
      <c r="Z77" s="41">
        <v>27.065354045150499</v>
      </c>
      <c r="AA77" s="41">
        <v>27.065354045150499</v>
      </c>
      <c r="AB77" s="41">
        <v>27.065354045150499</v>
      </c>
      <c r="AC77" s="41">
        <v>32.17540467782721</v>
      </c>
      <c r="AD77" s="41">
        <v>32.17540467782721</v>
      </c>
      <c r="AE77" s="41">
        <v>32.17540467782721</v>
      </c>
      <c r="AF77" s="41">
        <v>32.17540467782721</v>
      </c>
      <c r="AG77" s="41">
        <v>32.17540467782721</v>
      </c>
      <c r="AH77" s="41">
        <v>32.17540467782721</v>
      </c>
      <c r="AI77" s="41">
        <v>32.17540467782721</v>
      </c>
      <c r="AJ77" s="41">
        <v>32.17540467782721</v>
      </c>
      <c r="AK77" s="41">
        <v>32.17540467782721</v>
      </c>
      <c r="AL77" s="41">
        <v>32.17540467782721</v>
      </c>
      <c r="AM77" s="41">
        <v>32.17540467782721</v>
      </c>
      <c r="AN77" s="41">
        <v>32.17540467782721</v>
      </c>
      <c r="AO77" s="41">
        <v>32.17540467782721</v>
      </c>
      <c r="AP77" s="41">
        <v>32.17540467782721</v>
      </c>
      <c r="AQ77" s="41">
        <v>30.1341</v>
      </c>
      <c r="AR77" s="41">
        <f>2.4*12</f>
        <v>28.799999999999997</v>
      </c>
      <c r="AS77" s="41">
        <f>2.39*12</f>
        <v>28.68</v>
      </c>
      <c r="AT77" s="41">
        <f>2.29*12</f>
        <v>27.48</v>
      </c>
      <c r="AU77" s="41">
        <v>26.949100000000001</v>
      </c>
      <c r="AV77" s="41">
        <v>25.661100000000001</v>
      </c>
      <c r="AW77" s="41">
        <v>25.661100000000001</v>
      </c>
      <c r="AX77" s="41">
        <v>24.838000000000001</v>
      </c>
      <c r="AY77" s="41">
        <v>24.838000000000001</v>
      </c>
      <c r="AZ77" s="41">
        <v>24.622</v>
      </c>
      <c r="BA77" s="41">
        <v>23.4039</v>
      </c>
      <c r="BB77" s="41">
        <v>22.1844</v>
      </c>
      <c r="BC77" s="41">
        <v>22.1844</v>
      </c>
      <c r="BD77" s="41">
        <v>22.1844</v>
      </c>
      <c r="BE77" s="41">
        <v>22.1844</v>
      </c>
      <c r="BF77" s="41">
        <v>22.1844</v>
      </c>
      <c r="BG77" s="41">
        <v>22.1844</v>
      </c>
      <c r="BH77" s="41">
        <v>22.457899999999999</v>
      </c>
      <c r="BI77" s="41">
        <v>22.4578977793207</v>
      </c>
      <c r="BJ77" s="41">
        <v>22.3232</v>
      </c>
      <c r="BK77" s="41">
        <v>21.795400000000001</v>
      </c>
      <c r="BL77" s="41">
        <v>22.4334302706167</v>
      </c>
      <c r="BM77" s="41">
        <v>22.4578977793207</v>
      </c>
    </row>
    <row r="78" spans="1:81" x14ac:dyDescent="0.25">
      <c r="A78" s="51" t="s">
        <v>17</v>
      </c>
      <c r="B78" s="41">
        <v>18.168535792844548</v>
      </c>
      <c r="C78" s="41">
        <v>16.26131997815758</v>
      </c>
      <c r="D78" s="41">
        <v>15.76890212770923</v>
      </c>
      <c r="E78" s="41">
        <v>17.993517015579776</v>
      </c>
      <c r="F78" s="41">
        <v>18.419546878883207</v>
      </c>
      <c r="G78" s="41">
        <v>17.707280375161581</v>
      </c>
      <c r="H78" s="41">
        <v>17.40539729568922</v>
      </c>
      <c r="I78" s="41">
        <v>17.043180362680392</v>
      </c>
      <c r="J78" s="41">
        <v>16.58737096958939</v>
      </c>
      <c r="K78" s="41">
        <v>11.874958801703652</v>
      </c>
      <c r="L78" s="41">
        <v>15.550538596374722</v>
      </c>
      <c r="M78" s="41">
        <v>17.498827193813636</v>
      </c>
      <c r="N78" s="41">
        <v>16.969723775281849</v>
      </c>
      <c r="O78" s="41">
        <v>16.116737904027971</v>
      </c>
      <c r="P78" s="41">
        <v>16.746213281478092</v>
      </c>
      <c r="Q78" s="41">
        <v>16.990469481072147</v>
      </c>
      <c r="R78" s="41">
        <v>16.993092946821449</v>
      </c>
      <c r="S78" s="41">
        <v>16.350082097281209</v>
      </c>
      <c r="T78" s="41">
        <v>16.555266781290488</v>
      </c>
      <c r="U78" s="41">
        <v>17.372649840513173</v>
      </c>
      <c r="V78" s="41">
        <v>18.170000000000002</v>
      </c>
      <c r="W78" s="41">
        <v>18.604456355499302</v>
      </c>
      <c r="X78" s="41">
        <v>18.484136069336326</v>
      </c>
      <c r="Y78" s="41">
        <v>18.79715103802052</v>
      </c>
      <c r="Z78" s="41">
        <v>20.130689580356574</v>
      </c>
      <c r="AA78" s="41">
        <v>22.36165172012165</v>
      </c>
      <c r="AB78" s="41">
        <v>22.686152832305684</v>
      </c>
      <c r="AC78" s="41">
        <v>22.234607807678188</v>
      </c>
      <c r="AD78" s="41">
        <v>24.981108214316478</v>
      </c>
      <c r="AE78" s="41">
        <v>24.421261876725843</v>
      </c>
      <c r="AF78" s="41">
        <v>23.986073174112608</v>
      </c>
      <c r="AG78" s="41">
        <v>22.897455164016964</v>
      </c>
      <c r="AH78" s="41">
        <v>22.963579105195986</v>
      </c>
      <c r="AI78" s="41">
        <v>23.28435988047346</v>
      </c>
      <c r="AJ78" s="68">
        <v>22.365942761926327</v>
      </c>
      <c r="AK78" s="68">
        <v>24.085858034234228</v>
      </c>
      <c r="AL78" s="68">
        <v>22.862992773722322</v>
      </c>
      <c r="AM78" s="68">
        <v>22.862992773722322</v>
      </c>
      <c r="AN78" s="68">
        <v>22.56319181124227</v>
      </c>
      <c r="AO78" s="68">
        <v>23.476697130719959</v>
      </c>
      <c r="AP78" s="68">
        <v>23.7621201395811</v>
      </c>
      <c r="AQ78" s="68">
        <v>22.670317672041158</v>
      </c>
      <c r="AR78" s="68">
        <v>22.667248264830025</v>
      </c>
      <c r="AS78" s="68">
        <v>23.473381186648655</v>
      </c>
      <c r="AT78" s="68">
        <v>23.471955961708257</v>
      </c>
      <c r="AU78" s="68">
        <v>22.942725171863255</v>
      </c>
      <c r="AV78" s="68">
        <v>22.207191103591111</v>
      </c>
      <c r="AW78" s="68">
        <v>21.086173577653341</v>
      </c>
      <c r="AX78" s="68">
        <v>21.893383178471332</v>
      </c>
      <c r="AY78" s="68">
        <v>21.069844084366082</v>
      </c>
      <c r="AZ78" s="68">
        <v>20.894311237771493</v>
      </c>
      <c r="BA78" s="68">
        <v>20.632443999833445</v>
      </c>
      <c r="BB78" s="68">
        <v>20.903091861127386</v>
      </c>
      <c r="BC78" s="68">
        <v>19.686011646966179</v>
      </c>
      <c r="BD78" s="68">
        <v>18.555488454946502</v>
      </c>
      <c r="BE78" s="68">
        <v>16.777211660454025</v>
      </c>
      <c r="BF78" s="68">
        <v>16.903770791196362</v>
      </c>
      <c r="BG78" s="68">
        <v>17.997327020294186</v>
      </c>
      <c r="BH78" s="68">
        <v>18.333362861738077</v>
      </c>
      <c r="BI78" s="68">
        <v>18.106005224134844</v>
      </c>
      <c r="BJ78" s="68">
        <v>17.543477370678193</v>
      </c>
      <c r="BK78" s="68">
        <v>17.76183216386562</v>
      </c>
      <c r="BL78" s="68">
        <v>18.322557324588168</v>
      </c>
      <c r="BM78" s="68">
        <v>19.179423525168279</v>
      </c>
      <c r="BO78" s="15"/>
    </row>
    <row r="79" spans="1:81" s="11" customFormat="1" x14ac:dyDescent="0.25">
      <c r="A79" s="40" t="s">
        <v>50</v>
      </c>
      <c r="B79" s="63"/>
      <c r="C79" s="40"/>
      <c r="D79" s="40"/>
      <c r="E79" s="40"/>
      <c r="F79" s="64"/>
      <c r="G79" s="64"/>
      <c r="H79" s="40"/>
      <c r="I79" s="40"/>
      <c r="J79" s="40"/>
      <c r="K79" s="64"/>
      <c r="L79" s="64"/>
      <c r="M79" s="64"/>
      <c r="N79" s="63"/>
      <c r="O79" s="40"/>
      <c r="P79" s="40"/>
      <c r="Q79" s="40"/>
      <c r="R79" s="64">
        <v>20.788307093197577</v>
      </c>
      <c r="S79" s="64">
        <v>21.058974414152356</v>
      </c>
      <c r="T79" s="64">
        <v>21.273437005103712</v>
      </c>
      <c r="U79" s="64">
        <v>21.822762578661482</v>
      </c>
      <c r="V79" s="64">
        <v>1.0000000000000001E-5</v>
      </c>
      <c r="W79" s="64">
        <v>1.0000000000000001E-5</v>
      </c>
      <c r="X79" s="64">
        <v>1.0000000000000001E-5</v>
      </c>
      <c r="Y79" s="64">
        <v>1.0000000000000001E-5</v>
      </c>
      <c r="Z79" s="64">
        <v>1.0000000000000001E-5</v>
      </c>
      <c r="AA79" s="64">
        <v>23.629510663289793</v>
      </c>
      <c r="AB79" s="64">
        <v>23.670630307481904</v>
      </c>
      <c r="AC79" s="64">
        <v>23.97627949446176</v>
      </c>
      <c r="AD79" s="64">
        <v>26.189593980097335</v>
      </c>
      <c r="AE79" s="64">
        <v>26.597036242524229</v>
      </c>
      <c r="AF79" s="41">
        <v>27.607087654907346</v>
      </c>
      <c r="AG79" s="64">
        <v>1.0000000000000001E-5</v>
      </c>
      <c r="AH79" s="64">
        <v>1.0000000000000001E-5</v>
      </c>
      <c r="AI79" s="64">
        <v>1.0000000000000001E-5</v>
      </c>
      <c r="AJ79" s="64">
        <v>1.0000000000000001E-5</v>
      </c>
      <c r="AK79" s="64">
        <v>1.0000000000000001E-5</v>
      </c>
      <c r="AL79" s="64">
        <v>1.0000000000000001E-5</v>
      </c>
      <c r="AM79" s="64">
        <v>1.0000000000000001E-5</v>
      </c>
      <c r="AN79" s="64">
        <v>1.0000000000000001E-5</v>
      </c>
      <c r="AO79" s="64">
        <v>1.0000000000000001E-5</v>
      </c>
      <c r="AP79" s="64">
        <v>1.0000000000000001E-5</v>
      </c>
      <c r="AQ79" s="64">
        <v>1.0000000000000001E-5</v>
      </c>
      <c r="AR79" s="64">
        <v>1.0000000000000001E-5</v>
      </c>
      <c r="AS79" s="64">
        <v>28.847900000000003</v>
      </c>
      <c r="AT79" s="64">
        <v>1.0000000000000001E-5</v>
      </c>
      <c r="AU79" s="64">
        <v>1.0000000000000001E-5</v>
      </c>
      <c r="AV79" s="64">
        <v>1.0000000000000001E-5</v>
      </c>
      <c r="AW79" s="64">
        <v>1.0000000000000001E-5</v>
      </c>
      <c r="AX79" s="64">
        <v>1.0000000000000001E-5</v>
      </c>
      <c r="AY79" s="64">
        <v>1.0000000000000001E-5</v>
      </c>
      <c r="AZ79" s="64">
        <v>1.0000000000000001E-5</v>
      </c>
      <c r="BA79" s="64">
        <v>1.0000000000000001E-5</v>
      </c>
      <c r="BB79" s="64">
        <v>1.0000000000000001E-5</v>
      </c>
      <c r="BC79" s="64">
        <v>1.0000000000000001E-5</v>
      </c>
      <c r="BD79" s="64">
        <v>1.0000000000000001E-5</v>
      </c>
      <c r="BE79" s="64">
        <v>1.0000000000000001E-5</v>
      </c>
      <c r="BF79" s="64">
        <v>1.0000000000000001E-5</v>
      </c>
      <c r="BG79" s="64">
        <v>1.0000000000000001E-5</v>
      </c>
      <c r="BH79" s="64">
        <v>1.0000000000000001E-5</v>
      </c>
      <c r="BI79" s="64">
        <v>1.0000000000000001E-5</v>
      </c>
      <c r="BJ79" s="64">
        <v>1.0000000000000001E-5</v>
      </c>
      <c r="BK79" s="64">
        <v>1.0000000000000001E-5</v>
      </c>
      <c r="BL79" s="64">
        <v>1.0000000000000001E-5</v>
      </c>
      <c r="BM79" s="64">
        <v>1.0000000000000001E-5</v>
      </c>
      <c r="CC79"/>
    </row>
    <row r="80" spans="1:81" x14ac:dyDescent="0.25">
      <c r="A80" s="51" t="s">
        <v>15</v>
      </c>
      <c r="B80" s="41">
        <v>12.597542848607628</v>
      </c>
      <c r="C80" s="41">
        <v>13.034700000000001</v>
      </c>
      <c r="D80" s="51">
        <v>13.034700000000001</v>
      </c>
      <c r="E80" s="51">
        <v>13.034700000000001</v>
      </c>
      <c r="F80" s="41">
        <v>12.691301637137675</v>
      </c>
      <c r="G80" s="41">
        <v>13.034700000000001</v>
      </c>
      <c r="H80" s="41">
        <v>13.034700000000001</v>
      </c>
      <c r="I80" s="41">
        <v>13.034700000000001</v>
      </c>
      <c r="J80" s="41">
        <v>13.034699999999999</v>
      </c>
      <c r="K80" s="41">
        <v>13.034700000000001</v>
      </c>
      <c r="L80" s="41">
        <v>13.034700000000001</v>
      </c>
      <c r="M80" s="41">
        <v>13.034699999999999</v>
      </c>
      <c r="N80" s="41">
        <v>13.034700000000001</v>
      </c>
      <c r="O80" s="41">
        <v>13.034700000000003</v>
      </c>
      <c r="P80" s="51">
        <v>13.034700000000003</v>
      </c>
      <c r="Q80" s="51">
        <v>13.034700000000003</v>
      </c>
      <c r="R80" s="41">
        <v>12.682395713082048</v>
      </c>
      <c r="S80" s="41">
        <v>12.616393898351857</v>
      </c>
      <c r="T80" s="41">
        <v>12.411681782275224</v>
      </c>
      <c r="U80" s="41">
        <v>12.812806372952208</v>
      </c>
      <c r="V80" s="41">
        <v>12.67</v>
      </c>
      <c r="W80" s="41">
        <v>11.166768412935177</v>
      </c>
      <c r="X80" s="41">
        <v>10.799206581637051</v>
      </c>
      <c r="Y80" s="41">
        <v>12.138238767499496</v>
      </c>
      <c r="Z80" s="41">
        <v>13.453552110931158</v>
      </c>
      <c r="AA80" s="41">
        <v>14.469327210898642</v>
      </c>
      <c r="AB80" s="41">
        <v>14.456389679670689</v>
      </c>
      <c r="AC80" s="41">
        <v>15.04740458324825</v>
      </c>
      <c r="AD80" s="41">
        <v>17.127255099684461</v>
      </c>
      <c r="AE80" s="41">
        <v>17.239799999999999</v>
      </c>
      <c r="AF80" s="41">
        <v>17.239799999999999</v>
      </c>
      <c r="AG80" s="41">
        <v>17.239799999999999</v>
      </c>
      <c r="AH80" s="65">
        <v>17.239799999999999</v>
      </c>
      <c r="AI80" s="65">
        <v>17.239799999999999</v>
      </c>
      <c r="AJ80" s="65">
        <v>17.239799999999999</v>
      </c>
      <c r="AK80" s="65">
        <v>17.239799999999995</v>
      </c>
      <c r="AL80" s="65">
        <v>17.239799999999999</v>
      </c>
      <c r="AM80" s="65">
        <v>17.239800000000002</v>
      </c>
      <c r="AN80" s="65">
        <v>17.029260397149521</v>
      </c>
      <c r="AO80" s="65">
        <v>17.130590934504969</v>
      </c>
      <c r="AP80" s="65">
        <v>17.239799999999999</v>
      </c>
      <c r="AQ80" s="65">
        <v>17.239799999999999</v>
      </c>
      <c r="AR80" s="65">
        <v>17.239799999999999</v>
      </c>
      <c r="AS80" s="65">
        <v>17.239800000000002</v>
      </c>
      <c r="AT80" s="65">
        <v>17.239799999999999</v>
      </c>
      <c r="AU80" s="65">
        <v>17.119311555166874</v>
      </c>
      <c r="AV80" s="65">
        <v>17.111769414568776</v>
      </c>
      <c r="AW80" s="65">
        <v>17.239799999999995</v>
      </c>
      <c r="AX80" s="65">
        <v>17.239799999999995</v>
      </c>
      <c r="AY80" s="65">
        <v>17.239799999999995</v>
      </c>
      <c r="AZ80" s="65">
        <v>17.239799999999995</v>
      </c>
      <c r="BA80" s="65">
        <v>17.180636474490111</v>
      </c>
      <c r="BB80" s="65">
        <v>17.180636474490111</v>
      </c>
      <c r="BC80" s="64">
        <v>17.239799999999999</v>
      </c>
      <c r="BD80" s="64">
        <v>17.239799999999999</v>
      </c>
      <c r="BE80" s="64">
        <v>14.3</v>
      </c>
      <c r="BF80" s="64">
        <v>13.236376514230132</v>
      </c>
      <c r="BG80" s="64">
        <v>12.75953476540772</v>
      </c>
      <c r="BH80" s="64">
        <v>10.194304951064744</v>
      </c>
      <c r="BI80" s="64">
        <v>12.069959008406427</v>
      </c>
      <c r="BJ80" s="64">
        <v>10.273417063828409</v>
      </c>
      <c r="BK80" s="64">
        <v>15.68074</v>
      </c>
      <c r="BL80" s="64">
        <v>12.270160445780062</v>
      </c>
      <c r="BM80" s="64">
        <v>10.16884300348668</v>
      </c>
    </row>
    <row r="81" spans="1:72" x14ac:dyDescent="0.25">
      <c r="A81" s="51" t="s">
        <v>62</v>
      </c>
      <c r="B81" s="41"/>
      <c r="C81" s="41"/>
      <c r="D81" s="51"/>
      <c r="E81" s="5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51"/>
      <c r="Q81" s="5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65">
        <v>17.239799999999999</v>
      </c>
      <c r="AI81" s="64">
        <v>1.0000000000000001E-5</v>
      </c>
      <c r="AJ81" s="64">
        <v>1.0000000000000001E-5</v>
      </c>
      <c r="AK81" s="64">
        <v>1.0000000000000001E-5</v>
      </c>
      <c r="AL81" s="64">
        <v>1.0000000000000001E-5</v>
      </c>
      <c r="AM81" s="64">
        <v>1.0000000000000001E-5</v>
      </c>
      <c r="AN81" s="64">
        <v>1.0000000000000001E-5</v>
      </c>
      <c r="AO81" s="64">
        <v>1.0000000000000001E-5</v>
      </c>
      <c r="AP81" s="64">
        <v>1.0000000000000001E-5</v>
      </c>
      <c r="AQ81" s="64">
        <v>17.239799999999999</v>
      </c>
      <c r="AR81" s="64">
        <v>1.0000000000000001E-5</v>
      </c>
      <c r="AS81" s="64">
        <v>1.0000000000000001E-5</v>
      </c>
      <c r="AT81" s="64">
        <v>1.0000000000000001E-5</v>
      </c>
      <c r="AU81" s="64">
        <v>1.0000000000000001E-5</v>
      </c>
      <c r="AV81" s="64">
        <v>1.0000000000000001E-5</v>
      </c>
      <c r="AW81" s="64">
        <v>1.0000000000000001E-5</v>
      </c>
      <c r="AX81" s="64">
        <v>17.239999999999998</v>
      </c>
      <c r="AY81" s="64">
        <v>17.239999999999998</v>
      </c>
      <c r="AZ81" s="64">
        <v>17.239999999999998</v>
      </c>
      <c r="BA81" s="64">
        <v>17.239999999999998</v>
      </c>
      <c r="BB81" s="64">
        <v>17.239999999999998</v>
      </c>
      <c r="BC81" s="64">
        <v>17.239999999999998</v>
      </c>
      <c r="BD81" s="64">
        <v>1.0000000000000001E-5</v>
      </c>
      <c r="BE81" s="64">
        <v>1.0000000000000001E-5</v>
      </c>
      <c r="BF81" s="64">
        <v>1.0000000000000001E-5</v>
      </c>
      <c r="BG81" s="64">
        <v>1.0000000000000001E-5</v>
      </c>
      <c r="BH81" s="64">
        <v>1.0000000000000001E-5</v>
      </c>
      <c r="BI81" s="64">
        <v>1.0000000000000001E-5</v>
      </c>
      <c r="BJ81" s="64">
        <v>1.0000000000000001E-5</v>
      </c>
      <c r="BK81" s="64">
        <v>1.0000000000000001E-5</v>
      </c>
      <c r="BL81" s="64">
        <v>1.0000000000000001E-5</v>
      </c>
      <c r="BM81" s="64">
        <v>1.0000000000000001E-5</v>
      </c>
    </row>
    <row r="82" spans="1:72" x14ac:dyDescent="0.25">
      <c r="A82" s="51" t="s">
        <v>14</v>
      </c>
      <c r="B82" s="41">
        <v>18.398131437591527</v>
      </c>
      <c r="C82" s="41">
        <v>17.462198475774159</v>
      </c>
      <c r="D82" s="41">
        <v>17.151558058241775</v>
      </c>
      <c r="E82" s="41">
        <v>15.909497583815432</v>
      </c>
      <c r="F82" s="41">
        <v>14.555607446979367</v>
      </c>
      <c r="G82" s="41">
        <v>17.328796174339821</v>
      </c>
      <c r="H82" s="41">
        <v>15.897106309339131</v>
      </c>
      <c r="I82" s="41">
        <v>14.906149841967363</v>
      </c>
      <c r="J82" s="41">
        <v>14.479393170637971</v>
      </c>
      <c r="K82" s="41">
        <v>14.650146683583662</v>
      </c>
      <c r="L82" s="41">
        <v>14.968535574635013</v>
      </c>
      <c r="M82" s="41">
        <v>13.667316982066154</v>
      </c>
      <c r="N82" s="41">
        <v>12.682245446504561</v>
      </c>
      <c r="O82" s="41">
        <v>12.397863484630939</v>
      </c>
      <c r="P82" s="41">
        <v>12.99678860662249</v>
      </c>
      <c r="Q82" s="41">
        <v>13.712087705484135</v>
      </c>
      <c r="R82" s="41">
        <v>13.563539937413678</v>
      </c>
      <c r="S82" s="41">
        <v>13.729296745877894</v>
      </c>
      <c r="T82" s="41">
        <v>14.927365106920451</v>
      </c>
      <c r="U82" s="41">
        <v>12.80565131472464</v>
      </c>
      <c r="V82" s="41">
        <v>14.91</v>
      </c>
      <c r="W82" s="41">
        <v>14.913880969714802</v>
      </c>
      <c r="X82" s="41">
        <v>10.964056938104607</v>
      </c>
      <c r="Y82" s="41">
        <v>11.794907632432855</v>
      </c>
      <c r="Z82" s="41">
        <v>14.254168745416752</v>
      </c>
      <c r="AA82" s="41">
        <v>14.557446894939465</v>
      </c>
      <c r="AB82" s="41">
        <v>14.916019334177841</v>
      </c>
      <c r="AC82" s="41">
        <v>15.004828554247425</v>
      </c>
      <c r="AD82" s="41">
        <v>17.152317397838086</v>
      </c>
      <c r="AE82" s="41">
        <v>18.019188561911715</v>
      </c>
      <c r="AF82" s="41">
        <v>18.546226061766777</v>
      </c>
      <c r="AG82" s="41">
        <v>18.499673713759307</v>
      </c>
      <c r="AH82" s="41">
        <v>17.28902447662654</v>
      </c>
      <c r="AI82" s="41">
        <v>18.4840649013572</v>
      </c>
      <c r="AJ82" s="68">
        <v>17.54962152212353</v>
      </c>
      <c r="AK82" s="68">
        <v>18.995457099742755</v>
      </c>
      <c r="AL82" s="68">
        <v>17.897659021725897</v>
      </c>
      <c r="AM82" s="68">
        <v>19.609957537281268</v>
      </c>
      <c r="AN82" s="68">
        <v>18.358034839127651</v>
      </c>
      <c r="AO82" s="68">
        <v>17.427139498384875</v>
      </c>
      <c r="AP82" s="68">
        <v>16.897399999999998</v>
      </c>
      <c r="AQ82" s="68">
        <v>16.897399999999998</v>
      </c>
      <c r="AR82" s="68">
        <v>16.897399999999998</v>
      </c>
      <c r="AS82" s="68">
        <v>16.092101172117385</v>
      </c>
      <c r="AT82" s="68">
        <v>16.587867453098085</v>
      </c>
      <c r="AU82" s="68">
        <v>18.001676884081302</v>
      </c>
      <c r="AV82" s="68">
        <v>16.641991036175774</v>
      </c>
      <c r="AW82" s="68">
        <v>16.897400000000001</v>
      </c>
      <c r="AX82" s="68">
        <v>16.559266476429457</v>
      </c>
      <c r="AY82" s="68">
        <v>16.897400000000001</v>
      </c>
      <c r="AZ82" s="68">
        <v>16.85343747841247</v>
      </c>
      <c r="BA82" s="68">
        <v>16.897400000000001</v>
      </c>
      <c r="BB82" s="68">
        <v>16.897400000000001</v>
      </c>
      <c r="BC82" s="68">
        <v>14.597801233236741</v>
      </c>
      <c r="BD82" s="68">
        <v>14.812822896345406</v>
      </c>
      <c r="BE82" s="68">
        <v>14.643252114872141</v>
      </c>
      <c r="BF82" s="68">
        <v>14.04904755205504</v>
      </c>
      <c r="BG82" s="68">
        <v>12.650224883285714</v>
      </c>
      <c r="BH82" s="68">
        <v>12.612263939156623</v>
      </c>
      <c r="BI82" s="68">
        <v>12.70831294876311</v>
      </c>
      <c r="BJ82" s="68">
        <v>13.546824312523825</v>
      </c>
      <c r="BK82" s="68">
        <v>12.845045892465777</v>
      </c>
      <c r="BL82" s="68">
        <v>12.521864831098947</v>
      </c>
      <c r="BM82" s="68">
        <v>12.557041988655721</v>
      </c>
      <c r="BN82" s="3" t="s">
        <v>35</v>
      </c>
      <c r="BO82" s="3"/>
    </row>
    <row r="83" spans="1:72" x14ac:dyDescent="0.25">
      <c r="A83" s="51" t="s">
        <v>13</v>
      </c>
      <c r="B83" s="41">
        <v>10.086783889476537</v>
      </c>
      <c r="C83" s="41">
        <v>9.4711953424509883</v>
      </c>
      <c r="D83" s="56">
        <v>9.1600968781953895</v>
      </c>
      <c r="E83" s="56">
        <v>9.7479265766673784</v>
      </c>
      <c r="F83" s="41">
        <v>7.5388750451569733</v>
      </c>
      <c r="G83" s="41">
        <v>9.9195300360111016</v>
      </c>
      <c r="H83" s="41">
        <v>9.1630596513314657</v>
      </c>
      <c r="I83" s="41">
        <v>8.7390762512064324</v>
      </c>
      <c r="J83" s="41">
        <v>8.5337135079533812</v>
      </c>
      <c r="K83" s="41">
        <v>8.6846060855435869</v>
      </c>
      <c r="L83" s="41">
        <v>9.0999556560570856</v>
      </c>
      <c r="M83" s="41">
        <v>8.8187775974716605</v>
      </c>
      <c r="N83" s="41">
        <v>9.2722847962386723</v>
      </c>
      <c r="O83" s="41">
        <v>8.2359722904158286</v>
      </c>
      <c r="P83" s="56">
        <v>8.3934476577837938</v>
      </c>
      <c r="Q83" s="56">
        <v>9.4102083499173013</v>
      </c>
      <c r="R83" s="41">
        <v>8.1647495150840754</v>
      </c>
      <c r="S83" s="41">
        <v>8.8398353990397336</v>
      </c>
      <c r="T83" s="41">
        <v>8.4637165514495027</v>
      </c>
      <c r="U83" s="41">
        <v>8.8399949705338141</v>
      </c>
      <c r="V83" s="41">
        <v>9.7100000000000009</v>
      </c>
      <c r="W83" s="41">
        <v>9.7866593971113698</v>
      </c>
      <c r="X83" s="41">
        <v>9.810939350987729</v>
      </c>
      <c r="Y83" s="41">
        <v>9.383048827292896</v>
      </c>
      <c r="Z83" s="41">
        <v>9.4805907263476357</v>
      </c>
      <c r="AA83" s="41">
        <v>9.8799837111462825</v>
      </c>
      <c r="AB83" s="41">
        <v>10.519984666259909</v>
      </c>
      <c r="AC83" s="41">
        <v>12.240920087516342</v>
      </c>
      <c r="AD83" s="41">
        <v>14.080272715424485</v>
      </c>
      <c r="AE83" s="41">
        <v>14.40872829261977</v>
      </c>
      <c r="AF83" s="41">
        <v>13.48326941787705</v>
      </c>
      <c r="AG83" s="41">
        <v>14.689701025727391</v>
      </c>
      <c r="AH83" s="41">
        <v>15.046868787621582</v>
      </c>
      <c r="AI83" s="41">
        <v>15.123842371338489</v>
      </c>
      <c r="AJ83" s="41">
        <v>15.675445387838499</v>
      </c>
      <c r="AK83" s="41">
        <v>13.379289676753221</v>
      </c>
      <c r="AL83" s="41">
        <v>14.378903599999999</v>
      </c>
      <c r="AM83" s="41">
        <v>13.75557158136492</v>
      </c>
      <c r="AN83" s="41">
        <v>13.828784740834106</v>
      </c>
      <c r="AO83" s="41">
        <v>13.518370879231732</v>
      </c>
      <c r="AP83" s="41">
        <v>14.462</v>
      </c>
      <c r="AQ83" s="41">
        <v>13.777121103660187</v>
      </c>
      <c r="AR83" s="41">
        <v>13.498588606419473</v>
      </c>
      <c r="AS83" s="41">
        <v>12.803666731179399</v>
      </c>
      <c r="AT83" s="41">
        <v>11.702554265605832</v>
      </c>
      <c r="AU83" s="41">
        <v>13.010289940350525</v>
      </c>
      <c r="AV83" s="41">
        <v>11.994454769763868</v>
      </c>
      <c r="AW83" s="41">
        <v>11.04859581003174</v>
      </c>
      <c r="AX83" s="41">
        <v>11.558418292106801</v>
      </c>
      <c r="AY83" s="41">
        <v>10.461379473609297</v>
      </c>
      <c r="AZ83" s="41">
        <v>11.345203885872921</v>
      </c>
      <c r="BA83" s="41">
        <v>10.924035263771033</v>
      </c>
      <c r="BB83" s="41">
        <v>10.828659940334655</v>
      </c>
      <c r="BC83" s="41">
        <v>10.026141214672608</v>
      </c>
      <c r="BD83" s="41">
        <v>9.5962895488290183</v>
      </c>
      <c r="BE83" s="41">
        <v>8.3162911535745572</v>
      </c>
      <c r="BF83" s="41">
        <v>9.7641356344850863</v>
      </c>
      <c r="BG83" s="41">
        <v>9.230835218869343</v>
      </c>
      <c r="BH83" s="41">
        <v>9.2387656675585355</v>
      </c>
      <c r="BI83" s="41">
        <v>10.480065364623099</v>
      </c>
      <c r="BJ83" s="41">
        <v>11.104063208155313</v>
      </c>
      <c r="BK83" s="41">
        <v>10.483835659726351</v>
      </c>
      <c r="BL83" s="41">
        <v>10.64955381430573</v>
      </c>
      <c r="BM83" s="41">
        <v>10.603397586269169</v>
      </c>
      <c r="BN83" s="13"/>
      <c r="BO83" s="13"/>
    </row>
    <row r="84" spans="1:72" s="11" customFormat="1" x14ac:dyDescent="0.25">
      <c r="A84" s="40" t="s">
        <v>49</v>
      </c>
      <c r="B84" s="63">
        <v>0</v>
      </c>
      <c r="C84" s="40"/>
      <c r="D84" s="40"/>
      <c r="E84" s="40"/>
      <c r="F84" s="64">
        <v>0</v>
      </c>
      <c r="G84" s="64">
        <v>0</v>
      </c>
      <c r="H84" s="40"/>
      <c r="I84" s="40"/>
      <c r="J84" s="40"/>
      <c r="K84" s="64">
        <v>20.083790841489012</v>
      </c>
      <c r="L84" s="64">
        <v>20.218178025426603</v>
      </c>
      <c r="M84" s="64">
        <v>20.341655951416634</v>
      </c>
      <c r="N84" s="63"/>
      <c r="O84" s="40"/>
      <c r="P84" s="40"/>
      <c r="Q84" s="40"/>
      <c r="R84" s="64">
        <v>1.0000000000000001E-5</v>
      </c>
      <c r="S84" s="64">
        <v>1.0000000000000001E-5</v>
      </c>
      <c r="T84" s="64">
        <v>1.0000000000000001E-5</v>
      </c>
      <c r="U84" s="64">
        <v>1.0000000000000001E-5</v>
      </c>
      <c r="V84" s="64">
        <v>10.56</v>
      </c>
      <c r="W84" s="64">
        <v>10.53</v>
      </c>
      <c r="X84" s="64">
        <v>9.6848412353592259</v>
      </c>
      <c r="Y84" s="64">
        <v>9.5114076463979309</v>
      </c>
      <c r="Z84" s="64">
        <v>9.4384713356113199</v>
      </c>
      <c r="AA84" s="64">
        <v>9.3405790142255505</v>
      </c>
      <c r="AB84" s="64">
        <v>9.8290048948682394</v>
      </c>
      <c r="AC84" s="64">
        <v>9.605082005286004</v>
      </c>
      <c r="AD84" s="64">
        <v>1.0000000000000001E-5</v>
      </c>
      <c r="AE84" s="64">
        <v>1.0000000000000001E-5</v>
      </c>
      <c r="AF84" s="64">
        <v>1.0000000000000001E-5</v>
      </c>
      <c r="AG84" s="64">
        <v>1.0000000000000001E-5</v>
      </c>
      <c r="AH84" s="64">
        <v>1.0000000000000001E-5</v>
      </c>
      <c r="AI84" s="64">
        <v>1.0000000000000001E-5</v>
      </c>
      <c r="AJ84" s="64">
        <v>1.0000000000000001E-5</v>
      </c>
      <c r="AK84" s="64">
        <v>1.0000000000000001E-5</v>
      </c>
      <c r="AL84" s="64">
        <v>1.0000000000000001E-5</v>
      </c>
      <c r="AM84" s="64">
        <v>1.0000000000000001E-5</v>
      </c>
      <c r="AN84" s="64">
        <v>1.0000000000000001E-5</v>
      </c>
      <c r="AO84" s="64">
        <v>1.0000000000000001E-5</v>
      </c>
      <c r="AP84" s="64">
        <v>1.0000000000000001E-5</v>
      </c>
      <c r="AQ84" s="64">
        <v>1.0000000000000001E-5</v>
      </c>
      <c r="AR84" s="64">
        <v>1.0000000000000001E-5</v>
      </c>
      <c r="AS84" s="64">
        <v>1.0000000000000001E-5</v>
      </c>
      <c r="AT84" s="64">
        <v>1.0000000000000001E-5</v>
      </c>
      <c r="AU84" s="64">
        <v>1.0000000000000001E-5</v>
      </c>
      <c r="AV84" s="64">
        <v>1.0000000000000001E-5</v>
      </c>
      <c r="AW84" s="64">
        <v>1.0000000000000001E-5</v>
      </c>
      <c r="AX84" s="64">
        <v>1.0000000000000001E-5</v>
      </c>
      <c r="AY84" s="64">
        <v>1.0000000000000001E-5</v>
      </c>
      <c r="AZ84" s="64">
        <v>1.0000000000000001E-5</v>
      </c>
      <c r="BA84" s="64">
        <v>1.0000000000000001E-5</v>
      </c>
      <c r="BB84" s="64">
        <v>1.0000000000000001E-5</v>
      </c>
      <c r="BC84" s="64">
        <v>1.0000000000000001E-5</v>
      </c>
      <c r="BD84" s="64">
        <v>1.0000000000000001E-5</v>
      </c>
      <c r="BE84" s="64">
        <v>1.0000000000000001E-5</v>
      </c>
      <c r="BF84" s="64">
        <v>1.0000000000000001E-5</v>
      </c>
      <c r="BG84" s="64">
        <v>1.0000000000000001E-5</v>
      </c>
      <c r="BH84" s="64">
        <v>1.0000000000000001E-5</v>
      </c>
      <c r="BI84" s="64">
        <v>1.0000000000000001E-5</v>
      </c>
      <c r="BJ84" s="64">
        <v>1.0000000000000001E-5</v>
      </c>
      <c r="BK84" s="64">
        <v>1.0000000000000001E-5</v>
      </c>
      <c r="BL84" s="64">
        <v>1.0000000000000001E-5</v>
      </c>
      <c r="BM84" s="64">
        <v>1.0000000000000001E-5</v>
      </c>
    </row>
    <row r="86" spans="1:72" x14ac:dyDescent="0.25">
      <c r="A86" s="46" t="s">
        <v>22</v>
      </c>
      <c r="B86" s="38">
        <v>44075</v>
      </c>
      <c r="C86" s="38">
        <v>44105</v>
      </c>
      <c r="D86" s="38">
        <v>44136</v>
      </c>
      <c r="E86" s="38">
        <v>44166</v>
      </c>
      <c r="F86" s="38">
        <v>44197</v>
      </c>
      <c r="G86" s="38">
        <v>44228</v>
      </c>
      <c r="H86" s="38">
        <v>44256</v>
      </c>
      <c r="I86" s="38">
        <v>44287</v>
      </c>
      <c r="J86" s="38">
        <v>44317</v>
      </c>
      <c r="K86" s="38">
        <v>44348</v>
      </c>
      <c r="L86" s="38">
        <v>44378</v>
      </c>
      <c r="M86" s="38">
        <v>44409</v>
      </c>
      <c r="N86" s="38">
        <v>44440</v>
      </c>
      <c r="O86" s="38">
        <v>44470</v>
      </c>
      <c r="P86" s="38">
        <v>44501</v>
      </c>
      <c r="Q86" s="38">
        <v>44531</v>
      </c>
      <c r="R86" s="38">
        <v>44562</v>
      </c>
      <c r="S86" s="38">
        <v>44593</v>
      </c>
      <c r="T86" s="38">
        <v>44621</v>
      </c>
      <c r="U86" s="38">
        <v>44652</v>
      </c>
      <c r="V86" s="38">
        <v>44682</v>
      </c>
      <c r="W86" s="38">
        <v>44713</v>
      </c>
      <c r="X86" s="38">
        <v>44743</v>
      </c>
      <c r="Y86" s="38">
        <v>44774</v>
      </c>
      <c r="Z86" s="38">
        <v>44805</v>
      </c>
      <c r="AA86" s="38">
        <v>44835</v>
      </c>
      <c r="AB86" s="38">
        <v>44866</v>
      </c>
      <c r="AC86" s="38">
        <v>44896</v>
      </c>
      <c r="AD86" s="38">
        <v>44927</v>
      </c>
      <c r="AE86" s="38">
        <v>44958</v>
      </c>
      <c r="AF86" s="38">
        <v>44986</v>
      </c>
      <c r="AG86" s="38">
        <v>45017</v>
      </c>
      <c r="AH86" s="38">
        <v>45047</v>
      </c>
      <c r="AI86" s="38">
        <v>45078</v>
      </c>
      <c r="AJ86" s="38">
        <v>45108</v>
      </c>
      <c r="AK86" s="38">
        <v>45139</v>
      </c>
      <c r="AL86" s="38">
        <v>45170</v>
      </c>
      <c r="AM86" s="38">
        <v>45200</v>
      </c>
      <c r="AN86" s="38">
        <v>45231</v>
      </c>
      <c r="AO86" s="38">
        <v>45261</v>
      </c>
      <c r="AP86" s="38">
        <v>45292</v>
      </c>
      <c r="AQ86" s="38">
        <v>45323</v>
      </c>
      <c r="AR86" s="38">
        <v>45352</v>
      </c>
      <c r="AS86" s="38">
        <v>45383</v>
      </c>
      <c r="AT86" s="38">
        <v>45413</v>
      </c>
      <c r="AU86" s="38">
        <v>45444</v>
      </c>
      <c r="AV86" s="38">
        <v>45474</v>
      </c>
      <c r="AW86" s="38">
        <v>45505</v>
      </c>
      <c r="AX86" s="38">
        <v>45536</v>
      </c>
      <c r="AY86" s="38">
        <v>45566</v>
      </c>
      <c r="AZ86" s="38">
        <v>45597</v>
      </c>
      <c r="BA86" s="38">
        <v>45627</v>
      </c>
      <c r="BB86" s="38">
        <v>45658</v>
      </c>
      <c r="BC86" s="38">
        <v>45689</v>
      </c>
      <c r="BD86" s="38">
        <v>45717</v>
      </c>
      <c r="BE86" s="38">
        <v>45748</v>
      </c>
      <c r="BF86" s="38">
        <v>45778</v>
      </c>
      <c r="BG86" s="38">
        <v>45809</v>
      </c>
      <c r="BH86" s="38">
        <v>45839</v>
      </c>
      <c r="BI86" s="38">
        <v>45870</v>
      </c>
      <c r="BJ86" s="38">
        <v>45901</v>
      </c>
      <c r="BK86" s="38">
        <v>45931</v>
      </c>
      <c r="BL86" s="38">
        <v>45962</v>
      </c>
      <c r="BM86" s="38">
        <v>45992</v>
      </c>
      <c r="BN86" s="2"/>
      <c r="BO86" s="2"/>
    </row>
    <row r="87" spans="1:72" x14ac:dyDescent="0.25">
      <c r="A87" s="51" t="s">
        <v>19</v>
      </c>
      <c r="B87" s="58">
        <f t="shared" ref="B87:AC87" si="159">EFFECT((B76/100),12)</f>
        <v>0.22035095189128051</v>
      </c>
      <c r="C87" s="58">
        <f t="shared" si="159"/>
        <v>0.22035095189128051</v>
      </c>
      <c r="D87" s="58">
        <f t="shared" si="159"/>
        <v>0.22035095189128051</v>
      </c>
      <c r="E87" s="58">
        <f t="shared" si="159"/>
        <v>0.22035095189128051</v>
      </c>
      <c r="F87" s="58">
        <f t="shared" si="159"/>
        <v>0.22035095189128051</v>
      </c>
      <c r="G87" s="58">
        <f t="shared" si="159"/>
        <v>0.22035095189128051</v>
      </c>
      <c r="H87" s="58">
        <f t="shared" si="159"/>
        <v>0.22035095189128051</v>
      </c>
      <c r="I87" s="58">
        <f t="shared" si="159"/>
        <v>0.22035095189128051</v>
      </c>
      <c r="J87" s="58">
        <f t="shared" si="159"/>
        <v>0.22035095189128051</v>
      </c>
      <c r="K87" s="58">
        <f t="shared" si="159"/>
        <v>0.22037735801599601</v>
      </c>
      <c r="L87" s="58">
        <f t="shared" si="159"/>
        <v>0.22037735801599601</v>
      </c>
      <c r="M87" s="58">
        <f t="shared" si="159"/>
        <v>0.22037735801599601</v>
      </c>
      <c r="N87" s="58">
        <f t="shared" si="159"/>
        <v>0.22037735801599601</v>
      </c>
      <c r="O87" s="58">
        <f t="shared" si="159"/>
        <v>0.22037735801599601</v>
      </c>
      <c r="P87" s="58">
        <f t="shared" si="159"/>
        <v>0.22037735801599601</v>
      </c>
      <c r="Q87" s="58">
        <f t="shared" si="159"/>
        <v>0.22037735801599601</v>
      </c>
      <c r="R87" s="58">
        <f t="shared" si="159"/>
        <v>0.22037735801599601</v>
      </c>
      <c r="S87" s="58">
        <f t="shared" si="159"/>
        <v>0.22037735801599601</v>
      </c>
      <c r="T87" s="58">
        <f t="shared" si="159"/>
        <v>0.22037735801599601</v>
      </c>
      <c r="U87" s="58">
        <f t="shared" si="159"/>
        <v>0.22037735801599601</v>
      </c>
      <c r="V87" s="58">
        <f t="shared" si="159"/>
        <v>0.22037735801599601</v>
      </c>
      <c r="W87" s="58">
        <f t="shared" si="159"/>
        <v>0.22037735801599601</v>
      </c>
      <c r="X87" s="58">
        <f t="shared" si="159"/>
        <v>0.26927791312918847</v>
      </c>
      <c r="Y87" s="58">
        <f t="shared" si="159"/>
        <v>0.29427791312918905</v>
      </c>
      <c r="Z87" s="58">
        <f t="shared" si="159"/>
        <v>0.29427791312918905</v>
      </c>
      <c r="AA87" s="58">
        <f t="shared" si="159"/>
        <v>0.29427791312918905</v>
      </c>
      <c r="AB87" s="58">
        <f t="shared" si="159"/>
        <v>0.29427791312918905</v>
      </c>
      <c r="AC87" s="58">
        <f t="shared" si="159"/>
        <v>0.35360305353918009</v>
      </c>
      <c r="AD87" s="58">
        <f t="shared" ref="AD87:AN87" si="160">EFFECT((AD76/100),12)</f>
        <v>0.35360305353918009</v>
      </c>
      <c r="AE87" s="58">
        <f t="shared" si="160"/>
        <v>0.35360305353918009</v>
      </c>
      <c r="AF87" s="58">
        <f t="shared" si="160"/>
        <v>0.35360305353918009</v>
      </c>
      <c r="AG87" s="58">
        <f t="shared" si="160"/>
        <v>0.35360305353918009</v>
      </c>
      <c r="AH87" s="58">
        <f t="shared" si="160"/>
        <v>0.35360305353918009</v>
      </c>
      <c r="AI87" s="58">
        <f t="shared" si="160"/>
        <v>0.35360305353918009</v>
      </c>
      <c r="AJ87" s="58">
        <f t="shared" si="160"/>
        <v>0.35360305353918009</v>
      </c>
      <c r="AK87" s="58">
        <f t="shared" si="160"/>
        <v>0.35360305353918009</v>
      </c>
      <c r="AL87" s="58">
        <f t="shared" si="160"/>
        <v>0.35360305353918009</v>
      </c>
      <c r="AM87" s="58">
        <f t="shared" si="160"/>
        <v>0.35360305353918009</v>
      </c>
      <c r="AN87" s="58">
        <f t="shared" si="160"/>
        <v>0.35360305353918009</v>
      </c>
      <c r="AO87" s="58">
        <f t="shared" ref="AO87:AT87" si="161">EFFECT((AO76/100),12)</f>
        <v>0.35360305353918009</v>
      </c>
      <c r="AP87" s="58">
        <f t="shared" si="161"/>
        <v>0.35360305353918009</v>
      </c>
      <c r="AQ87" s="58">
        <f t="shared" si="161"/>
        <v>0.34664938789913102</v>
      </c>
      <c r="AR87" s="58">
        <f t="shared" si="161"/>
        <v>0.32922799578491579</v>
      </c>
      <c r="AS87" s="58">
        <f t="shared" si="161"/>
        <v>0.32767114310446432</v>
      </c>
      <c r="AT87" s="58">
        <f t="shared" si="161"/>
        <v>0.31219428910972091</v>
      </c>
      <c r="AU87" s="58">
        <f t="shared" ref="AU87:BC87" si="162">EFFECT((AU76/100),12)</f>
        <v>0.30539998715798133</v>
      </c>
      <c r="AV87" s="58">
        <f t="shared" si="162"/>
        <v>0.28905034578122524</v>
      </c>
      <c r="AW87" s="58">
        <f t="shared" si="162"/>
        <v>0.28905034578122524</v>
      </c>
      <c r="AX87" s="58">
        <f t="shared" si="162"/>
        <v>0.27870059572191996</v>
      </c>
      <c r="AY87" s="58">
        <f t="shared" si="162"/>
        <v>0.27870059572191996</v>
      </c>
      <c r="AZ87" s="58">
        <f t="shared" si="162"/>
        <v>0.27599723484957295</v>
      </c>
      <c r="BA87" s="58">
        <f t="shared" si="162"/>
        <v>0.26084986090057782</v>
      </c>
      <c r="BB87" s="58">
        <f t="shared" si="162"/>
        <v>0.24585035498299801</v>
      </c>
      <c r="BC87" s="58">
        <f t="shared" si="162"/>
        <v>0.24585035498299801</v>
      </c>
      <c r="BD87" s="58">
        <f t="shared" ref="BD87:BE87" si="163">EFFECT((BD76/100),12)</f>
        <v>0.24585035498299801</v>
      </c>
      <c r="BE87" s="58">
        <f t="shared" si="163"/>
        <v>0.24585035498299801</v>
      </c>
      <c r="BF87" s="58">
        <f t="shared" ref="BF87:BG87" si="164">EFFECT((BF76/100),12)</f>
        <v>0.24585035498299801</v>
      </c>
      <c r="BG87" s="58">
        <f t="shared" si="164"/>
        <v>0.24585035498299801</v>
      </c>
      <c r="BH87" s="58">
        <f t="shared" ref="BH87:BI87" si="165">EFFECT((BH76/100),12)</f>
        <v>0.24920002723110213</v>
      </c>
      <c r="BI87" s="58">
        <f t="shared" si="165"/>
        <v>0.24920000000000075</v>
      </c>
      <c r="BJ87" s="58">
        <f t="shared" ref="BJ87:BK87" si="166">EFFECT((BJ76/100),12)</f>
        <v>0.24754926799673482</v>
      </c>
      <c r="BK87" s="58">
        <f t="shared" si="166"/>
        <v>0.24110028643694204</v>
      </c>
      <c r="BL87" s="58">
        <f t="shared" ref="BL87:BM87" si="167">EFFECT((BL76/100),12)</f>
        <v>0.24890000000000057</v>
      </c>
      <c r="BM87" s="58">
        <f t="shared" si="167"/>
        <v>0.24920000000000075</v>
      </c>
      <c r="BN87" s="6"/>
      <c r="BO87" s="6"/>
    </row>
    <row r="88" spans="1:72" x14ac:dyDescent="0.25">
      <c r="A88" s="51" t="s">
        <v>18</v>
      </c>
      <c r="B88" s="58">
        <f t="shared" ref="B88:Q88" si="168">EFFECT((B77/100),12)</f>
        <v>0.23252899042666009</v>
      </c>
      <c r="C88" s="58">
        <f t="shared" si="168"/>
        <v>0.23252899042666009</v>
      </c>
      <c r="D88" s="58">
        <f t="shared" si="168"/>
        <v>0.23252899042666009</v>
      </c>
      <c r="E88" s="58">
        <f t="shared" si="168"/>
        <v>0.23252899042666009</v>
      </c>
      <c r="F88" s="58">
        <f t="shared" si="168"/>
        <v>0.23252899042666009</v>
      </c>
      <c r="G88" s="58">
        <f t="shared" si="168"/>
        <v>0.23252899042666009</v>
      </c>
      <c r="H88" s="58">
        <f t="shared" si="168"/>
        <v>0.23252899042666009</v>
      </c>
      <c r="I88" s="58">
        <f t="shared" si="168"/>
        <v>0.23252899042666009</v>
      </c>
      <c r="J88" s="58">
        <f t="shared" si="168"/>
        <v>0.23252899042666009</v>
      </c>
      <c r="K88" s="58">
        <f t="shared" si="168"/>
        <v>0.23252899042666009</v>
      </c>
      <c r="L88" s="58">
        <f t="shared" si="168"/>
        <v>0.23252899042666009</v>
      </c>
      <c r="M88" s="58">
        <f t="shared" si="168"/>
        <v>0.23252899042666009</v>
      </c>
      <c r="N88" s="58">
        <f t="shared" si="168"/>
        <v>0.23252899042666009</v>
      </c>
      <c r="O88" s="58">
        <f t="shared" si="168"/>
        <v>0.23252899042666009</v>
      </c>
      <c r="P88" s="58">
        <f t="shared" si="168"/>
        <v>0.23252899042666009</v>
      </c>
      <c r="Q88" s="58">
        <f t="shared" si="168"/>
        <v>0.23252899042666009</v>
      </c>
      <c r="R88" s="58">
        <f>EFFECT((R77/100),12)</f>
        <v>0.23252899042666009</v>
      </c>
      <c r="S88" s="58">
        <f t="shared" ref="S88:AC88" si="169">EFFECT((S77/100),12)</f>
        <v>0.23252899042666009</v>
      </c>
      <c r="T88" s="58">
        <f t="shared" si="169"/>
        <v>0.23252899042666009</v>
      </c>
      <c r="U88" s="58">
        <f t="shared" si="169"/>
        <v>0.23252899042666009</v>
      </c>
      <c r="V88" s="58">
        <f t="shared" si="169"/>
        <v>0.23252899042666009</v>
      </c>
      <c r="W88" s="58">
        <f t="shared" si="169"/>
        <v>0.23252899042666009</v>
      </c>
      <c r="X88" s="58">
        <f t="shared" si="169"/>
        <v>0.28188500855963072</v>
      </c>
      <c r="Y88" s="58">
        <f t="shared" si="169"/>
        <v>0.30688500855963263</v>
      </c>
      <c r="Z88" s="58">
        <f t="shared" si="169"/>
        <v>0.30688500855963263</v>
      </c>
      <c r="AA88" s="58">
        <f t="shared" si="169"/>
        <v>0.30688500855963263</v>
      </c>
      <c r="AB88" s="58">
        <f t="shared" si="169"/>
        <v>0.30688500855963263</v>
      </c>
      <c r="AC88" s="58">
        <f t="shared" si="169"/>
        <v>0.3737113137995185</v>
      </c>
      <c r="AD88" s="58">
        <f t="shared" ref="AD88:AN88" si="170">EFFECT((AD77/100),12)</f>
        <v>0.3737113137995185</v>
      </c>
      <c r="AE88" s="58">
        <f t="shared" si="170"/>
        <v>0.3737113137995185</v>
      </c>
      <c r="AF88" s="58">
        <f t="shared" si="170"/>
        <v>0.3737113137995185</v>
      </c>
      <c r="AG88" s="58">
        <f t="shared" si="170"/>
        <v>0.3737113137995185</v>
      </c>
      <c r="AH88" s="58">
        <f t="shared" si="170"/>
        <v>0.3737113137995185</v>
      </c>
      <c r="AI88" s="58">
        <f t="shared" si="170"/>
        <v>0.3737113137995185</v>
      </c>
      <c r="AJ88" s="58">
        <f t="shared" si="170"/>
        <v>0.3737113137995185</v>
      </c>
      <c r="AK88" s="58">
        <f t="shared" si="170"/>
        <v>0.3737113137995185</v>
      </c>
      <c r="AL88" s="58">
        <f t="shared" si="170"/>
        <v>0.3737113137995185</v>
      </c>
      <c r="AM88" s="58">
        <f t="shared" si="170"/>
        <v>0.3737113137995185</v>
      </c>
      <c r="AN88" s="58">
        <f t="shared" si="170"/>
        <v>0.3737113137995185</v>
      </c>
      <c r="AO88" s="58">
        <f t="shared" ref="AO88:AR95" si="171">EFFECT((AO77/100),12)</f>
        <v>0.3737113137995185</v>
      </c>
      <c r="AP88" s="58">
        <f t="shared" si="171"/>
        <v>0.3737113137995185</v>
      </c>
      <c r="AQ88" s="58">
        <f t="shared" si="171"/>
        <v>0.34664938789913102</v>
      </c>
      <c r="AR88" s="58">
        <f t="shared" si="171"/>
        <v>0.32922799578491579</v>
      </c>
      <c r="AS88" s="58">
        <f t="shared" ref="AS88:AX88" si="172">EFFECT((AS77/100),12)</f>
        <v>0.32767114310446432</v>
      </c>
      <c r="AT88" s="58">
        <f t="shared" si="172"/>
        <v>0.31219428910972091</v>
      </c>
      <c r="AU88" s="58">
        <f t="shared" si="172"/>
        <v>0.30539998715798133</v>
      </c>
      <c r="AV88" s="58">
        <f t="shared" si="172"/>
        <v>0.28905034578122524</v>
      </c>
      <c r="AW88" s="58">
        <f t="shared" si="172"/>
        <v>0.28905034578122524</v>
      </c>
      <c r="AX88" s="58">
        <f t="shared" si="172"/>
        <v>0.27870059572191996</v>
      </c>
      <c r="AY88" s="58">
        <f t="shared" ref="AY88:BC95" si="173">EFFECT((AY77/100),12)</f>
        <v>0.27870059572191996</v>
      </c>
      <c r="AZ88" s="58">
        <f t="shared" si="173"/>
        <v>0.27599723484957295</v>
      </c>
      <c r="BA88" s="58">
        <f t="shared" si="173"/>
        <v>0.26084986090057782</v>
      </c>
      <c r="BB88" s="58">
        <f t="shared" si="173"/>
        <v>0.24585035498299801</v>
      </c>
      <c r="BC88" s="58">
        <f t="shared" si="173"/>
        <v>0.24585035498299801</v>
      </c>
      <c r="BD88" s="58">
        <f t="shared" ref="BD88:BE88" si="174">EFFECT((BD77/100),12)</f>
        <v>0.24585035498299801</v>
      </c>
      <c r="BE88" s="58">
        <f t="shared" si="174"/>
        <v>0.24585035498299801</v>
      </c>
      <c r="BF88" s="58">
        <f t="shared" ref="BF88:BG88" si="175">EFFECT((BF77/100),12)</f>
        <v>0.24585035498299801</v>
      </c>
      <c r="BG88" s="58">
        <f t="shared" si="175"/>
        <v>0.24585035498299801</v>
      </c>
      <c r="BH88" s="58">
        <f t="shared" ref="BH88:BI88" si="176">EFFECT((BH77/100),12)</f>
        <v>0.24920002723110213</v>
      </c>
      <c r="BI88" s="58">
        <f t="shared" si="176"/>
        <v>0.24920000000000075</v>
      </c>
      <c r="BJ88" s="58">
        <f t="shared" ref="BJ88:BK88" si="177">EFFECT((BJ77/100),12)</f>
        <v>0.24754926799673482</v>
      </c>
      <c r="BK88" s="58">
        <f t="shared" si="177"/>
        <v>0.24110028643694204</v>
      </c>
      <c r="BL88" s="58">
        <f t="shared" ref="BL88:BM88" si="178">EFFECT((BL77/100),12)</f>
        <v>0.24890000000000057</v>
      </c>
      <c r="BM88" s="58">
        <f t="shared" si="178"/>
        <v>0.24920000000000075</v>
      </c>
      <c r="BN88" s="6"/>
      <c r="BO88" s="6"/>
      <c r="BP88" s="94" t="s">
        <v>52</v>
      </c>
      <c r="BQ88" s="94"/>
      <c r="BR88" s="94"/>
      <c r="BS88" s="94"/>
      <c r="BT88" t="s">
        <v>46</v>
      </c>
    </row>
    <row r="89" spans="1:72" x14ac:dyDescent="0.25">
      <c r="A89" s="51" t="s">
        <v>17</v>
      </c>
      <c r="B89" s="58">
        <f t="shared" ref="B89:Q89" si="179">EFFECT((B78/100),12)</f>
        <v>0.19760494860631983</v>
      </c>
      <c r="C89" s="58">
        <f t="shared" si="179"/>
        <v>0.1752974441504862</v>
      </c>
      <c r="D89" s="58">
        <f t="shared" si="179"/>
        <v>0.16960014402777279</v>
      </c>
      <c r="E89" s="58">
        <f t="shared" si="179"/>
        <v>0.1955418074509927</v>
      </c>
      <c r="F89" s="58">
        <f t="shared" si="179"/>
        <v>0.20056959295939736</v>
      </c>
      <c r="G89" s="58">
        <f t="shared" si="179"/>
        <v>0.19217463780002642</v>
      </c>
      <c r="H89" s="58">
        <f t="shared" si="179"/>
        <v>0.18863283062076031</v>
      </c>
      <c r="I89" s="58">
        <f t="shared" si="179"/>
        <v>0.18439589440000215</v>
      </c>
      <c r="J89" s="58">
        <f t="shared" si="179"/>
        <v>0.17908385817676642</v>
      </c>
      <c r="K89" s="58">
        <f t="shared" si="179"/>
        <v>0.12543077638219269</v>
      </c>
      <c r="L89" s="58">
        <f t="shared" si="179"/>
        <v>0.16708177851079276</v>
      </c>
      <c r="M89" s="58">
        <f t="shared" si="179"/>
        <v>0.18972795372887008</v>
      </c>
      <c r="N89" s="58">
        <f t="shared" si="179"/>
        <v>0.18353834581121808</v>
      </c>
      <c r="O89" s="58">
        <f t="shared" si="179"/>
        <v>0.17362198953738628</v>
      </c>
      <c r="P89" s="58">
        <f t="shared" si="179"/>
        <v>0.18093253385077501</v>
      </c>
      <c r="Q89" s="58">
        <f t="shared" si="179"/>
        <v>0.18378047811789644</v>
      </c>
      <c r="R89" s="58">
        <f>EFFECT((R78/100),12)</f>
        <v>0.18381110098082099</v>
      </c>
      <c r="S89" s="58">
        <f t="shared" ref="S89:AC89" si="180">EFFECT((S78/100),12)</f>
        <v>0.17632712854823662</v>
      </c>
      <c r="T89" s="58">
        <f t="shared" si="180"/>
        <v>0.17871053814135274</v>
      </c>
      <c r="U89" s="58">
        <f t="shared" si="180"/>
        <v>0.18824920548980306</v>
      </c>
      <c r="V89" s="58">
        <f t="shared" si="180"/>
        <v>0.19762222260356155</v>
      </c>
      <c r="W89" s="58">
        <f t="shared" si="180"/>
        <v>0.2027578252911526</v>
      </c>
      <c r="X89" s="58">
        <f t="shared" si="180"/>
        <v>0.20133353110379493</v>
      </c>
      <c r="Y89" s="58">
        <f t="shared" si="180"/>
        <v>0.20504207798863017</v>
      </c>
      <c r="Z89" s="58">
        <f t="shared" si="180"/>
        <v>0.22095950098268258</v>
      </c>
      <c r="AA89" s="58">
        <f t="shared" si="180"/>
        <v>0.24802029283790183</v>
      </c>
      <c r="AB89" s="58">
        <f t="shared" si="180"/>
        <v>0.25200185566065936</v>
      </c>
      <c r="AC89" s="58">
        <f t="shared" si="180"/>
        <v>0.24646465393776218</v>
      </c>
      <c r="AD89" s="58">
        <f t="shared" ref="AD89:AN89" si="181">EFFECT((AD78/100),12)</f>
        <v>0.28049456551574714</v>
      </c>
      <c r="AE89" s="58">
        <f t="shared" si="181"/>
        <v>0.27348958277259738</v>
      </c>
      <c r="AF89" s="58">
        <f t="shared" si="181"/>
        <v>0.26806864282353615</v>
      </c>
      <c r="AG89" s="58">
        <f t="shared" si="181"/>
        <v>0.25460074838157998</v>
      </c>
      <c r="AH89" s="58">
        <f t="shared" si="181"/>
        <v>0.25541504876326737</v>
      </c>
      <c r="AI89" s="58">
        <f t="shared" si="181"/>
        <v>0.25937226708493832</v>
      </c>
      <c r="AJ89" s="58">
        <f t="shared" si="181"/>
        <v>0.24807286723573974</v>
      </c>
      <c r="AK89" s="58">
        <f t="shared" si="181"/>
        <v>0.26930974325388402</v>
      </c>
      <c r="AL89" s="58">
        <f t="shared" si="181"/>
        <v>0.25417654431133285</v>
      </c>
      <c r="AM89" s="58">
        <f t="shared" si="181"/>
        <v>0.25417654431133285</v>
      </c>
      <c r="AN89" s="58">
        <f t="shared" si="181"/>
        <v>0.25049178077364909</v>
      </c>
      <c r="AO89" s="58">
        <f t="shared" si="171"/>
        <v>0.2617504592758102</v>
      </c>
      <c r="AP89" s="58">
        <f t="shared" si="171"/>
        <v>0.26528721698479885</v>
      </c>
      <c r="AQ89" s="58">
        <f t="shared" si="171"/>
        <v>0.25180729154119397</v>
      </c>
      <c r="AR89" s="58">
        <f t="shared" si="171"/>
        <v>0.25176958142535222</v>
      </c>
      <c r="AS89" s="58">
        <f t="shared" ref="AS89:AX95" si="182">EFFECT((AS78/100),12)</f>
        <v>0.26170942377494666</v>
      </c>
      <c r="AT89" s="58">
        <f t="shared" si="182"/>
        <v>0.26169178669437287</v>
      </c>
      <c r="AU89" s="58">
        <f t="shared" si="182"/>
        <v>0.25515818531803669</v>
      </c>
      <c r="AV89" s="58">
        <f t="shared" si="182"/>
        <v>0.2461291726496917</v>
      </c>
      <c r="AW89" s="58">
        <f t="shared" si="182"/>
        <v>0.2324826440129828</v>
      </c>
      <c r="AX89" s="58">
        <f t="shared" si="182"/>
        <v>0.242295189643154</v>
      </c>
      <c r="AY89" s="58">
        <f t="shared" si="173"/>
        <v>0.23228487579034884</v>
      </c>
      <c r="AZ89" s="58">
        <f t="shared" si="173"/>
        <v>0.23016081515178977</v>
      </c>
      <c r="BA89" s="58">
        <f t="shared" si="173"/>
        <v>0.22699829015941297</v>
      </c>
      <c r="BB89" s="58">
        <f t="shared" si="173"/>
        <v>0.23026698656362288</v>
      </c>
      <c r="BC89" s="58">
        <f t="shared" si="173"/>
        <v>0.2156304315019717</v>
      </c>
      <c r="BD89" s="58">
        <f t="shared" ref="BD89:BE89" si="183">EFFECT((BD78/100),12)</f>
        <v>0.20217797994124997</v>
      </c>
      <c r="BE89" s="58">
        <f t="shared" si="183"/>
        <v>0.18129361612402684</v>
      </c>
      <c r="BF89" s="58">
        <f t="shared" ref="BF89:BG89" si="184">EFFECT((BF78/100),12)</f>
        <v>0.18276888091790577</v>
      </c>
      <c r="BG89" s="58">
        <f t="shared" si="184"/>
        <v>0.19558668550553637</v>
      </c>
      <c r="BH89" s="58">
        <f t="shared" ref="BH89:BI89" si="185">EFFECT((BH78/100),12)</f>
        <v>0.19955093235408339</v>
      </c>
      <c r="BI89" s="58">
        <f t="shared" si="185"/>
        <v>0.19686745676435002</v>
      </c>
      <c r="BJ89" s="58">
        <f t="shared" ref="BJ89:BK89" si="186">EFFECT((BJ78/100),12)</f>
        <v>0.19025163994765681</v>
      </c>
      <c r="BK89" s="58">
        <f t="shared" si="186"/>
        <v>0.19281569122850617</v>
      </c>
      <c r="BL89" s="58">
        <f t="shared" ref="BL89:BM89" si="187">EFFECT((BL78/100),12)</f>
        <v>0.19942327113787961</v>
      </c>
      <c r="BM89" s="58">
        <f t="shared" si="187"/>
        <v>0.20958540912439916</v>
      </c>
      <c r="BN89" s="6"/>
      <c r="BO89" s="6"/>
    </row>
    <row r="90" spans="1:72" x14ac:dyDescent="0.25">
      <c r="A90" s="40" t="s">
        <v>50</v>
      </c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>
        <f>EFFECT((R79/100),12)</f>
        <v>0.22887972253167521</v>
      </c>
      <c r="S90" s="58">
        <f t="shared" ref="S90:AC90" si="188">EFFECT((S79/100),12)</f>
        <v>0.23215324819015914</v>
      </c>
      <c r="T90" s="58">
        <f t="shared" si="188"/>
        <v>0.23475269211187166</v>
      </c>
      <c r="U90" s="58">
        <f t="shared" si="188"/>
        <v>0.24143386655191468</v>
      </c>
      <c r="V90" s="58">
        <f t="shared" si="188"/>
        <v>1.0000000427723421E-7</v>
      </c>
      <c r="W90" s="58">
        <f t="shared" si="188"/>
        <v>1.0000000427723421E-7</v>
      </c>
      <c r="X90" s="58">
        <f t="shared" si="188"/>
        <v>1.0000000427723421E-7</v>
      </c>
      <c r="Y90" s="58">
        <f t="shared" si="188"/>
        <v>1.0000000427723421E-7</v>
      </c>
      <c r="Z90" s="58">
        <f t="shared" si="188"/>
        <v>1.0000000427723421E-7</v>
      </c>
      <c r="AA90" s="58">
        <f t="shared" si="188"/>
        <v>0.26364288652889112</v>
      </c>
      <c r="AB90" s="58">
        <f t="shared" si="188"/>
        <v>0.2641525520785486</v>
      </c>
      <c r="AC90" s="58">
        <f t="shared" si="188"/>
        <v>0.26794689132510419</v>
      </c>
      <c r="AD90" s="58">
        <f t="shared" ref="AD90:AN90" si="189">EFFECT((AD79/100),12)</f>
        <v>0.2957361087884931</v>
      </c>
      <c r="AE90" s="58">
        <f t="shared" si="189"/>
        <v>0.3009121783980544</v>
      </c>
      <c r="AF90" s="58">
        <f t="shared" si="189"/>
        <v>0.3138255208086731</v>
      </c>
      <c r="AG90" s="58">
        <f t="shared" si="189"/>
        <v>1.0000000427723421E-7</v>
      </c>
      <c r="AH90" s="58">
        <f t="shared" si="189"/>
        <v>1.0000000427723421E-7</v>
      </c>
      <c r="AI90" s="58">
        <f t="shared" si="189"/>
        <v>1.0000000427723421E-7</v>
      </c>
      <c r="AJ90" s="58">
        <f t="shared" si="189"/>
        <v>1.0000000427723421E-7</v>
      </c>
      <c r="AK90" s="58">
        <f t="shared" si="189"/>
        <v>1.0000000427723421E-7</v>
      </c>
      <c r="AL90" s="58">
        <f t="shared" si="189"/>
        <v>1.0000000427723421E-7</v>
      </c>
      <c r="AM90" s="58">
        <f t="shared" si="189"/>
        <v>1.0000000427723421E-7</v>
      </c>
      <c r="AN90" s="58">
        <f t="shared" si="189"/>
        <v>1.0000000427723421E-7</v>
      </c>
      <c r="AO90" s="58">
        <f t="shared" si="171"/>
        <v>1.0000000427723421E-7</v>
      </c>
      <c r="AP90" s="58">
        <f t="shared" si="171"/>
        <v>1.0000000427723421E-7</v>
      </c>
      <c r="AQ90" s="58">
        <f t="shared" si="171"/>
        <v>1.0000000427723421E-7</v>
      </c>
      <c r="AR90" s="58">
        <f t="shared" si="171"/>
        <v>1.0000000427723421E-7</v>
      </c>
      <c r="AS90" s="58">
        <f t="shared" si="182"/>
        <v>0.32984990665776714</v>
      </c>
      <c r="AT90" s="58">
        <f t="shared" si="182"/>
        <v>1.0000000427723421E-7</v>
      </c>
      <c r="AU90" s="58">
        <f t="shared" si="182"/>
        <v>1.0000000427723421E-7</v>
      </c>
      <c r="AV90" s="58">
        <f t="shared" si="182"/>
        <v>1.0000000427723421E-7</v>
      </c>
      <c r="AW90" s="58">
        <f t="shared" si="182"/>
        <v>1.0000000427723421E-7</v>
      </c>
      <c r="AX90" s="58">
        <f t="shared" si="182"/>
        <v>1.0000000427723421E-7</v>
      </c>
      <c r="AY90" s="58">
        <f t="shared" si="173"/>
        <v>1.0000000427723421E-7</v>
      </c>
      <c r="AZ90" s="58">
        <f t="shared" si="173"/>
        <v>1.0000000427723421E-7</v>
      </c>
      <c r="BA90" s="58">
        <f t="shared" si="173"/>
        <v>1.0000000427723421E-7</v>
      </c>
      <c r="BB90" s="58">
        <f t="shared" si="173"/>
        <v>1.0000000427723421E-7</v>
      </c>
      <c r="BC90" s="58">
        <f t="shared" si="173"/>
        <v>1.0000000427723421E-7</v>
      </c>
      <c r="BD90" s="58">
        <f t="shared" ref="BD90:BE90" si="190">EFFECT((BD79/100),12)</f>
        <v>1.0000000427723421E-7</v>
      </c>
      <c r="BE90" s="58">
        <f t="shared" si="190"/>
        <v>1.0000000427723421E-7</v>
      </c>
      <c r="BF90" s="58">
        <f t="shared" ref="BF90:BG90" si="191">EFFECT((BF79/100),12)</f>
        <v>1.0000000427723421E-7</v>
      </c>
      <c r="BG90" s="58">
        <f t="shared" si="191"/>
        <v>1.0000000427723421E-7</v>
      </c>
      <c r="BH90" s="58">
        <f t="shared" ref="BH90:BI90" si="192">EFFECT((BH79/100),12)</f>
        <v>1.0000000427723421E-7</v>
      </c>
      <c r="BI90" s="58">
        <f t="shared" si="192"/>
        <v>1.0000000427723421E-7</v>
      </c>
      <c r="BJ90" s="58">
        <f t="shared" ref="BJ90:BK90" si="193">EFFECT((BJ79/100),12)</f>
        <v>1.0000000427723421E-7</v>
      </c>
      <c r="BK90" s="58">
        <f t="shared" si="193"/>
        <v>1.0000000427723421E-7</v>
      </c>
      <c r="BL90" s="58">
        <f t="shared" ref="BL90:BM90" si="194">EFFECT((BL79/100),12)</f>
        <v>1.0000000427723421E-7</v>
      </c>
      <c r="BM90" s="58">
        <f t="shared" si="194"/>
        <v>1.0000000427723421E-7</v>
      </c>
      <c r="BN90" s="6"/>
      <c r="BO90" s="6"/>
    </row>
    <row r="91" spans="1:72" x14ac:dyDescent="0.25">
      <c r="A91" s="51" t="s">
        <v>15</v>
      </c>
      <c r="B91" s="58">
        <f t="shared" ref="B91:Q91" si="195">EFFECT((B80/100),12)</f>
        <v>0.13350973358141083</v>
      </c>
      <c r="C91" s="58">
        <f t="shared" si="195"/>
        <v>0.13842320815211417</v>
      </c>
      <c r="D91" s="58">
        <f t="shared" si="195"/>
        <v>0.13842320815211417</v>
      </c>
      <c r="E91" s="58">
        <f t="shared" si="195"/>
        <v>0.13842320815211417</v>
      </c>
      <c r="F91" s="58">
        <f t="shared" si="195"/>
        <v>0.1345619050015705</v>
      </c>
      <c r="G91" s="58">
        <f t="shared" si="195"/>
        <v>0.13842320815211417</v>
      </c>
      <c r="H91" s="58">
        <f t="shared" si="195"/>
        <v>0.13842320815211417</v>
      </c>
      <c r="I91" s="58">
        <f t="shared" si="195"/>
        <v>0.13842320815211417</v>
      </c>
      <c r="J91" s="58">
        <f t="shared" si="195"/>
        <v>0.13842320815211417</v>
      </c>
      <c r="K91" s="58">
        <f t="shared" si="195"/>
        <v>0.13842320815211417</v>
      </c>
      <c r="L91" s="58">
        <f t="shared" si="195"/>
        <v>0.13842320815211417</v>
      </c>
      <c r="M91" s="58">
        <f t="shared" si="195"/>
        <v>0.13842320815211417</v>
      </c>
      <c r="N91" s="58">
        <f t="shared" si="195"/>
        <v>0.13842320815211417</v>
      </c>
      <c r="O91" s="58">
        <f t="shared" si="195"/>
        <v>0.13842320815211417</v>
      </c>
      <c r="P91" s="58">
        <f t="shared" si="195"/>
        <v>0.13842320815211417</v>
      </c>
      <c r="Q91" s="58">
        <f t="shared" si="195"/>
        <v>0.13842320815211417</v>
      </c>
      <c r="R91" s="58">
        <f>EFFECT((R80/100),12)</f>
        <v>0.13446192327634376</v>
      </c>
      <c r="S91" s="58">
        <f t="shared" ref="S91:AC91" si="196">EFFECT((S80/100),12)</f>
        <v>0.13372121026410544</v>
      </c>
      <c r="T91" s="58">
        <f t="shared" si="196"/>
        <v>0.13142662380478121</v>
      </c>
      <c r="U91" s="58">
        <f t="shared" si="196"/>
        <v>0.13592677637898265</v>
      </c>
      <c r="V91" s="58">
        <f t="shared" si="196"/>
        <v>0.13432277712567653</v>
      </c>
      <c r="W91" s="58">
        <f t="shared" si="196"/>
        <v>0.11756399874000945</v>
      </c>
      <c r="X91" s="58">
        <f t="shared" si="196"/>
        <v>0.11350091900187009</v>
      </c>
      <c r="Y91" s="58">
        <f t="shared" si="196"/>
        <v>0.128368284180437</v>
      </c>
      <c r="Z91" s="58">
        <f t="shared" si="196"/>
        <v>0.14314924833722964</v>
      </c>
      <c r="AA91" s="58">
        <f t="shared" si="196"/>
        <v>0.15468534965825254</v>
      </c>
      <c r="AB91" s="58">
        <f t="shared" si="196"/>
        <v>0.15453775035184081</v>
      </c>
      <c r="AC91" s="58">
        <f t="shared" si="196"/>
        <v>0.16129809197939893</v>
      </c>
      <c r="AD91" s="58">
        <f t="shared" ref="AD91:AN91" si="197">EFFECT((AD80/100),12)</f>
        <v>0.18537810063088478</v>
      </c>
      <c r="AE91" s="58">
        <f t="shared" si="197"/>
        <v>0.18669407933316262</v>
      </c>
      <c r="AF91" s="58">
        <f t="shared" si="197"/>
        <v>0.18669407933316262</v>
      </c>
      <c r="AG91" s="58">
        <f t="shared" si="197"/>
        <v>0.18669407933316262</v>
      </c>
      <c r="AH91" s="58">
        <f t="shared" si="197"/>
        <v>0.18669407933316262</v>
      </c>
      <c r="AI91" s="58">
        <f t="shared" si="197"/>
        <v>0.18669407933316262</v>
      </c>
      <c r="AJ91" s="58">
        <f t="shared" si="197"/>
        <v>0.18669407933316262</v>
      </c>
      <c r="AK91" s="58">
        <f t="shared" si="197"/>
        <v>0.18669407933316262</v>
      </c>
      <c r="AL91" s="58">
        <f t="shared" si="197"/>
        <v>0.18669407933316262</v>
      </c>
      <c r="AM91" s="58">
        <f t="shared" si="197"/>
        <v>0.18669407933316262</v>
      </c>
      <c r="AN91" s="58">
        <f t="shared" si="197"/>
        <v>0.184233345890221</v>
      </c>
      <c r="AO91" s="58">
        <f t="shared" si="171"/>
        <v>0.18541708704056759</v>
      </c>
      <c r="AP91" s="58">
        <f t="shared" si="171"/>
        <v>0.18669407933316262</v>
      </c>
      <c r="AQ91" s="58">
        <f t="shared" si="171"/>
        <v>0.18669407933316262</v>
      </c>
      <c r="AR91" s="58">
        <f t="shared" si="171"/>
        <v>0.18669407933316262</v>
      </c>
      <c r="AS91" s="58">
        <f t="shared" si="182"/>
        <v>0.18669407933316262</v>
      </c>
      <c r="AT91" s="58">
        <f t="shared" si="182"/>
        <v>0.18669407933316262</v>
      </c>
      <c r="AU91" s="58">
        <f t="shared" si="182"/>
        <v>0.18528526794785338</v>
      </c>
      <c r="AV91" s="58">
        <f t="shared" si="182"/>
        <v>0.18519713246220748</v>
      </c>
      <c r="AW91" s="58">
        <f t="shared" si="182"/>
        <v>0.18669407933316262</v>
      </c>
      <c r="AX91" s="58">
        <f t="shared" si="182"/>
        <v>0.18669407933316262</v>
      </c>
      <c r="AY91" s="58">
        <f t="shared" si="173"/>
        <v>0.18669407933316262</v>
      </c>
      <c r="AZ91" s="58">
        <f t="shared" si="173"/>
        <v>0.18669407933316262</v>
      </c>
      <c r="BA91" s="58">
        <f t="shared" si="173"/>
        <v>0.18600211799759681</v>
      </c>
      <c r="BB91" s="58">
        <f t="shared" si="173"/>
        <v>0.18600211799759681</v>
      </c>
      <c r="BC91" s="58">
        <f t="shared" si="173"/>
        <v>0.18669407933316262</v>
      </c>
      <c r="BD91" s="58">
        <f t="shared" ref="BD91:BE91" si="198">EFFECT((BD80/100),12)</f>
        <v>0.18669407933316262</v>
      </c>
      <c r="BE91" s="58">
        <f t="shared" si="198"/>
        <v>0.15275492836203397</v>
      </c>
      <c r="BF91" s="58">
        <f t="shared" ref="BF91:BG91" si="199">EFFECT((BF80/100),12)</f>
        <v>0.14069654742184223</v>
      </c>
      <c r="BG91" s="58">
        <f t="shared" si="199"/>
        <v>0.13532818742792374</v>
      </c>
      <c r="BH91" s="58">
        <f t="shared" ref="BH91:BI91" si="200">EFFECT((BH80/100),12)</f>
        <v>0.1068437210040265</v>
      </c>
      <c r="BI91" s="58">
        <f t="shared" si="200"/>
        <v>0.12760578848133819</v>
      </c>
      <c r="BJ91" s="58">
        <f t="shared" ref="BJ91:BK91" si="201">EFFECT((BJ80/100),12)</f>
        <v>0.1077123045203332</v>
      </c>
      <c r="BK91" s="58">
        <f t="shared" si="201"/>
        <v>0.16858277974413238</v>
      </c>
      <c r="BL91" s="58">
        <f t="shared" ref="BL91:BM91" si="202">EFFECT((BL80/100),12)</f>
        <v>0.12984282266419145</v>
      </c>
      <c r="BM91" s="58">
        <f t="shared" si="202"/>
        <v>0.1065643033695165</v>
      </c>
      <c r="BN91" s="6"/>
      <c r="BO91" s="6"/>
    </row>
    <row r="92" spans="1:72" x14ac:dyDescent="0.25">
      <c r="A92" s="51" t="s">
        <v>62</v>
      </c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>
        <f t="shared" ref="AH92:AN95" si="203">EFFECT((AH81/100),12)</f>
        <v>0.18669407933316262</v>
      </c>
      <c r="AI92" s="58">
        <f t="shared" si="203"/>
        <v>1.0000000427723421E-7</v>
      </c>
      <c r="AJ92" s="58">
        <f t="shared" si="203"/>
        <v>1.0000000427723421E-7</v>
      </c>
      <c r="AK92" s="58">
        <f t="shared" si="203"/>
        <v>1.0000000427723421E-7</v>
      </c>
      <c r="AL92" s="58">
        <f t="shared" si="203"/>
        <v>1.0000000427723421E-7</v>
      </c>
      <c r="AM92" s="58">
        <f t="shared" si="203"/>
        <v>1.0000000427723421E-7</v>
      </c>
      <c r="AN92" s="58">
        <f t="shared" si="203"/>
        <v>1.0000000427723421E-7</v>
      </c>
      <c r="AO92" s="58">
        <f t="shared" si="171"/>
        <v>1.0000000427723421E-7</v>
      </c>
      <c r="AP92" s="58">
        <f t="shared" si="171"/>
        <v>1.0000000427723421E-7</v>
      </c>
      <c r="AQ92" s="58">
        <f t="shared" si="171"/>
        <v>0.18669407933316262</v>
      </c>
      <c r="AR92" s="58">
        <f t="shared" si="171"/>
        <v>1.0000000427723421E-7</v>
      </c>
      <c r="AS92" s="58">
        <f t="shared" si="182"/>
        <v>1.0000000427723421E-7</v>
      </c>
      <c r="AT92" s="58">
        <f t="shared" si="182"/>
        <v>1.0000000427723421E-7</v>
      </c>
      <c r="AU92" s="58">
        <f t="shared" si="182"/>
        <v>1.0000000427723421E-7</v>
      </c>
      <c r="AV92" s="58">
        <f t="shared" si="182"/>
        <v>1.0000000427723421E-7</v>
      </c>
      <c r="AW92" s="58">
        <f t="shared" si="182"/>
        <v>1.0000000427723421E-7</v>
      </c>
      <c r="AX92" s="58">
        <f t="shared" si="182"/>
        <v>0.18669641910907542</v>
      </c>
      <c r="AY92" s="58">
        <f t="shared" si="173"/>
        <v>0.18669641910907542</v>
      </c>
      <c r="AZ92" s="58">
        <f t="shared" si="173"/>
        <v>0.18669641910907542</v>
      </c>
      <c r="BA92" s="58">
        <f t="shared" si="173"/>
        <v>0.18669641910907542</v>
      </c>
      <c r="BB92" s="58">
        <f t="shared" si="173"/>
        <v>0.18669641910907542</v>
      </c>
      <c r="BC92" s="58">
        <f t="shared" si="173"/>
        <v>0.18669641910907542</v>
      </c>
      <c r="BD92" s="58">
        <f t="shared" ref="BD92:BE92" si="204">EFFECT((BD81/100),12)</f>
        <v>1.0000000427723421E-7</v>
      </c>
      <c r="BE92" s="58">
        <f t="shared" si="204"/>
        <v>1.0000000427723421E-7</v>
      </c>
      <c r="BF92" s="58">
        <f t="shared" ref="BF92:BG92" si="205">EFFECT((BF81/100),12)</f>
        <v>1.0000000427723421E-7</v>
      </c>
      <c r="BG92" s="58">
        <f t="shared" si="205"/>
        <v>1.0000000427723421E-7</v>
      </c>
      <c r="BH92" s="58">
        <f t="shared" ref="BH92:BI92" si="206">EFFECT((BH81/100),12)</f>
        <v>1.0000000427723421E-7</v>
      </c>
      <c r="BI92" s="58">
        <f t="shared" si="206"/>
        <v>1.0000000427723421E-7</v>
      </c>
      <c r="BJ92" s="58">
        <f t="shared" ref="BJ92:BK92" si="207">EFFECT((BJ81/100),12)</f>
        <v>1.0000000427723421E-7</v>
      </c>
      <c r="BK92" s="58">
        <f t="shared" si="207"/>
        <v>1.0000000427723421E-7</v>
      </c>
      <c r="BL92" s="58">
        <f t="shared" ref="BL92:BM92" si="208">EFFECT((BL81/100),12)</f>
        <v>1.0000000427723421E-7</v>
      </c>
      <c r="BM92" s="58">
        <f t="shared" si="208"/>
        <v>1.0000000427723421E-7</v>
      </c>
      <c r="BN92" s="6"/>
      <c r="BO92" s="6"/>
    </row>
    <row r="93" spans="1:72" x14ac:dyDescent="0.25">
      <c r="A93" s="51" t="s">
        <v>14</v>
      </c>
      <c r="B93" s="58">
        <f t="shared" ref="B93:Q93" si="209">EFFECT((B82/100),12)</f>
        <v>0.20031639699861281</v>
      </c>
      <c r="C93" s="58">
        <f t="shared" si="209"/>
        <v>0.18929850609066934</v>
      </c>
      <c r="D93" s="58">
        <f t="shared" si="209"/>
        <v>0.18566215992239044</v>
      </c>
      <c r="E93" s="58">
        <f t="shared" si="209"/>
        <v>0.17122425297914412</v>
      </c>
      <c r="F93" s="58">
        <f t="shared" si="209"/>
        <v>0.15567013001872265</v>
      </c>
      <c r="G93" s="58">
        <f t="shared" si="209"/>
        <v>0.18773565269081338</v>
      </c>
      <c r="H93" s="58">
        <f t="shared" si="209"/>
        <v>0.17108103033508648</v>
      </c>
      <c r="I93" s="58">
        <f t="shared" si="209"/>
        <v>0.15967905375785407</v>
      </c>
      <c r="J93" s="58">
        <f t="shared" si="209"/>
        <v>0.15480020027663044</v>
      </c>
      <c r="K93" s="58">
        <f t="shared" si="209"/>
        <v>0.15675006039525119</v>
      </c>
      <c r="L93" s="58">
        <f t="shared" si="209"/>
        <v>0.16039385330436895</v>
      </c>
      <c r="M93" s="58">
        <f t="shared" si="209"/>
        <v>0.14556814986796374</v>
      </c>
      <c r="N93" s="58">
        <f t="shared" si="209"/>
        <v>0.13446023638855054</v>
      </c>
      <c r="O93" s="58">
        <f t="shared" si="209"/>
        <v>0.13127189012736817</v>
      </c>
      <c r="P93" s="58">
        <f t="shared" si="209"/>
        <v>0.13799632711997134</v>
      </c>
      <c r="Q93" s="58">
        <f t="shared" si="209"/>
        <v>0.14607535629342361</v>
      </c>
      <c r="R93" s="58">
        <f>EFFECT((R82/100),12)</f>
        <v>0.14439325343608322</v>
      </c>
      <c r="S93" s="58">
        <f t="shared" ref="S93:AC93" si="210">EFFECT((S82/100),12)</f>
        <v>0.14627037185370884</v>
      </c>
      <c r="T93" s="58">
        <f t="shared" si="210"/>
        <v>0.15992208745863468</v>
      </c>
      <c r="U93" s="58">
        <f t="shared" si="210"/>
        <v>0.13584636141171225</v>
      </c>
      <c r="V93" s="58">
        <f t="shared" si="210"/>
        <v>0.15972315618123689</v>
      </c>
      <c r="W93" s="58">
        <f t="shared" si="210"/>
        <v>0.15976761309928311</v>
      </c>
      <c r="X93" s="58">
        <f t="shared" si="210"/>
        <v>0.1153215202042519</v>
      </c>
      <c r="Y93" s="58">
        <f t="shared" si="210"/>
        <v>0.12453900788591565</v>
      </c>
      <c r="Z93" s="58">
        <f t="shared" si="210"/>
        <v>0.15223293637911883</v>
      </c>
      <c r="AA93" s="58">
        <f t="shared" si="210"/>
        <v>0.15569113338249796</v>
      </c>
      <c r="AB93" s="58">
        <f t="shared" si="210"/>
        <v>0.1597921089575931</v>
      </c>
      <c r="AC93" s="58">
        <f t="shared" si="210"/>
        <v>0.16080987464808838</v>
      </c>
      <c r="AD93" s="58">
        <f t="shared" ref="AD93:AG95" si="211">EFFECT((AD82/100),12)</f>
        <v>0.18567103628598769</v>
      </c>
      <c r="AE93" s="58">
        <f t="shared" si="211"/>
        <v>0.19584422250884881</v>
      </c>
      <c r="AF93" s="58">
        <f t="shared" si="211"/>
        <v>0.20206832965719967</v>
      </c>
      <c r="AG93" s="58">
        <f t="shared" si="211"/>
        <v>0.2015173713543601</v>
      </c>
      <c r="AH93" s="58">
        <f t="shared" si="203"/>
        <v>0.18727007813701979</v>
      </c>
      <c r="AI93" s="58">
        <f t="shared" si="203"/>
        <v>0.20133268910889557</v>
      </c>
      <c r="AJ93" s="58">
        <f t="shared" si="203"/>
        <v>0.19032371907532064</v>
      </c>
      <c r="AK93" s="58">
        <f t="shared" si="203"/>
        <v>0.20739700091548041</v>
      </c>
      <c r="AL93" s="58">
        <f t="shared" si="203"/>
        <v>0.19441320394947503</v>
      </c>
      <c r="AM93" s="58">
        <f t="shared" si="203"/>
        <v>0.21472112872983828</v>
      </c>
      <c r="AN93" s="58">
        <f t="shared" si="203"/>
        <v>0.19984246428659125</v>
      </c>
      <c r="AO93" s="58">
        <f t="shared" si="171"/>
        <v>0.18888759572699931</v>
      </c>
      <c r="AP93" s="58">
        <f t="shared" si="171"/>
        <v>0.18269457801778843</v>
      </c>
      <c r="AQ93" s="58">
        <f t="shared" si="171"/>
        <v>0.18269457801778843</v>
      </c>
      <c r="AR93" s="58">
        <f t="shared" si="171"/>
        <v>0.18269457801778843</v>
      </c>
      <c r="AS93" s="58">
        <f t="shared" si="182"/>
        <v>0.17333671111341942</v>
      </c>
      <c r="AT93" s="58">
        <f t="shared" si="182"/>
        <v>0.17908963233177189</v>
      </c>
      <c r="AU93" s="58">
        <f t="shared" si="182"/>
        <v>0.19563792444932515</v>
      </c>
      <c r="AV93" s="58">
        <f t="shared" si="182"/>
        <v>0.17971925070550299</v>
      </c>
      <c r="AW93" s="58">
        <f t="shared" si="182"/>
        <v>0.18269457801778843</v>
      </c>
      <c r="AX93" s="58">
        <f t="shared" si="182"/>
        <v>0.17875704224869771</v>
      </c>
      <c r="AY93" s="58">
        <f t="shared" si="173"/>
        <v>0.18269457801778843</v>
      </c>
      <c r="AZ93" s="58">
        <f t="shared" si="173"/>
        <v>0.18218195725555053</v>
      </c>
      <c r="BA93" s="58">
        <f t="shared" si="173"/>
        <v>0.18269457801778843</v>
      </c>
      <c r="BB93" s="58">
        <f t="shared" si="173"/>
        <v>0.18269457801778843</v>
      </c>
      <c r="BC93" s="58">
        <f t="shared" si="173"/>
        <v>0.15615199926767076</v>
      </c>
      <c r="BD93" s="58">
        <f t="shared" ref="BD93:BE93" si="212">EFFECT((BD82/100),12)</f>
        <v>0.15861049132974614</v>
      </c>
      <c r="BE93" s="58">
        <f t="shared" si="212"/>
        <v>0.15667127184380258</v>
      </c>
      <c r="BF93" s="58">
        <f t="shared" ref="BF93:BG93" si="213">EFFECT((BF82/100),12)</f>
        <v>0.14989937623657124</v>
      </c>
      <c r="BG93" s="58">
        <f t="shared" si="213"/>
        <v>0.13410082701322334</v>
      </c>
      <c r="BH93" s="58">
        <f t="shared" ref="BH93:BI93" si="214">EFFECT((BH82/100),12)</f>
        <v>0.13367487605994199</v>
      </c>
      <c r="BI93" s="58">
        <f t="shared" si="214"/>
        <v>0.13475290373546267</v>
      </c>
      <c r="BJ93" s="58">
        <f t="shared" ref="BJ93:BK93" si="215">EFFECT((BJ82/100),12)</f>
        <v>0.14420411328531091</v>
      </c>
      <c r="BK93" s="58">
        <f t="shared" si="215"/>
        <v>0.13628917777821248</v>
      </c>
      <c r="BL93" s="58">
        <f t="shared" ref="BL93:BM93" si="216">EFFECT((BL82/100),12)</f>
        <v>0.13266111899053157</v>
      </c>
      <c r="BM93" s="58">
        <f t="shared" si="216"/>
        <v>0.13305550518379539</v>
      </c>
      <c r="BN93" s="6"/>
      <c r="BO93" s="6"/>
    </row>
    <row r="94" spans="1:72" x14ac:dyDescent="0.25">
      <c r="A94" s="51" t="s">
        <v>13</v>
      </c>
      <c r="B94" s="58">
        <f t="shared" ref="B94:Q94" si="217">EFFECT((B83/100),12)</f>
        <v>0.10566423231093092</v>
      </c>
      <c r="C94" s="58">
        <f t="shared" si="217"/>
        <v>9.8933477725002605E-2</v>
      </c>
      <c r="D94" s="58">
        <f t="shared" si="217"/>
        <v>9.5546278960409792E-2</v>
      </c>
      <c r="E94" s="58">
        <f t="shared" si="217"/>
        <v>0.10195455544252274</v>
      </c>
      <c r="F94" s="58">
        <f t="shared" si="217"/>
        <v>7.804900069216103E-2</v>
      </c>
      <c r="G94" s="58">
        <f t="shared" si="217"/>
        <v>0.10383177442810587</v>
      </c>
      <c r="H94" s="58">
        <f t="shared" si="217"/>
        <v>9.5578492052816211E-2</v>
      </c>
      <c r="I94" s="58">
        <f t="shared" si="217"/>
        <v>9.0977501439560182E-2</v>
      </c>
      <c r="J94" s="58">
        <f t="shared" si="217"/>
        <v>8.8755315716297467E-2</v>
      </c>
      <c r="K94" s="58">
        <f t="shared" si="217"/>
        <v>9.0387686814171975E-2</v>
      </c>
      <c r="L94" s="58">
        <f t="shared" si="217"/>
        <v>9.4892574249225259E-2</v>
      </c>
      <c r="M94" s="58">
        <f t="shared" si="217"/>
        <v>9.1841051743688285E-2</v>
      </c>
      <c r="N94" s="58">
        <f t="shared" si="217"/>
        <v>9.676666122667954E-2</v>
      </c>
      <c r="O94" s="58">
        <f t="shared" si="217"/>
        <v>8.5540890435389372E-2</v>
      </c>
      <c r="P94" s="58">
        <f t="shared" si="217"/>
        <v>8.7239914953386677E-2</v>
      </c>
      <c r="Q94" s="58">
        <f t="shared" si="217"/>
        <v>9.8268703922786305E-2</v>
      </c>
      <c r="R94" s="58">
        <f>EFFECT((R83/100),12)</f>
        <v>8.4773257207301667E-2</v>
      </c>
      <c r="S94" s="58">
        <f t="shared" ref="S94:AC94" si="218">EFFECT((S83/100),12)</f>
        <v>9.2069314000620794E-2</v>
      </c>
      <c r="T94" s="58">
        <f t="shared" si="218"/>
        <v>8.7998842458314241E-2</v>
      </c>
      <c r="U94" s="58">
        <f t="shared" si="218"/>
        <v>9.2071043889927706E-2</v>
      </c>
      <c r="V94" s="58">
        <f t="shared" si="218"/>
        <v>0.10154006091162726</v>
      </c>
      <c r="W94" s="58">
        <f t="shared" si="218"/>
        <v>0.10237800886301485</v>
      </c>
      <c r="X94" s="58">
        <f t="shared" si="218"/>
        <v>0.10264352981257696</v>
      </c>
      <c r="Y94" s="58">
        <f t="shared" si="218"/>
        <v>9.7972776837741415E-2</v>
      </c>
      <c r="Z94" s="58">
        <f t="shared" si="218"/>
        <v>9.9035922592631609E-2</v>
      </c>
      <c r="AA94" s="58">
        <f t="shared" si="218"/>
        <v>0.10339890620109382</v>
      </c>
      <c r="AB94" s="58">
        <f t="shared" si="218"/>
        <v>0.11042341635193842</v>
      </c>
      <c r="AC94" s="58">
        <f t="shared" si="218"/>
        <v>0.12951583984207771</v>
      </c>
      <c r="AD94" s="58">
        <f t="shared" si="211"/>
        <v>0.1502543293639842</v>
      </c>
      <c r="AE94" s="58">
        <f t="shared" si="211"/>
        <v>0.15399414916354082</v>
      </c>
      <c r="AF94" s="58">
        <f t="shared" si="211"/>
        <v>0.14348524036414356</v>
      </c>
      <c r="AG94" s="58">
        <f t="shared" si="211"/>
        <v>0.1572021676970643</v>
      </c>
      <c r="AH94" s="58">
        <f t="shared" si="203"/>
        <v>0.16129194686676263</v>
      </c>
      <c r="AI94" s="58">
        <f t="shared" si="203"/>
        <v>0.16217507284856159</v>
      </c>
      <c r="AJ94" s="58">
        <f t="shared" si="203"/>
        <v>0.16852170735048588</v>
      </c>
      <c r="AK94" s="58">
        <f t="shared" si="203"/>
        <v>0.14231001248665764</v>
      </c>
      <c r="AL94" s="58">
        <f t="shared" si="203"/>
        <v>0.15365410346299035</v>
      </c>
      <c r="AM94" s="58">
        <f t="shared" si="203"/>
        <v>0.14656818111082215</v>
      </c>
      <c r="AN94" s="58">
        <f t="shared" si="203"/>
        <v>0.14739838187599452</v>
      </c>
      <c r="AO94" s="58">
        <f t="shared" si="171"/>
        <v>0.14388222372918746</v>
      </c>
      <c r="AP94" s="58">
        <f t="shared" si="171"/>
        <v>0.15460175420980637</v>
      </c>
      <c r="AQ94" s="58">
        <f t="shared" si="171"/>
        <v>0.14681248475832875</v>
      </c>
      <c r="AR94" s="58">
        <f t="shared" si="171"/>
        <v>0.14365847867166637</v>
      </c>
      <c r="AS94" s="58">
        <f t="shared" si="182"/>
        <v>0.13582405780477713</v>
      </c>
      <c r="AT94" s="58">
        <f t="shared" si="182"/>
        <v>0.12351099786789921</v>
      </c>
      <c r="AU94" s="58">
        <f t="shared" si="182"/>
        <v>0.13814833486432421</v>
      </c>
      <c r="AV94" s="58">
        <f t="shared" si="182"/>
        <v>0.12676316531025766</v>
      </c>
      <c r="AW94" s="58">
        <f t="shared" si="182"/>
        <v>0.11625622244279499</v>
      </c>
      <c r="AX94" s="58">
        <f t="shared" si="182"/>
        <v>0.12190830308953537</v>
      </c>
      <c r="AY94" s="58">
        <f t="shared" si="173"/>
        <v>0.10977847777609329</v>
      </c>
      <c r="AZ94" s="58">
        <f t="shared" si="173"/>
        <v>0.11954134548474804</v>
      </c>
      <c r="BA94" s="58">
        <f t="shared" si="173"/>
        <v>0.11487927168459477</v>
      </c>
      <c r="BB94" s="58">
        <f t="shared" si="173"/>
        <v>0.11382600078251603</v>
      </c>
      <c r="BC94" s="58">
        <f t="shared" si="173"/>
        <v>0.10499950023286675</v>
      </c>
      <c r="BD94" s="58">
        <f t="shared" ref="BD94:BE94" si="219">EFFECT((BD83/100),12)</f>
        <v>0.10029819089755332</v>
      </c>
      <c r="BE94" s="58">
        <f t="shared" si="219"/>
        <v>8.6407157926658762E-2</v>
      </c>
      <c r="BF94" s="58">
        <f t="shared" ref="BF94:BG94" si="220">EFFECT((BF83/100),12)</f>
        <v>0.10213174569226657</v>
      </c>
      <c r="BG94" s="58">
        <f t="shared" si="220"/>
        <v>9.6315626872646387E-2</v>
      </c>
      <c r="BH94" s="58">
        <f t="shared" ref="BH94" si="221">EFFECT((BH83/100),12)</f>
        <v>9.6401909043288381E-2</v>
      </c>
      <c r="BI94" s="58">
        <f>EFFECT((BI83/100),12)</f>
        <v>0.10998407502145802</v>
      </c>
      <c r="BJ94" s="58">
        <f>EFFECT((BJ83/100),12)</f>
        <v>0.11686988661326958</v>
      </c>
      <c r="BK94" s="58">
        <f>EFFECT((BK83/100),12)</f>
        <v>0.11002556308228995</v>
      </c>
      <c r="BL94" s="58">
        <f>EFFECT((BL83/100),12)</f>
        <v>0.11185051889869357</v>
      </c>
      <c r="BM94" s="58">
        <f>EFFECT((BM83/100),12)</f>
        <v>0.11134195157961568</v>
      </c>
      <c r="BN94" s="6"/>
      <c r="BO94" s="6"/>
    </row>
    <row r="95" spans="1:72" x14ac:dyDescent="0.25">
      <c r="A95" s="40" t="s">
        <v>49</v>
      </c>
      <c r="B95" s="58">
        <v>0</v>
      </c>
      <c r="C95" s="58">
        <v>0</v>
      </c>
      <c r="D95" s="58">
        <v>0</v>
      </c>
      <c r="E95" s="58">
        <v>0</v>
      </c>
      <c r="F95" s="58">
        <v>0</v>
      </c>
      <c r="G95" s="58">
        <v>0</v>
      </c>
      <c r="H95" s="58">
        <v>0</v>
      </c>
      <c r="I95" s="58">
        <v>0</v>
      </c>
      <c r="J95" s="58">
        <v>0</v>
      </c>
      <c r="K95" s="58">
        <f>EFFECT((K84/100),12)</f>
        <v>0.220396452869009</v>
      </c>
      <c r="L95" s="58">
        <f>EFFECT((L84/100),12)</f>
        <v>0.22201048989134664</v>
      </c>
      <c r="M95" s="58">
        <f>EFFECT((M84/100),12)</f>
        <v>0.22349522761231588</v>
      </c>
      <c r="N95" s="58">
        <v>0</v>
      </c>
      <c r="O95" s="58">
        <v>0</v>
      </c>
      <c r="P95" s="58">
        <v>0</v>
      </c>
      <c r="Q95" s="58">
        <v>0</v>
      </c>
      <c r="R95" s="58">
        <f>EFFECT((R84/100),12)</f>
        <v>1.0000000427723421E-7</v>
      </c>
      <c r="S95" s="58">
        <f>EFFECT((S84/100),12)</f>
        <v>1.0000000427723421E-7</v>
      </c>
      <c r="T95" s="58">
        <f>EFFECT((T84/100),12)</f>
        <v>1.0000000427723421E-7</v>
      </c>
      <c r="U95" s="58">
        <v>0</v>
      </c>
      <c r="V95" s="58">
        <f t="shared" ref="V95:AC95" si="222">EFFECT((V84/100),12)</f>
        <v>0.11086397456076313</v>
      </c>
      <c r="W95" s="58">
        <f t="shared" si="222"/>
        <v>0.11053366749027549</v>
      </c>
      <c r="X95" s="58">
        <f t="shared" si="222"/>
        <v>0.10126518295892795</v>
      </c>
      <c r="Y95" s="58">
        <f t="shared" si="222"/>
        <v>9.9372003873577253E-2</v>
      </c>
      <c r="Z95" s="58">
        <f t="shared" si="222"/>
        <v>9.8576731843211363E-2</v>
      </c>
      <c r="AA95" s="58">
        <f t="shared" si="222"/>
        <v>9.7510177068830473E-2</v>
      </c>
      <c r="AB95" s="58">
        <f t="shared" si="222"/>
        <v>0.10284112919445576</v>
      </c>
      <c r="AC95" s="58">
        <f t="shared" si="222"/>
        <v>0.10039417046491561</v>
      </c>
      <c r="AD95" s="58">
        <f t="shared" si="211"/>
        <v>1.0000000427723421E-7</v>
      </c>
      <c r="AE95" s="58">
        <f t="shared" si="211"/>
        <v>1.0000000427723421E-7</v>
      </c>
      <c r="AF95" s="58">
        <f t="shared" si="211"/>
        <v>1.0000000427723421E-7</v>
      </c>
      <c r="AG95" s="58">
        <f t="shared" si="211"/>
        <v>1.0000000427723421E-7</v>
      </c>
      <c r="AH95" s="58">
        <f t="shared" si="203"/>
        <v>1.0000000427723421E-7</v>
      </c>
      <c r="AI95" s="58">
        <f t="shared" si="203"/>
        <v>1.0000000427723421E-7</v>
      </c>
      <c r="AJ95" s="58">
        <f t="shared" si="203"/>
        <v>1.0000000427723421E-7</v>
      </c>
      <c r="AK95" s="58">
        <f t="shared" si="203"/>
        <v>1.0000000427723421E-7</v>
      </c>
      <c r="AL95" s="58">
        <f t="shared" si="203"/>
        <v>1.0000000427723421E-7</v>
      </c>
      <c r="AM95" s="58">
        <f t="shared" si="203"/>
        <v>1.0000000427723421E-7</v>
      </c>
      <c r="AN95" s="58">
        <f t="shared" si="203"/>
        <v>1.0000000427723421E-7</v>
      </c>
      <c r="AO95" s="58">
        <f t="shared" si="171"/>
        <v>1.0000000427723421E-7</v>
      </c>
      <c r="AP95" s="58">
        <f t="shared" si="171"/>
        <v>1.0000000427723421E-7</v>
      </c>
      <c r="AQ95" s="58">
        <f t="shared" si="171"/>
        <v>1.0000000427723421E-7</v>
      </c>
      <c r="AR95" s="58">
        <f t="shared" si="171"/>
        <v>1.0000000427723421E-7</v>
      </c>
      <c r="AS95" s="58">
        <f t="shared" si="182"/>
        <v>1.0000000427723421E-7</v>
      </c>
      <c r="AT95" s="58">
        <f t="shared" si="182"/>
        <v>1.0000000427723421E-7</v>
      </c>
      <c r="AU95" s="58">
        <f t="shared" si="182"/>
        <v>1.0000000427723421E-7</v>
      </c>
      <c r="AV95" s="58">
        <f t="shared" si="182"/>
        <v>1.0000000427723421E-7</v>
      </c>
      <c r="AW95" s="58">
        <f t="shared" si="182"/>
        <v>1.0000000427723421E-7</v>
      </c>
      <c r="AX95" s="58">
        <f t="shared" si="182"/>
        <v>1.0000000427723421E-7</v>
      </c>
      <c r="AY95" s="58">
        <f t="shared" si="173"/>
        <v>1.0000000427723421E-7</v>
      </c>
      <c r="AZ95" s="58">
        <f t="shared" si="173"/>
        <v>1.0000000427723421E-7</v>
      </c>
      <c r="BA95" s="58">
        <f t="shared" si="173"/>
        <v>1.0000000427723421E-7</v>
      </c>
      <c r="BB95" s="58">
        <f t="shared" si="173"/>
        <v>1.0000000427723421E-7</v>
      </c>
      <c r="BC95" s="58">
        <f t="shared" si="173"/>
        <v>1.0000000427723421E-7</v>
      </c>
      <c r="BD95" s="58">
        <f t="shared" ref="BD95:BE95" si="223">EFFECT((BD84/100),12)</f>
        <v>1.0000000427723421E-7</v>
      </c>
      <c r="BE95" s="58">
        <f t="shared" si="223"/>
        <v>1.0000000427723421E-7</v>
      </c>
      <c r="BF95" s="58">
        <f t="shared" ref="BF95:BG95" si="224">EFFECT((BF84/100),12)</f>
        <v>1.0000000427723421E-7</v>
      </c>
      <c r="BG95" s="58">
        <f t="shared" si="224"/>
        <v>1.0000000427723421E-7</v>
      </c>
      <c r="BH95" s="58">
        <f t="shared" ref="BH95:BI95" si="225">EFFECT((BH84/100),12)</f>
        <v>1.0000000427723421E-7</v>
      </c>
      <c r="BI95" s="58">
        <f t="shared" si="225"/>
        <v>1.0000000427723421E-7</v>
      </c>
      <c r="BJ95" s="58">
        <f t="shared" ref="BJ95:BK95" si="226">EFFECT((BJ84/100),12)</f>
        <v>1.0000000427723421E-7</v>
      </c>
      <c r="BK95" s="58">
        <f t="shared" si="226"/>
        <v>1.0000000427723421E-7</v>
      </c>
      <c r="BL95" s="58">
        <f t="shared" ref="BL95:BM95" si="227">EFFECT((BL84/100),12)</f>
        <v>1.0000000427723421E-7</v>
      </c>
      <c r="BM95" s="58">
        <f t="shared" si="227"/>
        <v>1.0000000427723421E-7</v>
      </c>
      <c r="BN95" s="6"/>
      <c r="BO95" s="6"/>
    </row>
    <row r="96" spans="1:72" x14ac:dyDescent="0.25">
      <c r="F96" s="6"/>
    </row>
    <row r="97" spans="1:67" x14ac:dyDescent="0.25">
      <c r="A97" s="46" t="s">
        <v>30</v>
      </c>
      <c r="B97" s="38">
        <v>44075</v>
      </c>
      <c r="C97" s="38">
        <v>44105</v>
      </c>
      <c r="D97" s="38">
        <v>44136</v>
      </c>
      <c r="E97" s="38">
        <v>44166</v>
      </c>
      <c r="F97" s="38">
        <v>44197</v>
      </c>
      <c r="G97" s="38">
        <v>44228</v>
      </c>
      <c r="H97" s="38">
        <v>44256</v>
      </c>
      <c r="I97" s="38">
        <v>44287</v>
      </c>
      <c r="J97" s="38">
        <v>44317</v>
      </c>
      <c r="K97" s="38">
        <v>44348</v>
      </c>
      <c r="L97" s="38">
        <v>44378</v>
      </c>
      <c r="M97" s="38">
        <v>44409</v>
      </c>
      <c r="N97" s="38">
        <v>44440</v>
      </c>
      <c r="O97" s="38">
        <v>44470</v>
      </c>
      <c r="P97" s="38">
        <v>44501</v>
      </c>
      <c r="Q97" s="38">
        <v>44531</v>
      </c>
      <c r="R97" s="38">
        <v>44562</v>
      </c>
      <c r="S97" s="38">
        <v>44593</v>
      </c>
      <c r="T97" s="38">
        <v>44621</v>
      </c>
      <c r="U97" s="38">
        <v>44652</v>
      </c>
      <c r="V97" s="38">
        <v>44682</v>
      </c>
      <c r="W97" s="38">
        <v>44713</v>
      </c>
      <c r="X97" s="38">
        <v>44743</v>
      </c>
      <c r="Y97" s="38">
        <v>44774</v>
      </c>
      <c r="Z97" s="38">
        <v>44805</v>
      </c>
      <c r="AA97" s="38">
        <v>44835</v>
      </c>
      <c r="AB97" s="38">
        <v>44866</v>
      </c>
      <c r="AC97" s="38">
        <v>44896</v>
      </c>
      <c r="AD97" s="38">
        <v>44927</v>
      </c>
      <c r="AE97" s="38">
        <v>44958</v>
      </c>
      <c r="AF97" s="38">
        <v>44986</v>
      </c>
      <c r="AG97" s="38">
        <v>45017</v>
      </c>
      <c r="AH97" s="38">
        <v>45047</v>
      </c>
      <c r="AI97" s="38">
        <v>45078</v>
      </c>
      <c r="AJ97" s="38">
        <v>45108</v>
      </c>
      <c r="AK97" s="38">
        <v>45139</v>
      </c>
      <c r="AL97" s="38">
        <v>45170</v>
      </c>
      <c r="AM97" s="38">
        <v>45200</v>
      </c>
      <c r="AN97" s="38">
        <v>45231</v>
      </c>
      <c r="AO97" s="38">
        <v>45261</v>
      </c>
      <c r="AP97" s="38">
        <v>45292</v>
      </c>
      <c r="AQ97" s="38">
        <v>45323</v>
      </c>
      <c r="AR97" s="38">
        <v>45352</v>
      </c>
      <c r="AS97" s="38">
        <v>45383</v>
      </c>
      <c r="AT97" s="38">
        <v>45413</v>
      </c>
      <c r="AU97" s="38">
        <v>45444</v>
      </c>
      <c r="AV97" s="38">
        <v>45474</v>
      </c>
      <c r="AW97" s="38">
        <v>45505</v>
      </c>
      <c r="AX97" s="38">
        <v>45536</v>
      </c>
      <c r="AY97" s="38">
        <v>45566</v>
      </c>
      <c r="AZ97" s="38">
        <v>45597</v>
      </c>
      <c r="BA97" s="38">
        <v>45627</v>
      </c>
      <c r="BB97" s="38">
        <v>45658</v>
      </c>
      <c r="BC97" s="38">
        <v>45689</v>
      </c>
      <c r="BD97" s="38">
        <v>45717</v>
      </c>
      <c r="BE97" s="38">
        <v>45748</v>
      </c>
      <c r="BF97" s="38">
        <v>45778</v>
      </c>
      <c r="BG97" s="38">
        <v>45809</v>
      </c>
      <c r="BH97" s="38">
        <v>45839</v>
      </c>
      <c r="BI97" s="38">
        <v>45870</v>
      </c>
      <c r="BJ97" s="38">
        <v>45901</v>
      </c>
      <c r="BK97" s="38">
        <v>45931</v>
      </c>
      <c r="BL97" s="38">
        <v>45962</v>
      </c>
      <c r="BM97" s="38">
        <v>45992</v>
      </c>
      <c r="BN97" s="2"/>
      <c r="BO97" s="2"/>
    </row>
    <row r="98" spans="1:67" x14ac:dyDescent="0.25">
      <c r="A98" s="57" t="s">
        <v>29</v>
      </c>
      <c r="B98" s="58">
        <f t="shared" ref="B98:AC98" si="228">SUMPRODUCT(B52:B53,B87:B88)/B70</f>
        <v>0.22628997274735352</v>
      </c>
      <c r="C98" s="58">
        <f t="shared" si="228"/>
        <v>0.22654278735910852</v>
      </c>
      <c r="D98" s="58">
        <f t="shared" si="228"/>
        <v>0.22717633797891146</v>
      </c>
      <c r="E98" s="58">
        <f t="shared" si="228"/>
        <v>0.22592573184863726</v>
      </c>
      <c r="F98" s="58">
        <f t="shared" si="228"/>
        <v>0.2277244216301158</v>
      </c>
      <c r="G98" s="58">
        <f t="shared" si="228"/>
        <v>0.22766343852555726</v>
      </c>
      <c r="H98" s="58">
        <f t="shared" si="228"/>
        <v>0.2273754573069636</v>
      </c>
      <c r="I98" s="58">
        <f t="shared" si="228"/>
        <v>0.22753772528135385</v>
      </c>
      <c r="J98" s="58">
        <f t="shared" si="228"/>
        <v>0.22657073442187381</v>
      </c>
      <c r="K98" s="58">
        <f t="shared" si="228"/>
        <v>0.22660738696802629</v>
      </c>
      <c r="L98" s="58">
        <f t="shared" si="228"/>
        <v>0.22785803226214693</v>
      </c>
      <c r="M98" s="58">
        <f t="shared" si="228"/>
        <v>0.22815816098689093</v>
      </c>
      <c r="N98" s="58">
        <f t="shared" si="228"/>
        <v>0.22706698765089581</v>
      </c>
      <c r="O98" s="58">
        <f t="shared" si="228"/>
        <v>0.22794258139510992</v>
      </c>
      <c r="P98" s="58">
        <f t="shared" si="228"/>
        <v>0.22786079036203633</v>
      </c>
      <c r="Q98" s="58">
        <f t="shared" si="228"/>
        <v>0.22678378949884842</v>
      </c>
      <c r="R98" s="58">
        <f t="shared" si="228"/>
        <v>0.22757831066274353</v>
      </c>
      <c r="S98" s="58">
        <f t="shared" si="228"/>
        <v>0.22768290254202184</v>
      </c>
      <c r="T98" s="58">
        <f t="shared" si="228"/>
        <v>0.22749257678959758</v>
      </c>
      <c r="U98" s="58">
        <f t="shared" si="228"/>
        <v>0.2273840798424594</v>
      </c>
      <c r="V98" s="58">
        <f t="shared" si="228"/>
        <v>0.227252404957625</v>
      </c>
      <c r="W98" s="58">
        <f>SUMPRODUCT(W52:W53,W87:W88)/W70</f>
        <v>0.22528360309249285</v>
      </c>
      <c r="X98" s="58">
        <f t="shared" si="228"/>
        <v>0.27531472603352847</v>
      </c>
      <c r="Y98" s="58">
        <f t="shared" si="228"/>
        <v>0.30182577408415218</v>
      </c>
      <c r="Z98" s="58">
        <f t="shared" si="228"/>
        <v>0.30018259215248821</v>
      </c>
      <c r="AA98" s="58">
        <f t="shared" si="228"/>
        <v>0.30108680458133152</v>
      </c>
      <c r="AB98" s="58">
        <f t="shared" si="228"/>
        <v>0.30232349700113487</v>
      </c>
      <c r="AC98" s="58">
        <f t="shared" si="228"/>
        <v>0.36311489428150473</v>
      </c>
      <c r="AD98" s="58">
        <f t="shared" ref="AD98:BC98" si="229">SUMPRODUCT(AD52:AD53,AD87:AD88)/AD70</f>
        <v>0.36677735809904449</v>
      </c>
      <c r="AE98" s="58">
        <f t="shared" si="229"/>
        <v>0.36465986713277143</v>
      </c>
      <c r="AF98" s="58">
        <f t="shared" si="229"/>
        <v>0.36496756862409496</v>
      </c>
      <c r="AG98" s="58">
        <f t="shared" si="229"/>
        <v>0.36571057319901196</v>
      </c>
      <c r="AH98" s="58">
        <f t="shared" si="229"/>
        <v>0.36585464354912717</v>
      </c>
      <c r="AI98" s="58">
        <f t="shared" si="229"/>
        <v>0.3639263638742754</v>
      </c>
      <c r="AJ98" s="58">
        <f t="shared" si="229"/>
        <v>0.36555499995089108</v>
      </c>
      <c r="AK98" s="58">
        <f t="shared" si="229"/>
        <v>0.36596971284180635</v>
      </c>
      <c r="AL98" s="58">
        <f t="shared" si="229"/>
        <v>0.36389661136289042</v>
      </c>
      <c r="AM98" s="58">
        <f t="shared" si="229"/>
        <v>0.36462812562643487</v>
      </c>
      <c r="AN98" s="58">
        <f t="shared" si="229"/>
        <v>0.36571464534333104</v>
      </c>
      <c r="AO98" s="58">
        <f t="shared" si="229"/>
        <v>0.36073827604570785</v>
      </c>
      <c r="AP98" s="58">
        <f t="shared" si="229"/>
        <v>0.36377180740631848</v>
      </c>
      <c r="AQ98" s="58">
        <f t="shared" si="229"/>
        <v>0.34664938789913102</v>
      </c>
      <c r="AR98" s="58">
        <f t="shared" si="229"/>
        <v>0.32922799578491579</v>
      </c>
      <c r="AS98" s="58">
        <f t="shared" si="229"/>
        <v>0.32767114310446438</v>
      </c>
      <c r="AT98" s="58">
        <f t="shared" si="229"/>
        <v>0.31219428910972097</v>
      </c>
      <c r="AU98" s="58">
        <f t="shared" si="229"/>
        <v>0.30539998715798133</v>
      </c>
      <c r="AV98" s="58">
        <f t="shared" si="229"/>
        <v>0.28905034578122529</v>
      </c>
      <c r="AW98" s="58">
        <f t="shared" si="229"/>
        <v>0.28905034578122524</v>
      </c>
      <c r="AX98" s="58">
        <f t="shared" si="229"/>
        <v>0.27870059572191991</v>
      </c>
      <c r="AY98" s="58">
        <f t="shared" si="229"/>
        <v>0.27870059572191996</v>
      </c>
      <c r="AZ98" s="58">
        <f t="shared" si="229"/>
        <v>0.275997234849573</v>
      </c>
      <c r="BA98" s="58">
        <f t="shared" si="229"/>
        <v>0.26084986090057788</v>
      </c>
      <c r="BB98" s="58">
        <f t="shared" si="229"/>
        <v>0.24585035498299798</v>
      </c>
      <c r="BC98" s="58">
        <f t="shared" si="229"/>
        <v>0.24585035498299801</v>
      </c>
      <c r="BD98" s="58">
        <f t="shared" ref="BD98:BE98" si="230">SUMPRODUCT(BD52:BD53,BD87:BD88)/BD70</f>
        <v>0.24585035498299798</v>
      </c>
      <c r="BE98" s="58">
        <f t="shared" si="230"/>
        <v>0.24585035498299801</v>
      </c>
      <c r="BF98" s="58">
        <f t="shared" ref="BF98:BG98" si="231">SUMPRODUCT(BF52:BF53,BF87:BF88)/BF70</f>
        <v>0.24585035498299798</v>
      </c>
      <c r="BG98" s="58">
        <f t="shared" si="231"/>
        <v>0.24585035498299804</v>
      </c>
      <c r="BH98" s="58">
        <f t="shared" ref="BH98:BI98" si="232">SUMPRODUCT(BH52:BH53,BH87:BH88)/BH70</f>
        <v>0.24920002723110213</v>
      </c>
      <c r="BI98" s="58">
        <f t="shared" si="232"/>
        <v>0.24920000000000075</v>
      </c>
      <c r="BJ98" s="58">
        <f>SUMPRODUCT(BJ52:BJ53,BJ87:BJ88)/BJ70</f>
        <v>0.24754926799673482</v>
      </c>
      <c r="BK98" s="58">
        <f>SUMPRODUCT(BK52:BK53,BK87:BK88)/BK70</f>
        <v>0.24110028643694201</v>
      </c>
      <c r="BL98" s="58">
        <f>SUMPRODUCT(BL52:BL53,BL87:BL88)/BL70</f>
        <v>0.24890000000000054</v>
      </c>
      <c r="BM98" s="58">
        <f>SUMPRODUCT(BM52:BM53,BM87:BM88)/BM70</f>
        <v>0.24920000000000073</v>
      </c>
      <c r="BN98" s="12"/>
      <c r="BO98" s="10"/>
    </row>
    <row r="99" spans="1:67" x14ac:dyDescent="0.25">
      <c r="A99" s="59" t="s">
        <v>21</v>
      </c>
      <c r="B99" s="58">
        <f t="shared" ref="B99:AC99" si="233">SUMPRODUCT(B54:B58,B89:B93)/B71</f>
        <v>0.19779544109431293</v>
      </c>
      <c r="C99" s="58">
        <f t="shared" si="233"/>
        <v>0.17624697371868076</v>
      </c>
      <c r="D99" s="58">
        <f t="shared" si="233"/>
        <v>0.17093513508364477</v>
      </c>
      <c r="E99" s="58">
        <f t="shared" si="233"/>
        <v>0.19108419859014469</v>
      </c>
      <c r="F99" s="58">
        <f t="shared" si="233"/>
        <v>0.19205598615229832</v>
      </c>
      <c r="G99" s="58">
        <f t="shared" si="233"/>
        <v>0.19121995892924584</v>
      </c>
      <c r="H99" s="58">
        <f t="shared" si="233"/>
        <v>0.18526102389920604</v>
      </c>
      <c r="I99" s="58">
        <f t="shared" si="233"/>
        <v>0.18116652861227697</v>
      </c>
      <c r="J99" s="58">
        <f t="shared" si="233"/>
        <v>0.17668829444565487</v>
      </c>
      <c r="K99" s="58">
        <f t="shared" si="233"/>
        <v>0.12806533911163839</v>
      </c>
      <c r="L99" s="58">
        <f t="shared" si="233"/>
        <v>0.16506318684768434</v>
      </c>
      <c r="M99" s="58">
        <f t="shared" si="233"/>
        <v>0.18313830240873313</v>
      </c>
      <c r="N99" s="58">
        <f t="shared" si="233"/>
        <v>0.17398350670089546</v>
      </c>
      <c r="O99" s="58">
        <f t="shared" si="233"/>
        <v>0.16690292684687486</v>
      </c>
      <c r="P99" s="58">
        <f t="shared" si="233"/>
        <v>0.17402314661901569</v>
      </c>
      <c r="Q99" s="58">
        <f t="shared" si="233"/>
        <v>0.17751019305515872</v>
      </c>
      <c r="R99" s="58">
        <f t="shared" si="233"/>
        <v>0.21597859398280211</v>
      </c>
      <c r="S99" s="58">
        <f t="shared" si="233"/>
        <v>0.20945420477324081</v>
      </c>
      <c r="T99" s="58">
        <f t="shared" si="233"/>
        <v>0.1892522037172269</v>
      </c>
      <c r="U99" s="58">
        <f t="shared" si="233"/>
        <v>0.17945217350245049</v>
      </c>
      <c r="V99" s="58">
        <f t="shared" si="233"/>
        <v>0.19066025564801661</v>
      </c>
      <c r="W99" s="58">
        <f t="shared" si="233"/>
        <v>0.19438018420029041</v>
      </c>
      <c r="X99" s="58">
        <f t="shared" si="233"/>
        <v>0.18441903422624159</v>
      </c>
      <c r="Y99" s="58">
        <f t="shared" si="233"/>
        <v>0.18800512333520142</v>
      </c>
      <c r="Z99" s="58">
        <f t="shared" si="233"/>
        <v>0.20672493681883544</v>
      </c>
      <c r="AA99" s="58">
        <f t="shared" si="233"/>
        <v>0.24724551124807614</v>
      </c>
      <c r="AB99" s="58">
        <f t="shared" si="233"/>
        <v>0.24451991248905156</v>
      </c>
      <c r="AC99" s="58">
        <f t="shared" si="233"/>
        <v>0.24002492909956649</v>
      </c>
      <c r="AD99" s="58">
        <f t="shared" ref="AD99:AP99" si="234">SUMPRODUCT(AD54:AD58,AD89:AD93)/AD71</f>
        <v>0.27518505126799309</v>
      </c>
      <c r="AE99" s="58">
        <f t="shared" si="234"/>
        <v>0.26843877432455338</v>
      </c>
      <c r="AF99" s="58">
        <f t="shared" si="234"/>
        <v>0.25724080200277533</v>
      </c>
      <c r="AG99" s="58">
        <f t="shared" si="234"/>
        <v>0.23895574977050024</v>
      </c>
      <c r="AH99" s="58">
        <f t="shared" si="234"/>
        <v>0.23510807935212874</v>
      </c>
      <c r="AI99" s="58">
        <f t="shared" si="234"/>
        <v>0.25534493513165207</v>
      </c>
      <c r="AJ99" s="58">
        <f t="shared" si="234"/>
        <v>0.23740744488283663</v>
      </c>
      <c r="AK99" s="58">
        <f t="shared" si="234"/>
        <v>0.25372243241596465</v>
      </c>
      <c r="AL99" s="58">
        <f t="shared" si="234"/>
        <v>0.23720892933461807</v>
      </c>
      <c r="AM99" s="58">
        <f t="shared" si="234"/>
        <v>0.24539824841372487</v>
      </c>
      <c r="AN99" s="58">
        <f t="shared" si="234"/>
        <v>0.23683349855749139</v>
      </c>
      <c r="AO99" s="58">
        <f t="shared" si="234"/>
        <v>0.24624654200089363</v>
      </c>
      <c r="AP99" s="58">
        <f t="shared" si="234"/>
        <v>0.253585371893992</v>
      </c>
      <c r="AQ99" s="58">
        <f t="shared" ref="AQ99:AV99" si="235">SUMPRODUCT(AQ54:AQ58,AQ89:AQ93)/AQ71</f>
        <v>0.2385609192862477</v>
      </c>
      <c r="AR99" s="58">
        <f t="shared" si="235"/>
        <v>0.24759603052235507</v>
      </c>
      <c r="AS99" s="58">
        <f t="shared" si="235"/>
        <v>0.27718380817769828</v>
      </c>
      <c r="AT99" s="58">
        <f t="shared" si="235"/>
        <v>0.2281053623330232</v>
      </c>
      <c r="AU99" s="58">
        <f t="shared" si="235"/>
        <v>0.24409970687105703</v>
      </c>
      <c r="AV99" s="58">
        <f t="shared" si="235"/>
        <v>0.23883219481542725</v>
      </c>
      <c r="AW99" s="58">
        <f t="shared" ref="AW99:BC99" si="236">SUMPRODUCT(AW54:AW58,AW89:AW93)/AW71</f>
        <v>0.22852122760175267</v>
      </c>
      <c r="AX99" s="58">
        <f t="shared" si="236"/>
        <v>0.23637528462146185</v>
      </c>
      <c r="AY99" s="58">
        <f t="shared" si="236"/>
        <v>0.22837888934602413</v>
      </c>
      <c r="AZ99" s="58">
        <f t="shared" si="236"/>
        <v>0.22572032984658466</v>
      </c>
      <c r="BA99" s="58">
        <f t="shared" si="236"/>
        <v>0.22318948515162393</v>
      </c>
      <c r="BB99" s="58">
        <f t="shared" si="236"/>
        <v>0.22847376091139124</v>
      </c>
      <c r="BC99" s="58">
        <f t="shared" si="236"/>
        <v>0.21278743387345689</v>
      </c>
      <c r="BD99" s="58">
        <f t="shared" ref="BD99:BE99" si="237">SUMPRODUCT(BD54:BD58,BD89:BD93)/BD71</f>
        <v>0.19963035967834677</v>
      </c>
      <c r="BE99" s="58">
        <f t="shared" si="237"/>
        <v>0.17949081569408146</v>
      </c>
      <c r="BF99" s="58">
        <f t="shared" ref="BF99:BG99" si="238">SUMPRODUCT(BF54:BF58,BF89:BF93)/BF71</f>
        <v>0.18046094913440108</v>
      </c>
      <c r="BG99" s="58">
        <f t="shared" si="238"/>
        <v>0.18946122529309278</v>
      </c>
      <c r="BH99" s="58">
        <f t="shared" ref="BH99:BI99" si="239">SUMPRODUCT(BH54:BH58,BH89:BH93)/BH71</f>
        <v>0.18797321111848955</v>
      </c>
      <c r="BI99" s="58">
        <f t="shared" si="239"/>
        <v>0.19334277742961867</v>
      </c>
      <c r="BJ99" s="58">
        <f>SUMPRODUCT(BJ54:BJ58,BJ89:BJ93)/BJ71</f>
        <v>0.18672092000376131</v>
      </c>
      <c r="BK99" s="58">
        <f>SUMPRODUCT(BK54:BK58,BK89:BK93)/BK71</f>
        <v>0.18815419060634569</v>
      </c>
      <c r="BL99" s="58">
        <f>SUMPRODUCT(BL54:BL58,BL89:BL93)/BL71</f>
        <v>0.19107019562022978</v>
      </c>
      <c r="BM99" s="58">
        <f>SUMPRODUCT(BM54:BM58,BM89:BM93)/BM71</f>
        <v>0.19377416748145165</v>
      </c>
      <c r="BN99" s="12"/>
      <c r="BO99" s="19"/>
    </row>
    <row r="100" spans="1:67" x14ac:dyDescent="0.25">
      <c r="A100" s="60" t="s">
        <v>24</v>
      </c>
      <c r="B100" s="58">
        <f t="shared" ref="B100:Q100" si="240">B94</f>
        <v>0.10566423231093092</v>
      </c>
      <c r="C100" s="58">
        <f t="shared" si="240"/>
        <v>9.8933477725002605E-2</v>
      </c>
      <c r="D100" s="58">
        <f t="shared" si="240"/>
        <v>9.5546278960409792E-2</v>
      </c>
      <c r="E100" s="58">
        <f t="shared" si="240"/>
        <v>0.10195455544252274</v>
      </c>
      <c r="F100" s="58">
        <f t="shared" si="240"/>
        <v>7.804900069216103E-2</v>
      </c>
      <c r="G100" s="58">
        <f t="shared" si="240"/>
        <v>0.10383177442810587</v>
      </c>
      <c r="H100" s="58">
        <f t="shared" si="240"/>
        <v>9.5578492052816211E-2</v>
      </c>
      <c r="I100" s="58">
        <f t="shared" si="240"/>
        <v>9.0977501439560182E-2</v>
      </c>
      <c r="J100" s="58">
        <f t="shared" si="240"/>
        <v>8.8755315716297467E-2</v>
      </c>
      <c r="K100" s="58">
        <f t="shared" si="240"/>
        <v>9.0387686814171975E-2</v>
      </c>
      <c r="L100" s="58">
        <f t="shared" si="240"/>
        <v>9.4892574249225259E-2</v>
      </c>
      <c r="M100" s="58">
        <f t="shared" si="240"/>
        <v>9.1841051743688285E-2</v>
      </c>
      <c r="N100" s="58">
        <f t="shared" si="240"/>
        <v>9.676666122667954E-2</v>
      </c>
      <c r="O100" s="58">
        <f t="shared" si="240"/>
        <v>8.5540890435389372E-2</v>
      </c>
      <c r="P100" s="58">
        <f t="shared" si="240"/>
        <v>8.7239914953386677E-2</v>
      </c>
      <c r="Q100" s="58">
        <f t="shared" si="240"/>
        <v>9.8268703922786305E-2</v>
      </c>
      <c r="R100" s="58">
        <f>SUMPRODUCT(R59:R60,R94:R95)/R72</f>
        <v>8.4773257207301667E-2</v>
      </c>
      <c r="S100" s="58">
        <f t="shared" ref="S100:AC100" si="241">SUMPRODUCT(S59:S60,S94:S95)/S72</f>
        <v>9.2069314000620794E-2</v>
      </c>
      <c r="T100" s="58">
        <f t="shared" si="241"/>
        <v>8.7998842458314241E-2</v>
      </c>
      <c r="U100" s="58">
        <f t="shared" si="241"/>
        <v>9.2071043889927706E-2</v>
      </c>
      <c r="V100" s="58">
        <f t="shared" si="241"/>
        <v>0.107130026495781</v>
      </c>
      <c r="W100" s="58">
        <f t="shared" si="241"/>
        <v>0.10725132199490471</v>
      </c>
      <c r="X100" s="58">
        <f t="shared" si="241"/>
        <v>0.10251960732313076</v>
      </c>
      <c r="Y100" s="58">
        <f t="shared" si="241"/>
        <v>9.8125752174028205E-2</v>
      </c>
      <c r="Z100" s="58">
        <f t="shared" si="241"/>
        <v>9.8792055795432265E-2</v>
      </c>
      <c r="AA100" s="58">
        <f t="shared" si="241"/>
        <v>0.10052196566273268</v>
      </c>
      <c r="AB100" s="58">
        <f t="shared" si="241"/>
        <v>0.10988507903311581</v>
      </c>
      <c r="AC100" s="58">
        <f t="shared" si="241"/>
        <v>0.12821641148462995</v>
      </c>
      <c r="AD100" s="58">
        <f t="shared" ref="AD100:BC100" si="242">SUMPRODUCT(AD59:AD60,AD94:AD95)/AD72</f>
        <v>0.1502543293639842</v>
      </c>
      <c r="AE100" s="58">
        <f t="shared" si="242"/>
        <v>0.15399414916354082</v>
      </c>
      <c r="AF100" s="58">
        <f t="shared" si="242"/>
        <v>0.14348524036414356</v>
      </c>
      <c r="AG100" s="58">
        <f t="shared" si="242"/>
        <v>0.1572021676970643</v>
      </c>
      <c r="AH100" s="58">
        <f t="shared" si="242"/>
        <v>0.16129194686676263</v>
      </c>
      <c r="AI100" s="58">
        <f t="shared" si="242"/>
        <v>0.16217507284856159</v>
      </c>
      <c r="AJ100" s="58">
        <f t="shared" si="242"/>
        <v>0.16852170735048588</v>
      </c>
      <c r="AK100" s="58">
        <f t="shared" si="242"/>
        <v>0.14231001248665764</v>
      </c>
      <c r="AL100" s="58">
        <f t="shared" si="242"/>
        <v>0.15365410346299035</v>
      </c>
      <c r="AM100" s="58">
        <f t="shared" si="242"/>
        <v>0.14656818111082215</v>
      </c>
      <c r="AN100" s="58">
        <f t="shared" si="242"/>
        <v>0.14739838187599452</v>
      </c>
      <c r="AO100" s="58">
        <f t="shared" si="242"/>
        <v>0.14388222372918746</v>
      </c>
      <c r="AP100" s="58">
        <f t="shared" si="242"/>
        <v>0.15460175420980637</v>
      </c>
      <c r="AQ100" s="58">
        <f t="shared" si="242"/>
        <v>0.14681248475832875</v>
      </c>
      <c r="AR100" s="58">
        <f t="shared" si="242"/>
        <v>0.14365847867166637</v>
      </c>
      <c r="AS100" s="58">
        <f t="shared" si="242"/>
        <v>0.13582405780477713</v>
      </c>
      <c r="AT100" s="58">
        <f t="shared" si="242"/>
        <v>0.12351099786789921</v>
      </c>
      <c r="AU100" s="58">
        <f t="shared" si="242"/>
        <v>0.13814833486432421</v>
      </c>
      <c r="AV100" s="58">
        <f t="shared" si="242"/>
        <v>0.12676316531025766</v>
      </c>
      <c r="AW100" s="58">
        <f t="shared" si="242"/>
        <v>0.11625622244279499</v>
      </c>
      <c r="AX100" s="58">
        <f t="shared" si="242"/>
        <v>0.12190830308953536</v>
      </c>
      <c r="AY100" s="58">
        <f t="shared" si="242"/>
        <v>0.1097784777760933</v>
      </c>
      <c r="AZ100" s="58">
        <f t="shared" si="242"/>
        <v>0.11954134548474805</v>
      </c>
      <c r="BA100" s="58">
        <f t="shared" si="242"/>
        <v>0.11487927168459479</v>
      </c>
      <c r="BB100" s="58">
        <f t="shared" si="242"/>
        <v>0.11382600078251603</v>
      </c>
      <c r="BC100" s="58">
        <f t="shared" si="242"/>
        <v>0.10499950023286674</v>
      </c>
      <c r="BD100" s="58">
        <f t="shared" ref="BD100:BE100" si="243">SUMPRODUCT(BD59:BD60,BD94:BD95)/BD72</f>
        <v>0.10029819089755332</v>
      </c>
      <c r="BE100" s="58">
        <f t="shared" si="243"/>
        <v>8.6407157926658762E-2</v>
      </c>
      <c r="BF100" s="58">
        <f t="shared" ref="BF100:BG100" si="244">SUMPRODUCT(BF59:BF60,BF94:BF95)/BF72</f>
        <v>0.10213174569226657</v>
      </c>
      <c r="BG100" s="58">
        <f t="shared" si="244"/>
        <v>9.6315626872646387E-2</v>
      </c>
      <c r="BH100" s="58">
        <f t="shared" ref="BH100" si="245">SUMPRODUCT(BH59:BH60,BH94:BH95)/BH72</f>
        <v>9.6401909043288381E-2</v>
      </c>
      <c r="BI100" s="58">
        <f>SUMPRODUCT(BI59:BI60,BI94:BI95)/BI72</f>
        <v>0.10998407502145802</v>
      </c>
      <c r="BJ100" s="58">
        <f>SUMPRODUCT(BJ59:BJ60,BJ94:BJ95)/BJ72</f>
        <v>0.11686988661326959</v>
      </c>
      <c r="BK100" s="58">
        <f>SUMPRODUCT(BK59:BK60,BK94:BK95)/BK72</f>
        <v>0.11002556308228995</v>
      </c>
      <c r="BL100" s="58">
        <f>SUMPRODUCT(BL59:BL60,BL94:BL95)/BL72</f>
        <v>0.11185051889869357</v>
      </c>
      <c r="BM100" s="58">
        <f>SUMPRODUCT(BM59:BM60,BM94:BM95)/BM72</f>
        <v>0.11134195157961568</v>
      </c>
      <c r="BN100" s="12"/>
      <c r="BO100" s="10"/>
    </row>
    <row r="101" spans="1:67" x14ac:dyDescent="0.25">
      <c r="B101" s="7"/>
      <c r="F101" s="7"/>
      <c r="G101" s="7"/>
      <c r="H101" s="7"/>
      <c r="I101" s="7"/>
      <c r="J101" s="7"/>
      <c r="K101" s="7"/>
      <c r="L101" s="7"/>
      <c r="M101" s="7"/>
      <c r="N101" s="7"/>
    </row>
    <row r="102" spans="1:67" x14ac:dyDescent="0.25">
      <c r="F102" s="6"/>
      <c r="BO102" s="5"/>
    </row>
    <row r="103" spans="1:67" x14ac:dyDescent="0.25">
      <c r="A103" s="20" t="s">
        <v>37</v>
      </c>
      <c r="F103" s="6"/>
    </row>
    <row r="104" spans="1:67" x14ac:dyDescent="0.25">
      <c r="A104" s="46" t="s">
        <v>22</v>
      </c>
      <c r="B104" s="38">
        <v>44075</v>
      </c>
      <c r="C104" s="38">
        <v>44105</v>
      </c>
      <c r="D104" s="38">
        <v>44136</v>
      </c>
      <c r="E104" s="38">
        <v>44166</v>
      </c>
      <c r="F104" s="38">
        <v>44197</v>
      </c>
      <c r="G104" s="38">
        <v>44228</v>
      </c>
      <c r="H104" s="38">
        <v>44256</v>
      </c>
      <c r="I104" s="38">
        <v>44287</v>
      </c>
      <c r="J104" s="38">
        <v>44317</v>
      </c>
      <c r="K104" s="38">
        <v>44348</v>
      </c>
      <c r="L104" s="38">
        <v>44378</v>
      </c>
      <c r="M104" s="38">
        <v>44409</v>
      </c>
      <c r="N104" s="38">
        <v>44440</v>
      </c>
      <c r="O104" s="38">
        <v>44470</v>
      </c>
      <c r="P104" s="38">
        <v>44501</v>
      </c>
      <c r="Q104" s="38">
        <v>44531</v>
      </c>
      <c r="R104" s="38">
        <v>44562</v>
      </c>
      <c r="S104" s="38">
        <v>44593</v>
      </c>
      <c r="T104" s="38">
        <v>44621</v>
      </c>
      <c r="U104" s="38">
        <v>44652</v>
      </c>
      <c r="V104" s="38">
        <v>44682</v>
      </c>
      <c r="W104" s="38">
        <v>44713</v>
      </c>
      <c r="X104" s="38">
        <v>44743</v>
      </c>
      <c r="Y104" s="38">
        <v>44774</v>
      </c>
      <c r="Z104" s="38">
        <v>44805</v>
      </c>
      <c r="AA104" s="38">
        <v>44835</v>
      </c>
      <c r="AB104" s="38">
        <v>44866</v>
      </c>
      <c r="AC104" s="38">
        <v>44896</v>
      </c>
      <c r="AD104" s="38">
        <v>44927</v>
      </c>
      <c r="AE104" s="38">
        <v>44958</v>
      </c>
      <c r="AF104" s="38">
        <v>44986</v>
      </c>
      <c r="AG104" s="38">
        <v>45017</v>
      </c>
      <c r="AH104" s="38">
        <v>45047</v>
      </c>
      <c r="AI104" s="38">
        <v>45078</v>
      </c>
      <c r="AJ104" s="38">
        <v>45108</v>
      </c>
      <c r="AK104" s="38">
        <v>45139</v>
      </c>
      <c r="AL104" s="38">
        <v>45170</v>
      </c>
      <c r="AM104" s="38">
        <v>45200</v>
      </c>
      <c r="AN104" s="38">
        <v>45231</v>
      </c>
      <c r="AO104" s="38">
        <v>45261</v>
      </c>
      <c r="AP104" s="38">
        <v>45292</v>
      </c>
      <c r="AQ104" s="38">
        <v>45323</v>
      </c>
      <c r="AR104" s="38">
        <v>45352</v>
      </c>
      <c r="AS104" s="38">
        <v>45383</v>
      </c>
      <c r="AT104" s="38">
        <v>45413</v>
      </c>
      <c r="AU104" s="38">
        <v>45444</v>
      </c>
      <c r="AV104" s="38">
        <v>45474</v>
      </c>
      <c r="AW104" s="38">
        <v>45505</v>
      </c>
      <c r="AX104" s="38">
        <v>45536</v>
      </c>
      <c r="AY104" s="38">
        <v>45566</v>
      </c>
      <c r="AZ104" s="38">
        <v>45597</v>
      </c>
      <c r="BA104" s="38">
        <v>45627</v>
      </c>
      <c r="BB104" s="38">
        <v>45658</v>
      </c>
      <c r="BC104" s="38">
        <v>45689</v>
      </c>
      <c r="BD104" s="38">
        <v>45717</v>
      </c>
      <c r="BE104" s="38">
        <v>45748</v>
      </c>
      <c r="BF104" s="38">
        <v>45778</v>
      </c>
      <c r="BG104" s="38">
        <v>45809</v>
      </c>
      <c r="BH104" s="38">
        <v>45839</v>
      </c>
      <c r="BI104" s="38">
        <v>45870</v>
      </c>
      <c r="BJ104" s="38">
        <v>45901</v>
      </c>
      <c r="BK104" s="38">
        <v>45931</v>
      </c>
      <c r="BL104" s="38">
        <v>45962</v>
      </c>
      <c r="BM104" s="38">
        <v>45992</v>
      </c>
      <c r="BN104" s="2"/>
      <c r="BO104" s="2"/>
    </row>
    <row r="105" spans="1:67" x14ac:dyDescent="0.25">
      <c r="A105" s="57" t="s">
        <v>29</v>
      </c>
      <c r="B105" s="61">
        <f>B98</f>
        <v>0.22628997274735352</v>
      </c>
      <c r="C105" s="61">
        <f t="shared" ref="C105:K105" si="246">C98</f>
        <v>0.22654278735910852</v>
      </c>
      <c r="D105" s="61">
        <f t="shared" si="246"/>
        <v>0.22717633797891146</v>
      </c>
      <c r="E105" s="61">
        <f t="shared" si="246"/>
        <v>0.22592573184863726</v>
      </c>
      <c r="F105" s="61">
        <f>F98</f>
        <v>0.2277244216301158</v>
      </c>
      <c r="G105" s="61">
        <f t="shared" si="246"/>
        <v>0.22766343852555726</v>
      </c>
      <c r="H105" s="61">
        <f t="shared" si="246"/>
        <v>0.2273754573069636</v>
      </c>
      <c r="I105" s="61">
        <f t="shared" si="246"/>
        <v>0.22753772528135385</v>
      </c>
      <c r="J105" s="61">
        <f t="shared" si="246"/>
        <v>0.22657073442187381</v>
      </c>
      <c r="K105" s="61">
        <f t="shared" si="246"/>
        <v>0.22660738696802629</v>
      </c>
      <c r="L105" s="61">
        <f t="shared" ref="L105:R105" si="247">L98</f>
        <v>0.22785803226214693</v>
      </c>
      <c r="M105" s="61">
        <f t="shared" si="247"/>
        <v>0.22815816098689093</v>
      </c>
      <c r="N105" s="61">
        <f t="shared" si="247"/>
        <v>0.22706698765089581</v>
      </c>
      <c r="O105" s="61">
        <f t="shared" si="247"/>
        <v>0.22794258139510992</v>
      </c>
      <c r="P105" s="61">
        <f t="shared" si="247"/>
        <v>0.22786079036203633</v>
      </c>
      <c r="Q105" s="61">
        <f t="shared" si="247"/>
        <v>0.22678378949884842</v>
      </c>
      <c r="R105" s="61">
        <f t="shared" si="247"/>
        <v>0.22757831066274353</v>
      </c>
      <c r="S105" s="61">
        <f t="shared" ref="S105:AC105" si="248">S98</f>
        <v>0.22768290254202184</v>
      </c>
      <c r="T105" s="61">
        <f t="shared" si="248"/>
        <v>0.22749257678959758</v>
      </c>
      <c r="U105" s="61">
        <f t="shared" si="248"/>
        <v>0.2273840798424594</v>
      </c>
      <c r="V105" s="61">
        <f t="shared" si="248"/>
        <v>0.227252404957625</v>
      </c>
      <c r="W105" s="61">
        <f t="shared" si="248"/>
        <v>0.22528360309249285</v>
      </c>
      <c r="X105" s="61">
        <f t="shared" si="248"/>
        <v>0.27531472603352847</v>
      </c>
      <c r="Y105" s="61">
        <f t="shared" si="248"/>
        <v>0.30182577408415218</v>
      </c>
      <c r="Z105" s="61">
        <f t="shared" si="248"/>
        <v>0.30018259215248821</v>
      </c>
      <c r="AA105" s="61">
        <f t="shared" si="248"/>
        <v>0.30108680458133152</v>
      </c>
      <c r="AB105" s="61">
        <f t="shared" si="248"/>
        <v>0.30232349700113487</v>
      </c>
      <c r="AC105" s="61">
        <f t="shared" si="248"/>
        <v>0.36311489428150473</v>
      </c>
      <c r="AD105" s="61">
        <f t="shared" ref="AD105:AH107" si="249">AD98</f>
        <v>0.36677735809904449</v>
      </c>
      <c r="AE105" s="61">
        <f t="shared" si="249"/>
        <v>0.36465986713277143</v>
      </c>
      <c r="AF105" s="61">
        <f t="shared" si="249"/>
        <v>0.36496756862409496</v>
      </c>
      <c r="AG105" s="61">
        <f t="shared" si="249"/>
        <v>0.36571057319901196</v>
      </c>
      <c r="AH105" s="61">
        <f t="shared" si="249"/>
        <v>0.36585464354912717</v>
      </c>
      <c r="AI105" s="61">
        <f t="shared" ref="AI105:AO105" si="250">AI98</f>
        <v>0.3639263638742754</v>
      </c>
      <c r="AJ105" s="61">
        <f t="shared" si="250"/>
        <v>0.36555499995089108</v>
      </c>
      <c r="AK105" s="61">
        <f t="shared" si="250"/>
        <v>0.36596971284180635</v>
      </c>
      <c r="AL105" s="61">
        <f t="shared" si="250"/>
        <v>0.36389661136289042</v>
      </c>
      <c r="AM105" s="61">
        <f t="shared" si="250"/>
        <v>0.36462812562643487</v>
      </c>
      <c r="AN105" s="61">
        <f t="shared" si="250"/>
        <v>0.36571464534333104</v>
      </c>
      <c r="AO105" s="61">
        <f t="shared" si="250"/>
        <v>0.36073827604570785</v>
      </c>
      <c r="AP105" s="61">
        <f t="shared" ref="AP105:BC105" si="251">AP98</f>
        <v>0.36377180740631848</v>
      </c>
      <c r="AQ105" s="61">
        <f t="shared" si="251"/>
        <v>0.34664938789913102</v>
      </c>
      <c r="AR105" s="61">
        <f t="shared" si="251"/>
        <v>0.32922799578491579</v>
      </c>
      <c r="AS105" s="61">
        <f t="shared" si="251"/>
        <v>0.32767114310446438</v>
      </c>
      <c r="AT105" s="61">
        <f t="shared" si="251"/>
        <v>0.31219428910972097</v>
      </c>
      <c r="AU105" s="61">
        <f t="shared" si="251"/>
        <v>0.30539998715798133</v>
      </c>
      <c r="AV105" s="61">
        <f t="shared" si="251"/>
        <v>0.28905034578122529</v>
      </c>
      <c r="AW105" s="61">
        <f t="shared" si="251"/>
        <v>0.28905034578122524</v>
      </c>
      <c r="AX105" s="61">
        <f t="shared" si="251"/>
        <v>0.27870059572191991</v>
      </c>
      <c r="AY105" s="61">
        <f t="shared" si="251"/>
        <v>0.27870059572191996</v>
      </c>
      <c r="AZ105" s="61">
        <f t="shared" si="251"/>
        <v>0.275997234849573</v>
      </c>
      <c r="BA105" s="61">
        <f t="shared" si="251"/>
        <v>0.26084986090057788</v>
      </c>
      <c r="BB105" s="61">
        <f t="shared" si="251"/>
        <v>0.24585035498299798</v>
      </c>
      <c r="BC105" s="61">
        <f t="shared" si="251"/>
        <v>0.24585035498299801</v>
      </c>
      <c r="BD105" s="61">
        <f t="shared" ref="BD105:BE105" si="252">BD98</f>
        <v>0.24585035498299798</v>
      </c>
      <c r="BE105" s="61">
        <f t="shared" si="252"/>
        <v>0.24585035498299801</v>
      </c>
      <c r="BF105" s="61">
        <f t="shared" ref="BF105:BG105" si="253">BF98</f>
        <v>0.24585035498299798</v>
      </c>
      <c r="BG105" s="61">
        <f t="shared" si="253"/>
        <v>0.24585035498299804</v>
      </c>
      <c r="BH105" s="61">
        <f t="shared" ref="BH105:BI105" si="254">BH98</f>
        <v>0.24920002723110213</v>
      </c>
      <c r="BI105" s="61">
        <f t="shared" si="254"/>
        <v>0.24920000000000075</v>
      </c>
      <c r="BJ105" s="61">
        <f t="shared" ref="BJ105" si="255">BJ98</f>
        <v>0.24754926799673482</v>
      </c>
      <c r="BK105" s="61">
        <f>BK98</f>
        <v>0.24110028643694201</v>
      </c>
      <c r="BL105" s="61">
        <f>BL98</f>
        <v>0.24890000000000054</v>
      </c>
      <c r="BM105" s="61">
        <f>BM98</f>
        <v>0.24920000000000073</v>
      </c>
      <c r="BO105" s="2"/>
    </row>
    <row r="106" spans="1:67" x14ac:dyDescent="0.25">
      <c r="A106" s="59" t="s">
        <v>21</v>
      </c>
      <c r="B106" s="58">
        <f>B99</f>
        <v>0.19779544109431293</v>
      </c>
      <c r="C106" s="58">
        <f t="shared" ref="C106:J106" si="256">C99</f>
        <v>0.17624697371868076</v>
      </c>
      <c r="D106" s="58">
        <f t="shared" si="256"/>
        <v>0.17093513508364477</v>
      </c>
      <c r="E106" s="58">
        <f t="shared" si="256"/>
        <v>0.19108419859014469</v>
      </c>
      <c r="F106" s="58">
        <f t="shared" si="256"/>
        <v>0.19205598615229832</v>
      </c>
      <c r="G106" s="58">
        <f t="shared" si="256"/>
        <v>0.19121995892924584</v>
      </c>
      <c r="H106" s="58">
        <f t="shared" si="256"/>
        <v>0.18526102389920604</v>
      </c>
      <c r="I106" s="58">
        <f t="shared" si="256"/>
        <v>0.18116652861227697</v>
      </c>
      <c r="J106" s="58">
        <f t="shared" si="256"/>
        <v>0.17668829444565487</v>
      </c>
      <c r="K106" s="58">
        <f>K99</f>
        <v>0.12806533911163839</v>
      </c>
      <c r="L106" s="58">
        <f>L99</f>
        <v>0.16506318684768434</v>
      </c>
      <c r="M106" s="58">
        <f>SUMPRODUCT(M52:M58,M87:M93)/SUM(M52:M58)</f>
        <v>0.2007949318459461</v>
      </c>
      <c r="N106" s="58">
        <f>SUMPRODUCT(N52:N58,N87:N93)/SUM(N52:N58)</f>
        <v>0.20205480491262376</v>
      </c>
      <c r="O106" s="58">
        <f>SUMPRODUCT(O52:O58,O87:O93)/SUM(O52:O58)</f>
        <v>0.19419307612127759</v>
      </c>
      <c r="P106" s="58">
        <f>SUMPRODUCT(P52:P58,P87:P93)/SUM(P52:P58)</f>
        <v>0.19485995703320655</v>
      </c>
      <c r="Q106" s="58">
        <f>SUMPRODUCT(Q52:Q58,Q87:Q93)/SUM(Q52:Q58)</f>
        <v>0.1979826823353088</v>
      </c>
      <c r="R106" s="58">
        <f>R99</f>
        <v>0.21597859398280211</v>
      </c>
      <c r="S106" s="58">
        <f t="shared" ref="S106:AC106" si="257">S99</f>
        <v>0.20945420477324081</v>
      </c>
      <c r="T106" s="58">
        <f t="shared" si="257"/>
        <v>0.1892522037172269</v>
      </c>
      <c r="U106" s="58">
        <f t="shared" si="257"/>
        <v>0.17945217350245049</v>
      </c>
      <c r="V106" s="58">
        <f t="shared" si="257"/>
        <v>0.19066025564801661</v>
      </c>
      <c r="W106" s="58">
        <f t="shared" si="257"/>
        <v>0.19438018420029041</v>
      </c>
      <c r="X106" s="58">
        <f t="shared" si="257"/>
        <v>0.18441903422624159</v>
      </c>
      <c r="Y106" s="58">
        <f t="shared" si="257"/>
        <v>0.18800512333520142</v>
      </c>
      <c r="Z106" s="58">
        <f t="shared" si="257"/>
        <v>0.20672493681883544</v>
      </c>
      <c r="AA106" s="58">
        <f t="shared" si="257"/>
        <v>0.24724551124807614</v>
      </c>
      <c r="AB106" s="58">
        <f t="shared" si="257"/>
        <v>0.24451991248905156</v>
      </c>
      <c r="AC106" s="58">
        <f t="shared" si="257"/>
        <v>0.24002492909956649</v>
      </c>
      <c r="AD106" s="58">
        <f t="shared" si="249"/>
        <v>0.27518505126799309</v>
      </c>
      <c r="AE106" s="58">
        <f t="shared" si="249"/>
        <v>0.26843877432455338</v>
      </c>
      <c r="AF106" s="58">
        <f t="shared" si="249"/>
        <v>0.25724080200277533</v>
      </c>
      <c r="AG106" s="58">
        <f t="shared" si="249"/>
        <v>0.23895574977050024</v>
      </c>
      <c r="AH106" s="58">
        <f t="shared" si="249"/>
        <v>0.23510807935212874</v>
      </c>
      <c r="AI106" s="58">
        <f t="shared" ref="AI106:AO107" si="258">AI99</f>
        <v>0.25534493513165207</v>
      </c>
      <c r="AJ106" s="58">
        <f t="shared" si="258"/>
        <v>0.23740744488283663</v>
      </c>
      <c r="AK106" s="58">
        <f t="shared" si="258"/>
        <v>0.25372243241596465</v>
      </c>
      <c r="AL106" s="58">
        <f t="shared" si="258"/>
        <v>0.23720892933461807</v>
      </c>
      <c r="AM106" s="58">
        <f t="shared" si="258"/>
        <v>0.24539824841372487</v>
      </c>
      <c r="AN106" s="58">
        <f t="shared" si="258"/>
        <v>0.23683349855749139</v>
      </c>
      <c r="AO106" s="58">
        <f t="shared" si="258"/>
        <v>0.24624654200089363</v>
      </c>
      <c r="AP106" s="58">
        <f t="shared" ref="AP106:BC106" si="259">AP99</f>
        <v>0.253585371893992</v>
      </c>
      <c r="AQ106" s="58">
        <f t="shared" si="259"/>
        <v>0.2385609192862477</v>
      </c>
      <c r="AR106" s="58">
        <f t="shared" si="259"/>
        <v>0.24759603052235507</v>
      </c>
      <c r="AS106" s="58">
        <f t="shared" si="259"/>
        <v>0.27718380817769828</v>
      </c>
      <c r="AT106" s="58">
        <f t="shared" si="259"/>
        <v>0.2281053623330232</v>
      </c>
      <c r="AU106" s="58">
        <f t="shared" si="259"/>
        <v>0.24409970687105703</v>
      </c>
      <c r="AV106" s="58">
        <f t="shared" si="259"/>
        <v>0.23883219481542725</v>
      </c>
      <c r="AW106" s="58">
        <f t="shared" si="259"/>
        <v>0.22852122760175267</v>
      </c>
      <c r="AX106" s="58">
        <f t="shared" si="259"/>
        <v>0.23637528462146185</v>
      </c>
      <c r="AY106" s="58">
        <f t="shared" si="259"/>
        <v>0.22837888934602413</v>
      </c>
      <c r="AZ106" s="58">
        <f t="shared" si="259"/>
        <v>0.22572032984658466</v>
      </c>
      <c r="BA106" s="58">
        <f t="shared" si="259"/>
        <v>0.22318948515162393</v>
      </c>
      <c r="BB106" s="58">
        <f t="shared" si="259"/>
        <v>0.22847376091139124</v>
      </c>
      <c r="BC106" s="58">
        <f t="shared" si="259"/>
        <v>0.21278743387345689</v>
      </c>
      <c r="BD106" s="58">
        <f t="shared" ref="BD106:BE106" si="260">BD99</f>
        <v>0.19963035967834677</v>
      </c>
      <c r="BE106" s="58">
        <f t="shared" si="260"/>
        <v>0.17949081569408146</v>
      </c>
      <c r="BF106" s="58">
        <f t="shared" ref="BF106:BG106" si="261">BF99</f>
        <v>0.18046094913440108</v>
      </c>
      <c r="BG106" s="58">
        <f t="shared" si="261"/>
        <v>0.18946122529309278</v>
      </c>
      <c r="BH106" s="58">
        <f t="shared" ref="BH106:BI106" si="262">BH99</f>
        <v>0.18797321111848955</v>
      </c>
      <c r="BI106" s="58">
        <f t="shared" si="262"/>
        <v>0.19334277742961867</v>
      </c>
      <c r="BJ106" s="58">
        <f t="shared" ref="BJ106:BK106" si="263">BJ99</f>
        <v>0.18672092000376131</v>
      </c>
      <c r="BK106" s="58">
        <f t="shared" si="263"/>
        <v>0.18815419060634569</v>
      </c>
      <c r="BL106" s="58">
        <f t="shared" ref="BL106:BM106" si="264">BL99</f>
        <v>0.19107019562022978</v>
      </c>
      <c r="BM106" s="58">
        <f t="shared" si="264"/>
        <v>0.19377416748145165</v>
      </c>
      <c r="BN106" s="6"/>
      <c r="BO106" s="6"/>
    </row>
    <row r="107" spans="1:67" x14ac:dyDescent="0.25">
      <c r="A107" s="60" t="s">
        <v>24</v>
      </c>
      <c r="B107" s="58">
        <f>B100</f>
        <v>0.10566423231093092</v>
      </c>
      <c r="C107" s="58">
        <f t="shared" ref="C107:L107" si="265">C100</f>
        <v>9.8933477725002605E-2</v>
      </c>
      <c r="D107" s="58">
        <f t="shared" si="265"/>
        <v>9.5546278960409792E-2</v>
      </c>
      <c r="E107" s="58">
        <f t="shared" si="265"/>
        <v>0.10195455544252274</v>
      </c>
      <c r="F107" s="58">
        <f t="shared" si="265"/>
        <v>7.804900069216103E-2</v>
      </c>
      <c r="G107" s="58">
        <f t="shared" si="265"/>
        <v>0.10383177442810587</v>
      </c>
      <c r="H107" s="58">
        <f t="shared" si="265"/>
        <v>9.5578492052816211E-2</v>
      </c>
      <c r="I107" s="58">
        <f t="shared" si="265"/>
        <v>9.0977501439560182E-2</v>
      </c>
      <c r="J107" s="58">
        <f t="shared" si="265"/>
        <v>8.8755315716297467E-2</v>
      </c>
      <c r="K107" s="58">
        <f t="shared" si="265"/>
        <v>9.0387686814171975E-2</v>
      </c>
      <c r="L107" s="58">
        <f t="shared" si="265"/>
        <v>9.4892574249225259E-2</v>
      </c>
      <c r="M107" s="58">
        <f>SUMPRODUCT(M94,M59)/M59</f>
        <v>9.1841051743688285E-2</v>
      </c>
      <c r="N107" s="58">
        <f>SUMPRODUCT(N94,N59)/N59</f>
        <v>9.676666122667954E-2</v>
      </c>
      <c r="O107" s="58">
        <f>SUMPRODUCT(O94,O59)/O59</f>
        <v>8.5540890435389372E-2</v>
      </c>
      <c r="P107" s="58">
        <f>SUMPRODUCT(P94,P59)/P59</f>
        <v>8.7239914953386677E-2</v>
      </c>
      <c r="Q107" s="58">
        <f>SUMPRODUCT(Q94,Q59)/Q59</f>
        <v>9.8268703922786305E-2</v>
      </c>
      <c r="R107" s="47">
        <f>R100</f>
        <v>8.4773257207301667E-2</v>
      </c>
      <c r="S107" s="47">
        <f t="shared" ref="S107:AC107" si="266">S100</f>
        <v>9.2069314000620794E-2</v>
      </c>
      <c r="T107" s="47">
        <f t="shared" si="266"/>
        <v>8.7998842458314241E-2</v>
      </c>
      <c r="U107" s="47">
        <f t="shared" si="266"/>
        <v>9.2071043889927706E-2</v>
      </c>
      <c r="V107" s="47">
        <f t="shared" si="266"/>
        <v>0.107130026495781</v>
      </c>
      <c r="W107" s="47">
        <f t="shared" si="266"/>
        <v>0.10725132199490471</v>
      </c>
      <c r="X107" s="47">
        <f t="shared" si="266"/>
        <v>0.10251960732313076</v>
      </c>
      <c r="Y107" s="47">
        <f t="shared" si="266"/>
        <v>9.8125752174028205E-2</v>
      </c>
      <c r="Z107" s="47">
        <f t="shared" si="266"/>
        <v>9.8792055795432265E-2</v>
      </c>
      <c r="AA107" s="47">
        <f t="shared" si="266"/>
        <v>0.10052196566273268</v>
      </c>
      <c r="AB107" s="47">
        <f t="shared" si="266"/>
        <v>0.10988507903311581</v>
      </c>
      <c r="AC107" s="47">
        <f t="shared" si="266"/>
        <v>0.12821641148462995</v>
      </c>
      <c r="AD107" s="47">
        <f t="shared" si="249"/>
        <v>0.1502543293639842</v>
      </c>
      <c r="AE107" s="47">
        <f t="shared" si="249"/>
        <v>0.15399414916354082</v>
      </c>
      <c r="AF107" s="47">
        <f t="shared" si="249"/>
        <v>0.14348524036414356</v>
      </c>
      <c r="AG107" s="47">
        <f t="shared" si="249"/>
        <v>0.1572021676970643</v>
      </c>
      <c r="AH107" s="47">
        <f t="shared" si="249"/>
        <v>0.16129194686676263</v>
      </c>
      <c r="AI107" s="47">
        <f t="shared" si="258"/>
        <v>0.16217507284856159</v>
      </c>
      <c r="AJ107" s="47">
        <f t="shared" si="258"/>
        <v>0.16852170735048588</v>
      </c>
      <c r="AK107" s="47">
        <f t="shared" si="258"/>
        <v>0.14231001248665764</v>
      </c>
      <c r="AL107" s="47">
        <f t="shared" si="258"/>
        <v>0.15365410346299035</v>
      </c>
      <c r="AM107" s="47">
        <f t="shared" si="258"/>
        <v>0.14656818111082215</v>
      </c>
      <c r="AN107" s="47">
        <f t="shared" si="258"/>
        <v>0.14739838187599452</v>
      </c>
      <c r="AO107" s="47">
        <f t="shared" si="258"/>
        <v>0.14388222372918746</v>
      </c>
      <c r="AP107" s="47">
        <f t="shared" ref="AP107:BC107" si="267">AP100</f>
        <v>0.15460175420980637</v>
      </c>
      <c r="AQ107" s="47">
        <f t="shared" si="267"/>
        <v>0.14681248475832875</v>
      </c>
      <c r="AR107" s="47">
        <f t="shared" si="267"/>
        <v>0.14365847867166637</v>
      </c>
      <c r="AS107" s="47">
        <f t="shared" si="267"/>
        <v>0.13582405780477713</v>
      </c>
      <c r="AT107" s="47">
        <f t="shared" si="267"/>
        <v>0.12351099786789921</v>
      </c>
      <c r="AU107" s="47">
        <f t="shared" si="267"/>
        <v>0.13814833486432421</v>
      </c>
      <c r="AV107" s="47">
        <f t="shared" si="267"/>
        <v>0.12676316531025766</v>
      </c>
      <c r="AW107" s="47">
        <f t="shared" si="267"/>
        <v>0.11625622244279499</v>
      </c>
      <c r="AX107" s="47">
        <f t="shared" si="267"/>
        <v>0.12190830308953536</v>
      </c>
      <c r="AY107" s="47">
        <f t="shared" si="267"/>
        <v>0.1097784777760933</v>
      </c>
      <c r="AZ107" s="47">
        <f t="shared" si="267"/>
        <v>0.11954134548474805</v>
      </c>
      <c r="BA107" s="47">
        <f t="shared" si="267"/>
        <v>0.11487927168459479</v>
      </c>
      <c r="BB107" s="47">
        <f t="shared" si="267"/>
        <v>0.11382600078251603</v>
      </c>
      <c r="BC107" s="47">
        <f t="shared" si="267"/>
        <v>0.10499950023286674</v>
      </c>
      <c r="BD107" s="47">
        <f t="shared" ref="BD107:BE107" si="268">BD100</f>
        <v>0.10029819089755332</v>
      </c>
      <c r="BE107" s="47">
        <f t="shared" si="268"/>
        <v>8.6407157926658762E-2</v>
      </c>
      <c r="BF107" s="47">
        <f t="shared" ref="BF107:BG107" si="269">BF100</f>
        <v>0.10213174569226657</v>
      </c>
      <c r="BG107" s="47">
        <f t="shared" si="269"/>
        <v>9.6315626872646387E-2</v>
      </c>
      <c r="BH107" s="47">
        <f t="shared" ref="BH107:BI107" si="270">BH100</f>
        <v>9.6401909043288381E-2</v>
      </c>
      <c r="BI107" s="47">
        <f t="shared" si="270"/>
        <v>0.10998407502145802</v>
      </c>
      <c r="BJ107" s="47">
        <f t="shared" ref="BJ107:BK107" si="271">BJ100</f>
        <v>0.11686988661326959</v>
      </c>
      <c r="BK107" s="47">
        <f t="shared" si="271"/>
        <v>0.11002556308228995</v>
      </c>
      <c r="BL107" s="47">
        <f t="shared" ref="BL107:BM107" si="272">BL100</f>
        <v>0.11185051889869357</v>
      </c>
      <c r="BM107" s="47">
        <f t="shared" si="272"/>
        <v>0.11134195157961568</v>
      </c>
      <c r="BN107" s="6"/>
      <c r="BO107" s="3"/>
    </row>
    <row r="108" spans="1:67" x14ac:dyDescent="0.25">
      <c r="A108" s="43" t="s">
        <v>27</v>
      </c>
      <c r="B108" s="62">
        <f t="shared" ref="B108:AC108" si="273">SUMPRODUCT(B87:B95,B52:B60)/B61</f>
        <v>0.19127848742195103</v>
      </c>
      <c r="C108" s="62">
        <f t="shared" si="273"/>
        <v>0.18258704928902766</v>
      </c>
      <c r="D108" s="62">
        <f t="shared" si="273"/>
        <v>0.17861056921571308</v>
      </c>
      <c r="E108" s="62">
        <f t="shared" si="273"/>
        <v>0.18916506558507731</v>
      </c>
      <c r="F108" s="62">
        <f t="shared" si="273"/>
        <v>0.19186547649021371</v>
      </c>
      <c r="G108" s="62">
        <f t="shared" si="273"/>
        <v>0.19340266474771881</v>
      </c>
      <c r="H108" s="62">
        <f t="shared" si="273"/>
        <v>0.18086127657241741</v>
      </c>
      <c r="I108" s="62">
        <f t="shared" si="273"/>
        <v>0.17901990938295748</v>
      </c>
      <c r="J108" s="62">
        <f t="shared" si="273"/>
        <v>0.17168510860948949</v>
      </c>
      <c r="K108" s="62">
        <f t="shared" si="273"/>
        <v>0.18616621244530257</v>
      </c>
      <c r="L108" s="62">
        <f t="shared" si="273"/>
        <v>0.19893337501381464</v>
      </c>
      <c r="M108" s="62">
        <f t="shared" si="273"/>
        <v>0.18434229292569398</v>
      </c>
      <c r="N108" s="62">
        <f t="shared" si="273"/>
        <v>0.18843526896103036</v>
      </c>
      <c r="O108" s="62">
        <f t="shared" si="273"/>
        <v>0.18000473566464564</v>
      </c>
      <c r="P108" s="62">
        <f t="shared" si="273"/>
        <v>0.17850133122669556</v>
      </c>
      <c r="Q108" s="62">
        <f t="shared" si="273"/>
        <v>0.17672183715418024</v>
      </c>
      <c r="R108" s="62">
        <f t="shared" si="273"/>
        <v>0.21228333134384286</v>
      </c>
      <c r="S108" s="62">
        <f t="shared" si="273"/>
        <v>0.20915221643214213</v>
      </c>
      <c r="T108" s="62">
        <f t="shared" si="273"/>
        <v>0.18806898337673919</v>
      </c>
      <c r="U108" s="62">
        <f t="shared" si="273"/>
        <v>0.1769523377962654</v>
      </c>
      <c r="V108" s="62">
        <f t="shared" si="273"/>
        <v>0.15499447993558785</v>
      </c>
      <c r="W108" s="62">
        <f t="shared" si="273"/>
        <v>0.16518698595034939</v>
      </c>
      <c r="X108" s="62">
        <f t="shared" si="273"/>
        <v>0.21295940070865277</v>
      </c>
      <c r="Y108" s="62">
        <f t="shared" si="273"/>
        <v>0.20903905121768543</v>
      </c>
      <c r="Z108" s="62">
        <f t="shared" si="273"/>
        <v>0.2302168871918939</v>
      </c>
      <c r="AA108" s="62">
        <f t="shared" si="273"/>
        <v>0.24499892899162409</v>
      </c>
      <c r="AB108" s="62">
        <f t="shared" si="273"/>
        <v>0.23950473584690843</v>
      </c>
      <c r="AC108" s="62">
        <f t="shared" si="273"/>
        <v>0.258348577673289</v>
      </c>
      <c r="AD108" s="62">
        <f t="shared" ref="AD108:BC108" si="274">SUMPRODUCT(AD87:AD95,AD52:AD60)/AD61</f>
        <v>0.29808660620242705</v>
      </c>
      <c r="AE108" s="62">
        <f t="shared" si="274"/>
        <v>0.2964259319292975</v>
      </c>
      <c r="AF108" s="62">
        <f t="shared" si="274"/>
        <v>0.300317205749213</v>
      </c>
      <c r="AG108" s="62">
        <f t="shared" si="274"/>
        <v>0.2807938821191725</v>
      </c>
      <c r="AH108" s="62">
        <f t="shared" si="274"/>
        <v>0.26349720040962676</v>
      </c>
      <c r="AI108" s="62">
        <f t="shared" si="274"/>
        <v>0.27760184722174791</v>
      </c>
      <c r="AJ108" s="62">
        <f t="shared" si="274"/>
        <v>0.27476802000800482</v>
      </c>
      <c r="AK108" s="62">
        <f t="shared" si="274"/>
        <v>0.28596208324497085</v>
      </c>
      <c r="AL108" s="62">
        <f t="shared" si="274"/>
        <v>0.29005863234302831</v>
      </c>
      <c r="AM108" s="62">
        <f t="shared" si="274"/>
        <v>0.27739328379867995</v>
      </c>
      <c r="AN108" s="62">
        <f t="shared" si="274"/>
        <v>0.26690864641319145</v>
      </c>
      <c r="AO108" s="62">
        <f t="shared" si="274"/>
        <v>0.30862085025396407</v>
      </c>
      <c r="AP108" s="62">
        <f t="shared" si="274"/>
        <v>0.31784257366591673</v>
      </c>
      <c r="AQ108" s="62">
        <f t="shared" si="274"/>
        <v>0.27779565731095496</v>
      </c>
      <c r="AR108" s="62">
        <f t="shared" si="274"/>
        <v>0.27368675866497466</v>
      </c>
      <c r="AS108" s="62">
        <f t="shared" si="274"/>
        <v>0.27467675027980976</v>
      </c>
      <c r="AT108" s="62">
        <f t="shared" si="274"/>
        <v>0.26821703706234556</v>
      </c>
      <c r="AU108" s="62">
        <f t="shared" si="274"/>
        <v>0.26765682988809242</v>
      </c>
      <c r="AV108" s="62">
        <f t="shared" si="274"/>
        <v>0.25138098433404876</v>
      </c>
      <c r="AW108" s="62">
        <f t="shared" si="274"/>
        <v>0.24093384246858771</v>
      </c>
      <c r="AX108" s="62">
        <f t="shared" si="274"/>
        <v>0.24169979563796629</v>
      </c>
      <c r="AY108" s="62">
        <f t="shared" si="274"/>
        <v>0.23833338158331097</v>
      </c>
      <c r="AZ108" s="62">
        <f t="shared" si="274"/>
        <v>0.23663424386830398</v>
      </c>
      <c r="BA108" s="62">
        <f t="shared" si="274"/>
        <v>0.22528319485153001</v>
      </c>
      <c r="BB108" s="62">
        <f t="shared" si="274"/>
        <v>0.22845300456447631</v>
      </c>
      <c r="BC108" s="62">
        <f t="shared" si="274"/>
        <v>0.21439299423957242</v>
      </c>
      <c r="BD108" s="62">
        <f t="shared" ref="BD108:BE108" si="275">SUMPRODUCT(BD87:BD95,BD52:BD60)/BD61</f>
        <v>0.19997411006340163</v>
      </c>
      <c r="BE108" s="62">
        <f t="shared" si="275"/>
        <v>0.19106178761842962</v>
      </c>
      <c r="BF108" s="62">
        <f t="shared" ref="BF108" si="276">SUMPRODUCT(BF87:BF95,BF52:BF60)/BF61</f>
        <v>0.19973454052676129</v>
      </c>
      <c r="BG108" s="62">
        <f t="shared" ref="BG108:BL108" si="277">SUMPRODUCT(BG87:BG95,BG52:BG60)/BG61</f>
        <v>0.18008193577725151</v>
      </c>
      <c r="BH108" s="62">
        <f t="shared" si="277"/>
        <v>0.18526990947631386</v>
      </c>
      <c r="BI108" s="62">
        <f t="shared" si="277"/>
        <v>0.20215394406735304</v>
      </c>
      <c r="BJ108" s="62">
        <f t="shared" si="277"/>
        <v>0.20352906075091023</v>
      </c>
      <c r="BK108" s="62">
        <f t="shared" si="277"/>
        <v>0.20665690983928636</v>
      </c>
      <c r="BL108" s="62">
        <f t="shared" si="277"/>
        <v>0.20143974642601706</v>
      </c>
      <c r="BM108" s="62">
        <f t="shared" ref="BM108" si="278">SUMPRODUCT(BM87:BM95,BM52:BM60)/BM61</f>
        <v>0.19729332508670169</v>
      </c>
      <c r="BN108" s="6"/>
      <c r="BO108" s="6"/>
    </row>
    <row r="109" spans="1:67" x14ac:dyDescent="0.25">
      <c r="R109" s="5">
        <f>NOMINAL(R108,12)</f>
        <v>0.19405802294084129</v>
      </c>
      <c r="S109" s="5">
        <f t="shared" ref="S109:AC109" si="279">NOMINAL(S108,12)</f>
        <v>0.19143031832346136</v>
      </c>
      <c r="T109" s="5">
        <f t="shared" si="279"/>
        <v>0.17357262164584775</v>
      </c>
      <c r="U109" s="5">
        <f t="shared" si="279"/>
        <v>0.16403942407668914</v>
      </c>
      <c r="V109" s="5">
        <f t="shared" si="279"/>
        <v>0.14496418514833298</v>
      </c>
      <c r="W109" s="5">
        <f t="shared" si="279"/>
        <v>0.15385959172416896</v>
      </c>
      <c r="X109" s="5">
        <f t="shared" si="279"/>
        <v>0.1946245793436896</v>
      </c>
      <c r="Y109" s="5">
        <f t="shared" si="279"/>
        <v>0.19133523069428549</v>
      </c>
      <c r="Z109" s="5">
        <f t="shared" si="279"/>
        <v>0.20898948612806922</v>
      </c>
      <c r="AA109" s="5">
        <f t="shared" si="279"/>
        <v>0.22114773817303757</v>
      </c>
      <c r="AB109" s="5">
        <f t="shared" si="279"/>
        <v>0.21664428447028694</v>
      </c>
      <c r="AC109" s="5">
        <f t="shared" si="279"/>
        <v>0.2320146606740332</v>
      </c>
      <c r="AD109" s="5">
        <f t="shared" ref="AD109:AL109" si="280">NOMINAL(AD108,12)</f>
        <v>0.26374801569746698</v>
      </c>
      <c r="AE109" s="5">
        <f t="shared" si="280"/>
        <v>0.26243980545059742</v>
      </c>
      <c r="AF109" s="5">
        <f t="shared" si="280"/>
        <v>0.2655027772423928</v>
      </c>
      <c r="AG109" s="5">
        <f t="shared" si="280"/>
        <v>0.25004967349047735</v>
      </c>
      <c r="AH109" s="5">
        <f t="shared" si="280"/>
        <v>0.23617753962533783</v>
      </c>
      <c r="AI109" s="5">
        <f t="shared" si="280"/>
        <v>0.24750259938872698</v>
      </c>
      <c r="AJ109" s="5">
        <f t="shared" si="280"/>
        <v>0.24523646299959001</v>
      </c>
      <c r="AK109" s="5">
        <f t="shared" si="280"/>
        <v>0.25416131163305788</v>
      </c>
      <c r="AL109" s="5">
        <f t="shared" si="280"/>
        <v>0.25740963365736214</v>
      </c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</row>
    <row r="111" spans="1:67" s="25" customFormat="1" x14ac:dyDescent="0.25">
      <c r="B111" s="26"/>
      <c r="F111" s="26"/>
      <c r="G111" s="26"/>
      <c r="H111" s="26"/>
      <c r="I111" s="26"/>
      <c r="J111" s="27"/>
      <c r="K111" s="28"/>
      <c r="L111" s="26"/>
      <c r="M111" s="28"/>
      <c r="N111" s="26"/>
    </row>
    <row r="112" spans="1:67" hidden="1" x14ac:dyDescent="0.25">
      <c r="A112" s="11" t="s">
        <v>39</v>
      </c>
      <c r="F112" s="7"/>
      <c r="G112" s="7"/>
      <c r="H112" s="7"/>
      <c r="I112" s="8"/>
      <c r="J112" s="9"/>
      <c r="K112" s="7"/>
      <c r="L112" s="9"/>
      <c r="M112" s="4"/>
      <c r="N112" s="2">
        <v>44440</v>
      </c>
    </row>
    <row r="113" spans="1:67" hidden="1" x14ac:dyDescent="0.25">
      <c r="A113" s="23" t="s">
        <v>19</v>
      </c>
      <c r="F113" s="1"/>
      <c r="G113" s="1"/>
      <c r="H113" s="1"/>
      <c r="I113" s="1"/>
      <c r="J113" s="1"/>
      <c r="K113" s="1"/>
      <c r="L113" s="1"/>
      <c r="M113" s="1"/>
      <c r="N113" s="16">
        <v>1.66E-2</v>
      </c>
    </row>
    <row r="114" spans="1:67" hidden="1" x14ac:dyDescent="0.25">
      <c r="A114" s="23" t="s">
        <v>18</v>
      </c>
      <c r="F114" s="1"/>
      <c r="G114" s="1"/>
      <c r="H114" s="1"/>
      <c r="I114" s="1"/>
      <c r="J114" s="1"/>
      <c r="K114" s="1"/>
      <c r="L114" s="1"/>
      <c r="M114" s="1"/>
      <c r="N114" s="16">
        <v>1.7500000000000002E-2</v>
      </c>
    </row>
    <row r="115" spans="1:67" hidden="1" x14ac:dyDescent="0.25">
      <c r="A115" s="22" t="s">
        <v>17</v>
      </c>
      <c r="F115" s="1"/>
      <c r="G115" s="1"/>
      <c r="H115" s="1"/>
      <c r="I115" s="1"/>
      <c r="J115" s="1"/>
      <c r="K115" s="1"/>
      <c r="L115" s="1"/>
      <c r="M115" s="1"/>
      <c r="N115" s="16">
        <v>1.4999999999999999E-2</v>
      </c>
    </row>
    <row r="116" spans="1:67" hidden="1" x14ac:dyDescent="0.25">
      <c r="A116" s="22" t="s">
        <v>16</v>
      </c>
      <c r="F116" s="1"/>
      <c r="G116" s="1"/>
      <c r="H116" s="1"/>
      <c r="I116" s="1"/>
      <c r="J116" s="1"/>
      <c r="K116" s="1"/>
      <c r="L116" s="1"/>
      <c r="M116" s="1"/>
    </row>
    <row r="117" spans="1:67" hidden="1" x14ac:dyDescent="0.25">
      <c r="A117" s="22" t="s">
        <v>15</v>
      </c>
      <c r="N117" s="16">
        <v>1.0800000000000001E-2</v>
      </c>
    </row>
    <row r="118" spans="1:67" hidden="1" x14ac:dyDescent="0.25">
      <c r="A118" s="22" t="s">
        <v>14</v>
      </c>
      <c r="N118" s="16">
        <v>9.1999999999999998E-3</v>
      </c>
      <c r="BN118" s="16">
        <v>1.4200000000000001E-2</v>
      </c>
      <c r="BO118" t="s">
        <v>41</v>
      </c>
    </row>
    <row r="119" spans="1:67" hidden="1" x14ac:dyDescent="0.25">
      <c r="A119" s="24" t="s">
        <v>13</v>
      </c>
      <c r="N119" s="16">
        <v>9.1999999999999998E-3</v>
      </c>
    </row>
    <row r="120" spans="1:67" hidden="1" x14ac:dyDescent="0.25"/>
    <row r="121" spans="1:67" hidden="1" x14ac:dyDescent="0.25"/>
    <row r="122" spans="1:67" hidden="1" x14ac:dyDescent="0.25">
      <c r="A122" s="11" t="s">
        <v>40</v>
      </c>
    </row>
    <row r="123" spans="1:67" hidden="1" x14ac:dyDescent="0.25">
      <c r="A123" s="23" t="s">
        <v>19</v>
      </c>
      <c r="N123" s="6">
        <f>+(1+N113)^12-1</f>
        <v>0.21843191003260709</v>
      </c>
    </row>
    <row r="124" spans="1:67" hidden="1" x14ac:dyDescent="0.25">
      <c r="A124" s="23" t="s">
        <v>18</v>
      </c>
      <c r="N124" s="6">
        <f>+(1+N114)^12-1</f>
        <v>0.23143931494479242</v>
      </c>
    </row>
    <row r="125" spans="1:67" hidden="1" x14ac:dyDescent="0.25">
      <c r="A125" s="22" t="s">
        <v>17</v>
      </c>
      <c r="N125" s="6">
        <f>+(1+N115)^12-1</f>
        <v>0.19561817146153326</v>
      </c>
    </row>
    <row r="126" spans="1:67" hidden="1" x14ac:dyDescent="0.25">
      <c r="A126" s="22" t="s">
        <v>16</v>
      </c>
      <c r="N126" s="6"/>
    </row>
    <row r="127" spans="1:67" hidden="1" x14ac:dyDescent="0.25">
      <c r="A127" s="22" t="s">
        <v>15</v>
      </c>
      <c r="N127" s="6">
        <f>+(1+N117)^12-1</f>
        <v>0.1375822289110713</v>
      </c>
    </row>
    <row r="128" spans="1:67" hidden="1" x14ac:dyDescent="0.25">
      <c r="A128" s="22" t="s">
        <v>14</v>
      </c>
      <c r="N128" s="6">
        <f>+(1+N118)^12-1</f>
        <v>0.11616115026912621</v>
      </c>
      <c r="O128" s="6">
        <f>+(1+O118)^12-1</f>
        <v>0</v>
      </c>
      <c r="P128" s="6">
        <f>+(1+P118)^12-1</f>
        <v>0</v>
      </c>
      <c r="Q128" s="6">
        <f>+(1+Q118)^12-1</f>
        <v>0</v>
      </c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>
        <f>+(1+BN118)^12-1</f>
        <v>0.18435875434360338</v>
      </c>
      <c r="BO128" t="s">
        <v>41</v>
      </c>
    </row>
    <row r="129" spans="1:14" hidden="1" x14ac:dyDescent="0.25">
      <c r="A129" s="24" t="s">
        <v>13</v>
      </c>
      <c r="N129" s="6">
        <f>+(1+N119)^12-1</f>
        <v>0.11616115026912621</v>
      </c>
    </row>
    <row r="130" spans="1:14" hidden="1" x14ac:dyDescent="0.25"/>
    <row r="131" spans="1:14" hidden="1" x14ac:dyDescent="0.25"/>
    <row r="132" spans="1:14" hidden="1" x14ac:dyDescent="0.25">
      <c r="A132" s="23" t="s">
        <v>29</v>
      </c>
      <c r="N132" s="16">
        <f>SUMPRODUCT(N52:N53,N123:N124)/N70</f>
        <v>0.2255926534153096</v>
      </c>
    </row>
    <row r="133" spans="1:14" hidden="1" x14ac:dyDescent="0.25">
      <c r="A133" s="22" t="s">
        <v>21</v>
      </c>
      <c r="N133" s="6" t="e">
        <f>SUMPRODUCT(N52:N58,N123:N128)/SUM(N52:N58)</f>
        <v>#VALUE!</v>
      </c>
    </row>
    <row r="134" spans="1:14" hidden="1" x14ac:dyDescent="0.25">
      <c r="A134" s="24" t="s">
        <v>24</v>
      </c>
      <c r="N134" s="6">
        <f>SUMPRODUCT(N129,N59)/N59</f>
        <v>0.11616115026912621</v>
      </c>
    </row>
    <row r="135" spans="1:14" hidden="1" x14ac:dyDescent="0.25">
      <c r="A135" t="s">
        <v>27</v>
      </c>
      <c r="N135" s="29" t="e">
        <f>SUMPRODUCT(N123:N129,N52:N59)/N61</f>
        <v>#VALUE!</v>
      </c>
    </row>
  </sheetData>
  <mergeCells count="4">
    <mergeCell ref="BP44:BS44"/>
    <mergeCell ref="BP20:BS20"/>
    <mergeCell ref="BP68:BS68"/>
    <mergeCell ref="BP88:BS88"/>
  </mergeCells>
  <pageMargins left="0.7" right="0.7" top="0.75" bottom="0.75" header="0.3" footer="0.3"/>
  <pageSetup orientation="portrait" r:id="rId1"/>
  <ignoredErrors>
    <ignoredError sqref="K21" formulaRange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44CFC-8376-4051-890F-8CF5D5AFA70F}">
  <dimension ref="A1:N5"/>
  <sheetViews>
    <sheetView workbookViewId="0"/>
  </sheetViews>
  <sheetFormatPr baseColWidth="10" defaultRowHeight="15" x14ac:dyDescent="0.25"/>
  <cols>
    <col min="1" max="1" width="21.85546875" bestFit="1" customWidth="1"/>
  </cols>
  <sheetData>
    <row r="1" spans="1:14" x14ac:dyDescent="0.25">
      <c r="A1" s="37" t="s">
        <v>32</v>
      </c>
      <c r="B1" s="38">
        <v>45627</v>
      </c>
      <c r="C1" s="38">
        <v>45658</v>
      </c>
      <c r="D1" s="38">
        <v>45689</v>
      </c>
      <c r="E1" s="38">
        <v>45717</v>
      </c>
      <c r="F1" s="38">
        <v>45748</v>
      </c>
      <c r="G1" s="38">
        <v>45778</v>
      </c>
      <c r="H1" s="38">
        <v>45809</v>
      </c>
      <c r="I1" s="38">
        <v>45839</v>
      </c>
      <c r="J1" s="38">
        <v>45870</v>
      </c>
      <c r="K1" s="38">
        <v>45901</v>
      </c>
      <c r="L1" s="38">
        <v>45931</v>
      </c>
      <c r="M1" s="38">
        <v>45962</v>
      </c>
      <c r="N1" s="38">
        <v>45992</v>
      </c>
    </row>
    <row r="2" spans="1:14" x14ac:dyDescent="0.25">
      <c r="A2" s="40" t="s">
        <v>12</v>
      </c>
      <c r="B2" s="66">
        <v>189569.16443100001</v>
      </c>
      <c r="C2" s="66">
        <v>189702.21033500001</v>
      </c>
      <c r="D2" s="66">
        <v>191241.64048999999</v>
      </c>
      <c r="E2" s="66">
        <v>192311.300552</v>
      </c>
      <c r="F2" s="66">
        <v>191636.438689</v>
      </c>
      <c r="G2" s="66">
        <v>194648.27966</v>
      </c>
      <c r="H2" s="66">
        <v>196456.15143999999</v>
      </c>
      <c r="I2" s="66">
        <v>197152.9878</v>
      </c>
      <c r="J2" s="66">
        <v>196138.77372299999</v>
      </c>
      <c r="K2" s="66">
        <v>203953.11782799999</v>
      </c>
      <c r="L2" s="66">
        <v>200214.12185200001</v>
      </c>
      <c r="M2" s="66">
        <v>197648.65289100001</v>
      </c>
      <c r="N2" s="66">
        <v>194798.42125399999</v>
      </c>
    </row>
    <row r="3" spans="1:14" x14ac:dyDescent="0.25">
      <c r="A3" s="40" t="s">
        <v>33</v>
      </c>
      <c r="B3" s="66">
        <v>88516.290403000006</v>
      </c>
      <c r="C3" s="66">
        <v>95634.061363999994</v>
      </c>
      <c r="D3" s="66">
        <v>98525.122174999997</v>
      </c>
      <c r="E3" s="66">
        <v>98330.610625000001</v>
      </c>
      <c r="F3" s="66">
        <v>98552.628295999995</v>
      </c>
      <c r="G3" s="66">
        <v>100246.240978</v>
      </c>
      <c r="H3" s="66">
        <v>98015.009223999994</v>
      </c>
      <c r="I3" s="66">
        <v>96714.958406000005</v>
      </c>
      <c r="J3" s="66">
        <v>96053.413931999996</v>
      </c>
      <c r="K3" s="66">
        <v>95524.448399999994</v>
      </c>
      <c r="L3" s="66">
        <v>94670.731799000001</v>
      </c>
      <c r="M3" s="66">
        <v>93873.042705999993</v>
      </c>
      <c r="N3" s="66">
        <v>91825.585867999995</v>
      </c>
    </row>
    <row r="4" spans="1:14" x14ac:dyDescent="0.25">
      <c r="A4" s="40" t="s">
        <v>9</v>
      </c>
      <c r="B4" s="66">
        <v>93673.929090000005</v>
      </c>
      <c r="C4" s="66">
        <v>94328.086118000007</v>
      </c>
      <c r="D4" s="66">
        <v>95680.756156999996</v>
      </c>
      <c r="E4" s="66">
        <v>97434.096512999997</v>
      </c>
      <c r="F4" s="66">
        <v>98792.381187999999</v>
      </c>
      <c r="G4" s="66">
        <v>99420.408951000005</v>
      </c>
      <c r="H4" s="66">
        <v>101268.624088</v>
      </c>
      <c r="I4" s="66">
        <v>104093.645871</v>
      </c>
      <c r="J4" s="66">
        <v>104160.22784599999</v>
      </c>
      <c r="K4" s="66">
        <v>104850.557214</v>
      </c>
      <c r="L4" s="66">
        <v>104381.659186</v>
      </c>
      <c r="M4" s="66">
        <v>105529.623288</v>
      </c>
      <c r="N4" s="66">
        <v>106128.56307</v>
      </c>
    </row>
    <row r="5" spans="1:14" x14ac:dyDescent="0.25">
      <c r="A5" s="43" t="s">
        <v>10</v>
      </c>
      <c r="B5" s="44">
        <v>371759.38392400002</v>
      </c>
      <c r="C5" s="44">
        <v>379664.35781700001</v>
      </c>
      <c r="D5" s="44">
        <v>385447.51882200001</v>
      </c>
      <c r="E5" s="44">
        <v>388076.00769</v>
      </c>
      <c r="F5" s="44">
        <v>388981.44817300001</v>
      </c>
      <c r="G5" s="44">
        <v>394314.92958900001</v>
      </c>
      <c r="H5" s="44">
        <v>395739.78475199995</v>
      </c>
      <c r="I5" s="44">
        <v>397961.59207700001</v>
      </c>
      <c r="J5" s="44">
        <v>396352.41550100001</v>
      </c>
      <c r="K5" s="44">
        <v>404328.12344200001</v>
      </c>
      <c r="L5" s="44">
        <v>399266.51283700002</v>
      </c>
      <c r="M5" s="44">
        <v>397051.31888500002</v>
      </c>
      <c r="N5" s="44">
        <v>392752.57019200001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512C-E723-4660-AEE3-67452D3BA935}">
  <dimension ref="A1:N5"/>
  <sheetViews>
    <sheetView workbookViewId="0">
      <selection sqref="A1:N5"/>
    </sheetView>
  </sheetViews>
  <sheetFormatPr baseColWidth="10" defaultRowHeight="15" x14ac:dyDescent="0.25"/>
  <cols>
    <col min="1" max="1" width="21.28515625" bestFit="1" customWidth="1"/>
  </cols>
  <sheetData>
    <row r="1" spans="1:14" x14ac:dyDescent="0.25">
      <c r="A1" s="46" t="s">
        <v>47</v>
      </c>
      <c r="B1" s="38">
        <v>45627</v>
      </c>
      <c r="C1" s="38">
        <v>45658</v>
      </c>
      <c r="D1" s="38">
        <v>45689</v>
      </c>
      <c r="E1" s="38">
        <v>45717</v>
      </c>
      <c r="F1" s="38">
        <v>45748</v>
      </c>
      <c r="G1" s="38">
        <v>45778</v>
      </c>
      <c r="H1" s="38">
        <v>45809</v>
      </c>
      <c r="I1" s="38">
        <v>45839</v>
      </c>
      <c r="J1" s="38">
        <v>45870</v>
      </c>
      <c r="K1" s="38">
        <v>45901</v>
      </c>
      <c r="L1" s="38">
        <v>45931</v>
      </c>
      <c r="M1" s="38">
        <v>45962</v>
      </c>
      <c r="N1" s="38">
        <v>45992</v>
      </c>
    </row>
    <row r="2" spans="1:14" x14ac:dyDescent="0.25">
      <c r="A2" s="40" t="s">
        <v>34</v>
      </c>
      <c r="B2" s="52">
        <v>5283.4234529999994</v>
      </c>
      <c r="C2" s="52">
        <v>13699.863357</v>
      </c>
      <c r="D2" s="52">
        <v>9189.1630830000013</v>
      </c>
      <c r="E2" s="52">
        <v>7112.0806430000002</v>
      </c>
      <c r="F2" s="52">
        <v>6254.4456620000001</v>
      </c>
      <c r="G2" s="52">
        <v>8622.7807969999994</v>
      </c>
      <c r="H2" s="52">
        <v>4258.2007880000001</v>
      </c>
      <c r="I2" s="52">
        <v>5446.9002550000005</v>
      </c>
      <c r="J2" s="52">
        <v>5249.9302539999999</v>
      </c>
      <c r="K2" s="52">
        <v>5937.1941639999995</v>
      </c>
      <c r="L2" s="52">
        <v>5478.9335880000008</v>
      </c>
      <c r="M2" s="52">
        <v>5127.5674750000007</v>
      </c>
      <c r="N2" s="52">
        <v>5382.580457</v>
      </c>
    </row>
    <row r="3" spans="1:14" x14ac:dyDescent="0.25">
      <c r="A3" s="40" t="s">
        <v>21</v>
      </c>
      <c r="B3" s="52">
        <v>7319.1159990000006</v>
      </c>
      <c r="C3" s="52">
        <v>6540.0850699999992</v>
      </c>
      <c r="D3" s="52">
        <v>8668.1454570000005</v>
      </c>
      <c r="E3" s="52">
        <v>9835.5095459999975</v>
      </c>
      <c r="F3" s="52">
        <v>7121.5125039999994</v>
      </c>
      <c r="G3" s="52">
        <v>7723.8423159999993</v>
      </c>
      <c r="H3" s="52">
        <v>5344.4048270000003</v>
      </c>
      <c r="I3" s="52">
        <v>6872.0698389999998</v>
      </c>
      <c r="J3" s="52">
        <v>5683.1722600000003</v>
      </c>
      <c r="K3" s="52">
        <v>7440.3931530000009</v>
      </c>
      <c r="L3" s="52">
        <v>7311.977543</v>
      </c>
      <c r="M3" s="52">
        <v>5441.1547659999997</v>
      </c>
      <c r="N3" s="52">
        <v>4789.9581610000005</v>
      </c>
    </row>
    <row r="4" spans="1:14" x14ac:dyDescent="0.25">
      <c r="A4" s="40" t="s">
        <v>24</v>
      </c>
      <c r="B4" s="52">
        <v>1563.2565260000001</v>
      </c>
      <c r="C4" s="52">
        <v>2080.4615309999999</v>
      </c>
      <c r="D4" s="52">
        <v>2515.2280740000001</v>
      </c>
      <c r="E4" s="52">
        <v>3239.4443509999996</v>
      </c>
      <c r="F4" s="52">
        <v>2486.935332</v>
      </c>
      <c r="G4" s="52">
        <v>2548.9062990000002</v>
      </c>
      <c r="H4" s="52">
        <v>3941.7023260000001</v>
      </c>
      <c r="I4" s="52">
        <v>4127.4502700000003</v>
      </c>
      <c r="J4" s="52">
        <v>2136.4154750000002</v>
      </c>
      <c r="K4" s="52">
        <v>1572.797613</v>
      </c>
      <c r="L4" s="52">
        <v>552.838258</v>
      </c>
      <c r="M4" s="52">
        <v>2086.5602589999999</v>
      </c>
      <c r="N4" s="52">
        <v>3054.4623730000003</v>
      </c>
    </row>
    <row r="5" spans="1:14" x14ac:dyDescent="0.25">
      <c r="A5" s="43" t="s">
        <v>25</v>
      </c>
      <c r="B5" s="55">
        <v>14165.795978000002</v>
      </c>
      <c r="C5" s="55">
        <v>22320.409958</v>
      </c>
      <c r="D5" s="55">
        <v>20372.536614000001</v>
      </c>
      <c r="E5" s="55">
        <v>20187.034539999997</v>
      </c>
      <c r="F5" s="55">
        <v>15862.893498000001</v>
      </c>
      <c r="G5" s="55">
        <v>18895.529411999996</v>
      </c>
      <c r="H5" s="55">
        <v>13544.307941000001</v>
      </c>
      <c r="I5" s="55">
        <v>16446.420364000001</v>
      </c>
      <c r="J5" s="55">
        <v>13069.517989</v>
      </c>
      <c r="K5" s="55">
        <v>14950.384930000002</v>
      </c>
      <c r="L5" s="55">
        <v>13343.749389000001</v>
      </c>
      <c r="M5" s="55">
        <v>12655.282499999999</v>
      </c>
      <c r="N5" s="55">
        <v>13227.000991000001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99406-6AF5-409E-9877-07F09766ECE5}">
  <dimension ref="A1:N5"/>
  <sheetViews>
    <sheetView workbookViewId="0">
      <selection sqref="A1:N5"/>
    </sheetView>
  </sheetViews>
  <sheetFormatPr baseColWidth="10" defaultRowHeight="15" x14ac:dyDescent="0.25"/>
  <cols>
    <col min="1" max="1" width="21.28515625" bestFit="1" customWidth="1"/>
  </cols>
  <sheetData>
    <row r="1" spans="1:14" x14ac:dyDescent="0.25">
      <c r="A1" s="46" t="s">
        <v>47</v>
      </c>
      <c r="B1" s="38">
        <v>45627</v>
      </c>
      <c r="C1" s="38">
        <v>45658</v>
      </c>
      <c r="D1" s="38">
        <v>45689</v>
      </c>
      <c r="E1" s="38">
        <v>45717</v>
      </c>
      <c r="F1" s="38">
        <v>45748</v>
      </c>
      <c r="G1" s="38">
        <v>45778</v>
      </c>
      <c r="H1" s="38">
        <v>45809</v>
      </c>
      <c r="I1" s="38">
        <v>45839</v>
      </c>
      <c r="J1" s="38">
        <v>45870</v>
      </c>
      <c r="K1" s="38">
        <v>45901</v>
      </c>
      <c r="L1" s="38">
        <v>45931</v>
      </c>
      <c r="M1" s="38">
        <v>45962</v>
      </c>
      <c r="N1" s="38">
        <v>45992</v>
      </c>
    </row>
    <row r="2" spans="1:14" x14ac:dyDescent="0.25">
      <c r="A2" s="40" t="s">
        <v>34</v>
      </c>
      <c r="B2" s="52">
        <v>5283.4234529999994</v>
      </c>
      <c r="C2" s="52">
        <v>13699.863357</v>
      </c>
      <c r="D2" s="52">
        <v>9189.1630830000013</v>
      </c>
      <c r="E2" s="52">
        <v>7112.0806430000002</v>
      </c>
      <c r="F2" s="52">
        <v>6254.4456620000001</v>
      </c>
      <c r="G2" s="52">
        <v>8622.7807969999994</v>
      </c>
      <c r="H2" s="52">
        <v>4258.2007880000001</v>
      </c>
      <c r="I2" s="52">
        <v>5446.9002550000005</v>
      </c>
      <c r="J2" s="52">
        <v>5249.9302539999999</v>
      </c>
      <c r="K2" s="52">
        <v>5937.1941639999995</v>
      </c>
      <c r="L2" s="52">
        <v>5478.9335880000008</v>
      </c>
      <c r="M2" s="52">
        <v>5127.5674750000007</v>
      </c>
      <c r="N2" s="52">
        <v>5382.580457</v>
      </c>
    </row>
    <row r="3" spans="1:14" x14ac:dyDescent="0.25">
      <c r="A3" s="40" t="s">
        <v>21</v>
      </c>
      <c r="B3" s="52">
        <v>7319.1159990000006</v>
      </c>
      <c r="C3" s="52">
        <v>6540.0850699999992</v>
      </c>
      <c r="D3" s="52">
        <v>8668.1454570000005</v>
      </c>
      <c r="E3" s="52">
        <v>9835.5095459999975</v>
      </c>
      <c r="F3" s="52">
        <v>7121.5125039999994</v>
      </c>
      <c r="G3" s="52">
        <v>7723.8423159999993</v>
      </c>
      <c r="H3" s="52">
        <v>5344.4048270000003</v>
      </c>
      <c r="I3" s="52">
        <v>6872.0698389999998</v>
      </c>
      <c r="J3" s="52">
        <v>5683.1722600000003</v>
      </c>
      <c r="K3" s="52">
        <v>7440.3931530000009</v>
      </c>
      <c r="L3" s="52">
        <v>7311.977543</v>
      </c>
      <c r="M3" s="52">
        <v>5441.1547659999997</v>
      </c>
      <c r="N3" s="52">
        <v>4789.9581610000005</v>
      </c>
    </row>
    <row r="4" spans="1:14" x14ac:dyDescent="0.25">
      <c r="A4" s="40" t="s">
        <v>24</v>
      </c>
      <c r="B4" s="52">
        <v>1563.2565260000001</v>
      </c>
      <c r="C4" s="52">
        <v>2080.4615309999999</v>
      </c>
      <c r="D4" s="52">
        <v>2515.2280740000001</v>
      </c>
      <c r="E4" s="52">
        <v>3239.4443509999996</v>
      </c>
      <c r="F4" s="52">
        <v>2486.935332</v>
      </c>
      <c r="G4" s="52">
        <v>2548.9062990000002</v>
      </c>
      <c r="H4" s="52">
        <v>3941.7023260000001</v>
      </c>
      <c r="I4" s="52">
        <v>4127.4502700000003</v>
      </c>
      <c r="J4" s="52">
        <v>2136.4154750000002</v>
      </c>
      <c r="K4" s="52">
        <v>1572.797613</v>
      </c>
      <c r="L4" s="52">
        <v>552.838258</v>
      </c>
      <c r="M4" s="52">
        <v>2086.5602589999999</v>
      </c>
      <c r="N4" s="52">
        <v>3054.4623730000003</v>
      </c>
    </row>
    <row r="5" spans="1:14" x14ac:dyDescent="0.25">
      <c r="A5" s="43" t="s">
        <v>25</v>
      </c>
      <c r="B5" s="55">
        <v>14165.795978000002</v>
      </c>
      <c r="C5" s="55">
        <v>22320.409958</v>
      </c>
      <c r="D5" s="55">
        <v>20372.536614000001</v>
      </c>
      <c r="E5" s="55">
        <v>20187.034539999997</v>
      </c>
      <c r="F5" s="55">
        <v>15862.893498000001</v>
      </c>
      <c r="G5" s="55">
        <v>18895.529411999996</v>
      </c>
      <c r="H5" s="55">
        <v>13544.307941000001</v>
      </c>
      <c r="I5" s="55">
        <v>16446.420364000001</v>
      </c>
      <c r="J5" s="55">
        <v>13069.517989</v>
      </c>
      <c r="K5" s="55">
        <v>14950.384930000002</v>
      </c>
      <c r="L5" s="55">
        <v>13343.749389000001</v>
      </c>
      <c r="M5" s="55">
        <v>12655.282499999999</v>
      </c>
      <c r="N5" s="55">
        <v>13227.000991000001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79EA3-9146-42BC-A132-2D0EE86DF1D5}">
  <dimension ref="A1:N5"/>
  <sheetViews>
    <sheetView workbookViewId="0">
      <selection activeCell="E17" sqref="E17"/>
    </sheetView>
  </sheetViews>
  <sheetFormatPr baseColWidth="10" defaultRowHeight="15" x14ac:dyDescent="0.25"/>
  <cols>
    <col min="1" max="1" width="19.140625" bestFit="1" customWidth="1"/>
  </cols>
  <sheetData>
    <row r="1" spans="1:14" x14ac:dyDescent="0.25">
      <c r="A1" s="46" t="s">
        <v>20</v>
      </c>
      <c r="B1" s="38">
        <v>45627</v>
      </c>
      <c r="C1" s="38">
        <v>45658</v>
      </c>
      <c r="D1" s="38">
        <v>45689</v>
      </c>
      <c r="E1" s="38">
        <v>45717</v>
      </c>
      <c r="F1" s="38">
        <v>45748</v>
      </c>
      <c r="G1" s="38">
        <v>45778</v>
      </c>
      <c r="H1" s="38">
        <v>45809</v>
      </c>
      <c r="I1" s="38">
        <v>45839</v>
      </c>
      <c r="J1" s="38">
        <v>45870</v>
      </c>
      <c r="K1" s="38">
        <v>45901</v>
      </c>
      <c r="L1" s="38">
        <v>45931</v>
      </c>
      <c r="M1" s="38">
        <v>45962</v>
      </c>
      <c r="N1" s="38">
        <v>45992</v>
      </c>
    </row>
    <row r="2" spans="1:14" x14ac:dyDescent="0.25">
      <c r="A2" s="40" t="s">
        <v>12</v>
      </c>
      <c r="B2" s="58">
        <v>0.21628192558020709</v>
      </c>
      <c r="C2" s="58">
        <v>0.2172467268262277</v>
      </c>
      <c r="D2" s="58">
        <v>0.21714899299853618</v>
      </c>
      <c r="E2" s="58">
        <v>0.21799145247181051</v>
      </c>
      <c r="F2" s="58">
        <v>0.21808375545542957</v>
      </c>
      <c r="G2" s="58">
        <v>0.21429750293291194</v>
      </c>
      <c r="H2" s="58">
        <v>0.21011362585694782</v>
      </c>
      <c r="I2" s="58">
        <v>0.20768420910764096</v>
      </c>
      <c r="J2" s="58">
        <v>0.19720819291416136</v>
      </c>
      <c r="K2" s="58">
        <v>0.18855533716614281</v>
      </c>
      <c r="L2" s="58">
        <v>0.18836214397841711</v>
      </c>
      <c r="M2" s="58">
        <v>0.18983594638314027</v>
      </c>
      <c r="N2" s="58">
        <v>0.19117040096740068</v>
      </c>
    </row>
    <row r="3" spans="1:14" x14ac:dyDescent="0.25">
      <c r="A3" s="40" t="s">
        <v>33</v>
      </c>
      <c r="B3" s="58">
        <v>0.26222638204709559</v>
      </c>
      <c r="C3" s="58">
        <v>0.26475128834329631</v>
      </c>
      <c r="D3" s="58">
        <v>0.26505762337239136</v>
      </c>
      <c r="E3" s="58">
        <v>0.26465615205819626</v>
      </c>
      <c r="F3" s="58">
        <v>0.26439391097912934</v>
      </c>
      <c r="G3" s="58">
        <v>0.26371090024607691</v>
      </c>
      <c r="H3" s="58">
        <v>0.26345080054156655</v>
      </c>
      <c r="I3" s="58">
        <v>0.26311036573557978</v>
      </c>
      <c r="J3" s="58">
        <v>0.24649025820372783</v>
      </c>
      <c r="K3" s="58">
        <v>0.24630197239774998</v>
      </c>
      <c r="L3" s="58">
        <v>0.24225218595088505</v>
      </c>
      <c r="M3" s="58">
        <v>0.24424621550855408</v>
      </c>
      <c r="N3" s="58">
        <v>0.24450252461409794</v>
      </c>
    </row>
    <row r="4" spans="1:14" x14ac:dyDescent="0.25">
      <c r="A4" s="40" t="s">
        <v>9</v>
      </c>
      <c r="B4" s="58">
        <v>0.11214914541188503</v>
      </c>
      <c r="C4" s="58">
        <v>0.11215615292662795</v>
      </c>
      <c r="D4" s="58">
        <v>0.11205943788430361</v>
      </c>
      <c r="E4" s="58">
        <v>0.11140397309219852</v>
      </c>
      <c r="F4" s="58">
        <v>0.11076808376759328</v>
      </c>
      <c r="G4" s="58">
        <v>0.11052659602521819</v>
      </c>
      <c r="H4" s="58">
        <v>0.110162733332408</v>
      </c>
      <c r="I4" s="58">
        <v>0.10968583079197258</v>
      </c>
      <c r="J4" s="58">
        <v>0.10789884411428363</v>
      </c>
      <c r="K4" s="58">
        <v>0.10816934113272314</v>
      </c>
      <c r="L4" s="58">
        <v>0.10819617412016291</v>
      </c>
      <c r="M4" s="58">
        <v>0.10828969981716852</v>
      </c>
      <c r="N4" s="58">
        <v>0.10869134064651242</v>
      </c>
    </row>
    <row r="5" spans="1:14" x14ac:dyDescent="0.25">
      <c r="A5" s="43" t="s">
        <v>10</v>
      </c>
      <c r="B5" s="67">
        <v>0.19981099212890441</v>
      </c>
      <c r="C5" s="67">
        <v>0.20188949009099888</v>
      </c>
      <c r="D5" s="67">
        <v>0.20208582530161823</v>
      </c>
      <c r="E5" s="67">
        <v>0.20181363307781175</v>
      </c>
      <c r="F5" s="67">
        <v>0.20130168693105954</v>
      </c>
      <c r="G5" s="67">
        <v>0.19946639006299183</v>
      </c>
      <c r="H5" s="67">
        <v>0.19653490037893562</v>
      </c>
      <c r="I5" s="67">
        <v>0.194308244084344</v>
      </c>
      <c r="J5" s="67">
        <v>0.18467993274759142</v>
      </c>
      <c r="K5" s="67">
        <v>0.18040796893308153</v>
      </c>
      <c r="L5" s="67">
        <v>0.17927849336512813</v>
      </c>
      <c r="M5" s="67">
        <v>0.18008887866737711</v>
      </c>
      <c r="N5" s="67">
        <v>0.18040795413965616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C8610-7986-483F-86EA-8117DA767D5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B5F24-9F4E-458B-B9FA-F8FF5FE5EFEF}">
  <dimension ref="A1"/>
  <sheetViews>
    <sheetView showGridLines="0" zoomScale="50" zoomScaleNormal="50" workbookViewId="0">
      <selection activeCell="I60" sqref="I6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31EF-7FBC-4F28-9880-C099F000C24F}">
  <dimension ref="A3:H30"/>
  <sheetViews>
    <sheetView topLeftCell="I2" zoomScaleNormal="100" workbookViewId="0">
      <selection activeCell="D29" sqref="D29"/>
    </sheetView>
  </sheetViews>
  <sheetFormatPr baseColWidth="10" defaultRowHeight="15" x14ac:dyDescent="0.25"/>
  <cols>
    <col min="3" max="3" width="13.5703125" customWidth="1"/>
    <col min="4" max="4" width="17.42578125" bestFit="1" customWidth="1"/>
    <col min="5" max="5" width="14.7109375" customWidth="1"/>
    <col min="6" max="6" width="15" customWidth="1"/>
    <col min="7" max="7" width="18" bestFit="1" customWidth="1"/>
    <col min="8" max="8" width="21.5703125" bestFit="1" customWidth="1"/>
  </cols>
  <sheetData>
    <row r="3" spans="1:8" x14ac:dyDescent="0.25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34</v>
      </c>
      <c r="G3" t="s">
        <v>58</v>
      </c>
      <c r="H3" t="s">
        <v>59</v>
      </c>
    </row>
    <row r="4" spans="1:8" x14ac:dyDescent="0.25">
      <c r="A4" s="2">
        <v>44774</v>
      </c>
      <c r="B4">
        <v>1</v>
      </c>
      <c r="C4">
        <v>2</v>
      </c>
      <c r="D4">
        <v>8</v>
      </c>
      <c r="E4">
        <v>2</v>
      </c>
      <c r="F4">
        <v>2</v>
      </c>
      <c r="G4">
        <v>1</v>
      </c>
    </row>
    <row r="5" spans="1:8" x14ac:dyDescent="0.25">
      <c r="A5" s="2">
        <v>44805</v>
      </c>
      <c r="B5">
        <v>1</v>
      </c>
      <c r="C5">
        <v>3</v>
      </c>
      <c r="D5">
        <v>7</v>
      </c>
      <c r="E5">
        <v>2</v>
      </c>
      <c r="F5">
        <v>2</v>
      </c>
      <c r="G5">
        <v>1</v>
      </c>
      <c r="H5">
        <v>6</v>
      </c>
    </row>
    <row r="6" spans="1:8" x14ac:dyDescent="0.25">
      <c r="A6" s="2">
        <v>44835</v>
      </c>
      <c r="B6">
        <v>1</v>
      </c>
      <c r="C6">
        <v>4</v>
      </c>
      <c r="D6">
        <v>10</v>
      </c>
      <c r="E6">
        <v>1</v>
      </c>
      <c r="F6">
        <v>3</v>
      </c>
      <c r="G6">
        <v>1</v>
      </c>
      <c r="H6">
        <v>10</v>
      </c>
    </row>
    <row r="7" spans="1:8" x14ac:dyDescent="0.25">
      <c r="A7" s="2">
        <v>44866</v>
      </c>
      <c r="B7">
        <v>1</v>
      </c>
      <c r="C7">
        <v>2</v>
      </c>
      <c r="D7">
        <v>8</v>
      </c>
      <c r="E7">
        <v>1</v>
      </c>
      <c r="F7">
        <v>2</v>
      </c>
      <c r="G7">
        <v>1</v>
      </c>
      <c r="H7">
        <v>8</v>
      </c>
    </row>
    <row r="8" spans="1:8" x14ac:dyDescent="0.25">
      <c r="A8" s="2">
        <v>44896</v>
      </c>
      <c r="B8">
        <v>2</v>
      </c>
      <c r="C8">
        <v>7</v>
      </c>
      <c r="D8">
        <v>10</v>
      </c>
      <c r="E8">
        <v>3</v>
      </c>
      <c r="F8">
        <v>2</v>
      </c>
      <c r="G8">
        <v>2</v>
      </c>
      <c r="H8">
        <v>8</v>
      </c>
    </row>
    <row r="9" spans="1:8" x14ac:dyDescent="0.25">
      <c r="A9" s="2">
        <v>44927</v>
      </c>
      <c r="B9">
        <v>1</v>
      </c>
      <c r="C9">
        <v>4</v>
      </c>
      <c r="D9">
        <v>5</v>
      </c>
      <c r="E9">
        <v>3</v>
      </c>
      <c r="F9">
        <v>1</v>
      </c>
      <c r="G9">
        <v>2</v>
      </c>
      <c r="H9">
        <v>7</v>
      </c>
    </row>
    <row r="10" spans="1:8" x14ac:dyDescent="0.25">
      <c r="A10" s="2">
        <v>44958</v>
      </c>
      <c r="B10">
        <v>1</v>
      </c>
      <c r="C10">
        <v>1</v>
      </c>
      <c r="D10">
        <v>5</v>
      </c>
      <c r="E10">
        <v>2</v>
      </c>
      <c r="F10">
        <v>1</v>
      </c>
      <c r="G10">
        <v>1</v>
      </c>
      <c r="H10">
        <v>7</v>
      </c>
    </row>
    <row r="11" spans="1:8" x14ac:dyDescent="0.25">
      <c r="A11" s="2">
        <v>44986</v>
      </c>
      <c r="B11">
        <v>1</v>
      </c>
      <c r="C11">
        <v>1</v>
      </c>
      <c r="D11">
        <v>6</v>
      </c>
      <c r="E11">
        <v>1</v>
      </c>
      <c r="F11">
        <v>2</v>
      </c>
      <c r="G11">
        <v>1</v>
      </c>
      <c r="H11">
        <v>4</v>
      </c>
    </row>
    <row r="12" spans="1:8" x14ac:dyDescent="0.25">
      <c r="A12" s="2">
        <v>45017</v>
      </c>
      <c r="B12">
        <v>1</v>
      </c>
      <c r="C12">
        <v>2</v>
      </c>
      <c r="D12">
        <v>7</v>
      </c>
      <c r="E12">
        <v>1</v>
      </c>
      <c r="F12">
        <v>2</v>
      </c>
      <c r="G12">
        <v>1</v>
      </c>
      <c r="H12">
        <v>4</v>
      </c>
    </row>
    <row r="13" spans="1:8" x14ac:dyDescent="0.25">
      <c r="A13" s="2">
        <v>45047</v>
      </c>
      <c r="B13">
        <v>1</v>
      </c>
      <c r="C13">
        <v>4</v>
      </c>
      <c r="D13">
        <v>7</v>
      </c>
      <c r="E13">
        <v>1</v>
      </c>
      <c r="F13">
        <v>2</v>
      </c>
      <c r="G13">
        <v>1</v>
      </c>
      <c r="H13">
        <v>4</v>
      </c>
    </row>
    <row r="14" spans="1:8" x14ac:dyDescent="0.25">
      <c r="A14" s="2">
        <v>45078</v>
      </c>
      <c r="B14">
        <v>2</v>
      </c>
      <c r="C14">
        <v>4</v>
      </c>
      <c r="D14">
        <v>9</v>
      </c>
      <c r="E14">
        <v>2</v>
      </c>
      <c r="F14">
        <v>2</v>
      </c>
      <c r="G14">
        <v>2</v>
      </c>
      <c r="H14">
        <v>4</v>
      </c>
    </row>
    <row r="15" spans="1:8" x14ac:dyDescent="0.25">
      <c r="A15" s="2">
        <v>45108</v>
      </c>
      <c r="B15">
        <v>2</v>
      </c>
      <c r="C15">
        <v>4</v>
      </c>
      <c r="D15">
        <v>9</v>
      </c>
      <c r="E15">
        <v>2</v>
      </c>
      <c r="F15">
        <v>2</v>
      </c>
      <c r="G15">
        <v>3</v>
      </c>
      <c r="H15">
        <v>5</v>
      </c>
    </row>
    <row r="16" spans="1:8" x14ac:dyDescent="0.25">
      <c r="A16" s="2">
        <v>45139</v>
      </c>
      <c r="B16">
        <v>2</v>
      </c>
      <c r="C16">
        <v>5</v>
      </c>
      <c r="D16">
        <v>10</v>
      </c>
      <c r="E16">
        <v>3</v>
      </c>
      <c r="F16">
        <v>3</v>
      </c>
      <c r="G16">
        <v>3</v>
      </c>
      <c r="H16">
        <v>7</v>
      </c>
    </row>
    <row r="17" spans="1:8" x14ac:dyDescent="0.25">
      <c r="A17" s="2">
        <v>45170</v>
      </c>
      <c r="B17">
        <v>2</v>
      </c>
      <c r="C17">
        <v>5</v>
      </c>
      <c r="D17">
        <v>9</v>
      </c>
      <c r="E17">
        <v>3</v>
      </c>
      <c r="F17">
        <v>3</v>
      </c>
      <c r="G17">
        <v>3</v>
      </c>
      <c r="H17">
        <v>7</v>
      </c>
    </row>
    <row r="18" spans="1:8" x14ac:dyDescent="0.25">
      <c r="A18" s="2">
        <v>45200</v>
      </c>
      <c r="B18">
        <v>1</v>
      </c>
      <c r="C18">
        <v>1</v>
      </c>
      <c r="D18">
        <v>9</v>
      </c>
      <c r="E18">
        <v>2</v>
      </c>
      <c r="F18">
        <v>3</v>
      </c>
      <c r="G18">
        <v>3</v>
      </c>
      <c r="H18">
        <v>7</v>
      </c>
    </row>
    <row r="19" spans="1:8" x14ac:dyDescent="0.25">
      <c r="A19" s="2">
        <v>45231</v>
      </c>
      <c r="B19">
        <v>1</v>
      </c>
      <c r="C19">
        <v>1</v>
      </c>
      <c r="D19">
        <v>8</v>
      </c>
      <c r="E19">
        <v>1</v>
      </c>
      <c r="F19">
        <v>7</v>
      </c>
      <c r="G19">
        <v>3</v>
      </c>
      <c r="H19">
        <v>9</v>
      </c>
    </row>
    <row r="20" spans="1:8" x14ac:dyDescent="0.25">
      <c r="A20" s="2">
        <v>45261</v>
      </c>
      <c r="B20">
        <v>1</v>
      </c>
      <c r="C20">
        <v>1</v>
      </c>
      <c r="D20">
        <v>7</v>
      </c>
      <c r="E20">
        <v>1</v>
      </c>
      <c r="F20">
        <v>12</v>
      </c>
      <c r="G20">
        <v>2</v>
      </c>
      <c r="H20">
        <v>10</v>
      </c>
    </row>
    <row r="21" spans="1:8" x14ac:dyDescent="0.25">
      <c r="A21" s="2">
        <v>45292</v>
      </c>
      <c r="B21">
        <v>2</v>
      </c>
      <c r="C21">
        <v>2</v>
      </c>
      <c r="D21">
        <v>8</v>
      </c>
      <c r="E21">
        <v>2</v>
      </c>
      <c r="F21">
        <v>12</v>
      </c>
      <c r="G21">
        <v>3</v>
      </c>
      <c r="H21">
        <v>9</v>
      </c>
    </row>
    <row r="22" spans="1:8" x14ac:dyDescent="0.25">
      <c r="A22" s="2">
        <v>45323</v>
      </c>
      <c r="B22">
        <v>1</v>
      </c>
      <c r="C22">
        <v>4</v>
      </c>
      <c r="D22">
        <v>8</v>
      </c>
      <c r="E22">
        <v>3</v>
      </c>
      <c r="F22">
        <v>2</v>
      </c>
      <c r="G22">
        <v>7</v>
      </c>
      <c r="H22">
        <v>6</v>
      </c>
    </row>
    <row r="23" spans="1:8" x14ac:dyDescent="0.25">
      <c r="A23" s="2">
        <v>45352</v>
      </c>
      <c r="B23">
        <v>3</v>
      </c>
      <c r="C23">
        <v>4</v>
      </c>
      <c r="D23">
        <v>8</v>
      </c>
      <c r="E23">
        <v>5</v>
      </c>
      <c r="F23">
        <v>2</v>
      </c>
      <c r="G23">
        <v>5</v>
      </c>
      <c r="H23">
        <v>6</v>
      </c>
    </row>
    <row r="24" spans="1:8" x14ac:dyDescent="0.25">
      <c r="A24" s="2">
        <v>45383</v>
      </c>
      <c r="B24">
        <v>2</v>
      </c>
      <c r="C24">
        <v>2</v>
      </c>
      <c r="D24">
        <v>9</v>
      </c>
      <c r="E24">
        <v>5</v>
      </c>
      <c r="F24">
        <v>2</v>
      </c>
      <c r="G24">
        <v>5</v>
      </c>
      <c r="H24">
        <v>4</v>
      </c>
    </row>
    <row r="25" spans="1:8" x14ac:dyDescent="0.25">
      <c r="A25" s="2">
        <v>45413</v>
      </c>
      <c r="B25">
        <v>2</v>
      </c>
      <c r="C25">
        <v>2</v>
      </c>
      <c r="D25">
        <v>10</v>
      </c>
      <c r="E25">
        <v>5</v>
      </c>
      <c r="F25">
        <v>3</v>
      </c>
      <c r="G25">
        <v>8</v>
      </c>
      <c r="H25">
        <v>3</v>
      </c>
    </row>
    <row r="26" spans="1:8" x14ac:dyDescent="0.25">
      <c r="A26" s="2">
        <v>45444</v>
      </c>
      <c r="B26">
        <v>4</v>
      </c>
      <c r="C26">
        <v>5</v>
      </c>
      <c r="D26">
        <v>8</v>
      </c>
      <c r="E26">
        <v>4</v>
      </c>
      <c r="F26">
        <v>3</v>
      </c>
      <c r="G26">
        <v>5</v>
      </c>
      <c r="H26">
        <v>6</v>
      </c>
    </row>
    <row r="27" spans="1:8" x14ac:dyDescent="0.25">
      <c r="A27" s="2">
        <v>45474</v>
      </c>
      <c r="B27">
        <v>6</v>
      </c>
      <c r="C27">
        <v>7</v>
      </c>
      <c r="D27">
        <v>9</v>
      </c>
      <c r="E27">
        <v>6</v>
      </c>
      <c r="F27">
        <v>11</v>
      </c>
      <c r="G27">
        <v>6</v>
      </c>
      <c r="H27">
        <v>9</v>
      </c>
    </row>
    <row r="28" spans="1:8" x14ac:dyDescent="0.25">
      <c r="A28" s="2">
        <v>45505</v>
      </c>
      <c r="B28">
        <v>7</v>
      </c>
      <c r="C28">
        <v>7</v>
      </c>
      <c r="D28">
        <v>9</v>
      </c>
      <c r="E28">
        <v>6</v>
      </c>
      <c r="F28">
        <v>11</v>
      </c>
      <c r="G28">
        <v>2</v>
      </c>
      <c r="H28">
        <v>6</v>
      </c>
    </row>
    <row r="29" spans="1:8" x14ac:dyDescent="0.25">
      <c r="A29" s="2">
        <v>45536</v>
      </c>
      <c r="B29">
        <v>7</v>
      </c>
      <c r="C29">
        <v>7</v>
      </c>
      <c r="D29">
        <v>9</v>
      </c>
      <c r="G29">
        <v>2</v>
      </c>
      <c r="H29">
        <v>6</v>
      </c>
    </row>
    <row r="30" spans="1:8" x14ac:dyDescent="0.25">
      <c r="A30" s="2">
        <v>45566</v>
      </c>
      <c r="B30">
        <v>7</v>
      </c>
      <c r="C30">
        <v>7</v>
      </c>
      <c r="D30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</vt:lpstr>
      <vt:lpstr>Saldo de cartera por línea</vt:lpstr>
      <vt:lpstr>Desembolsos mensuales</vt:lpstr>
      <vt:lpstr>Tasa Desembolso Mensual</vt:lpstr>
      <vt:lpstr>Tasas de Stock Cartera</vt:lpstr>
      <vt:lpstr>Hoja1</vt:lpstr>
      <vt:lpstr>GRAFICAS</vt:lpstr>
      <vt:lpstr>Evolución 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JUAN ANDRES MIRANDA ROJO</cp:lastModifiedBy>
  <dcterms:created xsi:type="dcterms:W3CDTF">2020-10-01T15:47:01Z</dcterms:created>
  <dcterms:modified xsi:type="dcterms:W3CDTF">2026-01-22T04:31:54Z</dcterms:modified>
</cp:coreProperties>
</file>